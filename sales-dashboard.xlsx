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24226"/>
  <mc:AlternateContent xmlns:mc="http://schemas.openxmlformats.org/markup-compatibility/2006">
    <mc:Choice Requires="x15">
      <x15ac:absPath xmlns:x15ac="http://schemas.microsoft.com/office/spreadsheetml/2010/11/ac" url="C:\Users\HomePC\Downloads\"/>
    </mc:Choice>
  </mc:AlternateContent>
  <xr:revisionPtr revIDLastSave="0" documentId="13_ncr:1_{0D47B9D3-FF4C-46D6-8FBE-C17516AD20A8}" xr6:coauthVersionLast="47" xr6:coauthVersionMax="47" xr10:uidLastSave="{00000000-0000-0000-0000-000000000000}"/>
  <bookViews>
    <workbookView xWindow="-110" yWindow="-110" windowWidth="19420" windowHeight="12220" activeTab="2" xr2:uid="{00000000-000D-0000-FFFF-FFFF00000000}"/>
  </bookViews>
  <sheets>
    <sheet name="Raw Data" sheetId="1" r:id="rId1"/>
    <sheet name="Analysis" sheetId="4" r:id="rId2"/>
    <sheet name="Dashboard" sheetId="6" r:id="rId3"/>
  </sheets>
  <definedNames>
    <definedName name="_xlchart.v5.0" hidden="1">Analysis!$A$22:$B$22</definedName>
    <definedName name="_xlchart.v5.1" hidden="1">Analysis!$A$23:$B$27</definedName>
    <definedName name="_xlchart.v5.2" hidden="1">Analysis!$C$22</definedName>
    <definedName name="_xlchart.v5.3" hidden="1">Analysis!$C$23:$C$27</definedName>
    <definedName name="NativeTimeline_OrderDate">#N/A</definedName>
    <definedName name="Slicer_Discount">#N/A</definedName>
    <definedName name="Slicer_Promotion">#N/A</definedName>
    <definedName name="Slicer_WeekNum">#N/A</definedName>
  </definedNames>
  <calcPr calcId="191029"/>
  <pivotCaches>
    <pivotCache cacheId="14"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4" i="1" l="1"/>
  <c r="J2" i="1"/>
  <c r="J3"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C27" i="4"/>
  <c r="C26" i="4"/>
  <c r="C25" i="4"/>
  <c r="C24" i="4"/>
  <c r="C23" i="4"/>
  <c r="R147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9" i="1"/>
  <c r="R20" i="1"/>
  <c r="R21" i="1"/>
  <c r="R22" i="1"/>
  <c r="R23" i="1"/>
  <c r="R24" i="1"/>
  <c r="R25" i="1"/>
  <c r="R26" i="1"/>
  <c r="R27" i="1"/>
  <c r="R28" i="1"/>
  <c r="R29" i="1"/>
  <c r="R30" i="1"/>
  <c r="R7" i="1"/>
  <c r="R8" i="1"/>
  <c r="R9" i="1"/>
  <c r="R10" i="1"/>
  <c r="R11" i="1"/>
  <c r="R12" i="1"/>
  <c r="R13" i="1"/>
  <c r="R14" i="1"/>
  <c r="R15" i="1"/>
  <c r="R16" i="1"/>
  <c r="R17" i="1"/>
  <c r="R18" i="1"/>
  <c r="R6" i="1"/>
  <c r="R5" i="1"/>
  <c r="R4" i="1"/>
  <c r="R3" i="1"/>
  <c r="R2" i="1"/>
</calcChain>
</file>

<file path=xl/sharedStrings.xml><?xml version="1.0" encoding="utf-8"?>
<sst xmlns="http://schemas.openxmlformats.org/spreadsheetml/2006/main" count="15076" uniqueCount="2943">
  <si>
    <t>Date</t>
  </si>
  <si>
    <t>Region</t>
  </si>
  <si>
    <t>Product</t>
  </si>
  <si>
    <t>Quantity</t>
  </si>
  <si>
    <t>UnitPrice</t>
  </si>
  <si>
    <t>StoreLocation</t>
  </si>
  <si>
    <t>CustomerType</t>
  </si>
  <si>
    <t>Discount</t>
  </si>
  <si>
    <t>Salesperson</t>
  </si>
  <si>
    <t>TotalPrice</t>
  </si>
  <si>
    <t>PaymentMethod</t>
  </si>
  <si>
    <t>Promotion</t>
  </si>
  <si>
    <t>Returned</t>
  </si>
  <si>
    <t>OrderID</t>
  </si>
  <si>
    <t>CustomerName</t>
  </si>
  <si>
    <t>ShippingCost</t>
  </si>
  <si>
    <t>OrderDate</t>
  </si>
  <si>
    <t>DeliveryDate</t>
  </si>
  <si>
    <t>RegionManager</t>
  </si>
  <si>
    <t>Laptop</t>
  </si>
  <si>
    <t>Phone</t>
  </si>
  <si>
    <t>Desk</t>
  </si>
  <si>
    <t>Chair</t>
  </si>
  <si>
    <t>Monitor</t>
  </si>
  <si>
    <t>Tablet</t>
  </si>
  <si>
    <t>Printer</t>
  </si>
  <si>
    <t>Store B</t>
  </si>
  <si>
    <t>Store A</t>
  </si>
  <si>
    <t>Store C</t>
  </si>
  <si>
    <t>Store D</t>
  </si>
  <si>
    <t>Wholesale</t>
  </si>
  <si>
    <t>Retail</t>
  </si>
  <si>
    <t>Eva</t>
  </si>
  <si>
    <t>Alice</t>
  </si>
  <si>
    <t>Frank</t>
  </si>
  <si>
    <t>Carlos</t>
  </si>
  <si>
    <t>Diana</t>
  </si>
  <si>
    <t>Bob</t>
  </si>
  <si>
    <t>Online</t>
  </si>
  <si>
    <t>Gift Card</t>
  </si>
  <si>
    <t>Credit Card</t>
  </si>
  <si>
    <t>Debit Card</t>
  </si>
  <si>
    <t>Cash</t>
  </si>
  <si>
    <t>FREESHIP</t>
  </si>
  <si>
    <t>SAVE10</t>
  </si>
  <si>
    <t>WINTER15</t>
  </si>
  <si>
    <t>REG100000</t>
  </si>
  <si>
    <t>REG100001</t>
  </si>
  <si>
    <t>REG100002</t>
  </si>
  <si>
    <t>REG100003</t>
  </si>
  <si>
    <t>REG100004</t>
  </si>
  <si>
    <t>REG100005</t>
  </si>
  <si>
    <t>REG100006</t>
  </si>
  <si>
    <t>REG100007</t>
  </si>
  <si>
    <t>REG100008</t>
  </si>
  <si>
    <t>REG100009</t>
  </si>
  <si>
    <t>REG100010</t>
  </si>
  <si>
    <t>REG100011</t>
  </si>
  <si>
    <t>REG100012</t>
  </si>
  <si>
    <t>REG100013</t>
  </si>
  <si>
    <t>REG100014</t>
  </si>
  <si>
    <t>REG100015</t>
  </si>
  <si>
    <t>REG100016</t>
  </si>
  <si>
    <t>REG100017</t>
  </si>
  <si>
    <t>REG100018</t>
  </si>
  <si>
    <t>REG100019</t>
  </si>
  <si>
    <t>REG100020</t>
  </si>
  <si>
    <t>REG100021</t>
  </si>
  <si>
    <t>REG100022</t>
  </si>
  <si>
    <t>REG100023</t>
  </si>
  <si>
    <t>REG100024</t>
  </si>
  <si>
    <t>REG100025</t>
  </si>
  <si>
    <t>REG100026</t>
  </si>
  <si>
    <t>REG100027</t>
  </si>
  <si>
    <t>REG100028</t>
  </si>
  <si>
    <t>REG100029</t>
  </si>
  <si>
    <t>REG100030</t>
  </si>
  <si>
    <t>REG100031</t>
  </si>
  <si>
    <t>REG100032</t>
  </si>
  <si>
    <t>REG100033</t>
  </si>
  <si>
    <t>REG100034</t>
  </si>
  <si>
    <t>REG100035</t>
  </si>
  <si>
    <t>REG100036</t>
  </si>
  <si>
    <t>REG100037</t>
  </si>
  <si>
    <t>REG100038</t>
  </si>
  <si>
    <t>REG100039</t>
  </si>
  <si>
    <t>REG100040</t>
  </si>
  <si>
    <t>REG100041</t>
  </si>
  <si>
    <t>REG100042</t>
  </si>
  <si>
    <t>REG100043</t>
  </si>
  <si>
    <t>REG100044</t>
  </si>
  <si>
    <t>REG100045</t>
  </si>
  <si>
    <t>REG100046</t>
  </si>
  <si>
    <t>REG100047</t>
  </si>
  <si>
    <t>REG100048</t>
  </si>
  <si>
    <t>REG100049</t>
  </si>
  <si>
    <t>REG100050</t>
  </si>
  <si>
    <t>REG100051</t>
  </si>
  <si>
    <t>REG100052</t>
  </si>
  <si>
    <t>REG100053</t>
  </si>
  <si>
    <t>REG100054</t>
  </si>
  <si>
    <t>REG100055</t>
  </si>
  <si>
    <t>REG100056</t>
  </si>
  <si>
    <t>REG100057</t>
  </si>
  <si>
    <t>REG100058</t>
  </si>
  <si>
    <t>REG100059</t>
  </si>
  <si>
    <t>REG100060</t>
  </si>
  <si>
    <t>REG100061</t>
  </si>
  <si>
    <t>REG100062</t>
  </si>
  <si>
    <t>REG100063</t>
  </si>
  <si>
    <t>REG100064</t>
  </si>
  <si>
    <t>REG100065</t>
  </si>
  <si>
    <t>REG100066</t>
  </si>
  <si>
    <t>REG100067</t>
  </si>
  <si>
    <t>REG100068</t>
  </si>
  <si>
    <t>REG100069</t>
  </si>
  <si>
    <t>REG100070</t>
  </si>
  <si>
    <t>REG100071</t>
  </si>
  <si>
    <t>REG100072</t>
  </si>
  <si>
    <t>REG100073</t>
  </si>
  <si>
    <t>REG100074</t>
  </si>
  <si>
    <t>REG100075</t>
  </si>
  <si>
    <t>REG100076</t>
  </si>
  <si>
    <t>REG100077</t>
  </si>
  <si>
    <t>REG100078</t>
  </si>
  <si>
    <t>REG100079</t>
  </si>
  <si>
    <t>REG100080</t>
  </si>
  <si>
    <t>REG100081</t>
  </si>
  <si>
    <t>REG100082</t>
  </si>
  <si>
    <t>REG100083</t>
  </si>
  <si>
    <t>REG100084</t>
  </si>
  <si>
    <t>REG100085</t>
  </si>
  <si>
    <t>REG100086</t>
  </si>
  <si>
    <t>REG100087</t>
  </si>
  <si>
    <t>REG100088</t>
  </si>
  <si>
    <t>REG100089</t>
  </si>
  <si>
    <t>REG100090</t>
  </si>
  <si>
    <t>REG100091</t>
  </si>
  <si>
    <t>REG100092</t>
  </si>
  <si>
    <t>REG100093</t>
  </si>
  <si>
    <t>REG100094</t>
  </si>
  <si>
    <t>REG100095</t>
  </si>
  <si>
    <t>REG100096</t>
  </si>
  <si>
    <t>REG100097</t>
  </si>
  <si>
    <t>REG100098</t>
  </si>
  <si>
    <t>REG100099</t>
  </si>
  <si>
    <t>REG100100</t>
  </si>
  <si>
    <t>REG100101</t>
  </si>
  <si>
    <t>REG100102</t>
  </si>
  <si>
    <t>REG100103</t>
  </si>
  <si>
    <t>REG100104</t>
  </si>
  <si>
    <t>REG100105</t>
  </si>
  <si>
    <t>REG100106</t>
  </si>
  <si>
    <t>REG100107</t>
  </si>
  <si>
    <t>REG100108</t>
  </si>
  <si>
    <t>REG100109</t>
  </si>
  <si>
    <t>REG100110</t>
  </si>
  <si>
    <t>REG100111</t>
  </si>
  <si>
    <t>REG100112</t>
  </si>
  <si>
    <t>REG100113</t>
  </si>
  <si>
    <t>REG100114</t>
  </si>
  <si>
    <t>REG100115</t>
  </si>
  <si>
    <t>REG100116</t>
  </si>
  <si>
    <t>REG100117</t>
  </si>
  <si>
    <t>REG100118</t>
  </si>
  <si>
    <t>REG100119</t>
  </si>
  <si>
    <t>REG100120</t>
  </si>
  <si>
    <t>REG100121</t>
  </si>
  <si>
    <t>REG100122</t>
  </si>
  <si>
    <t>REG100123</t>
  </si>
  <si>
    <t>REG100124</t>
  </si>
  <si>
    <t>REG100125</t>
  </si>
  <si>
    <t>REG100126</t>
  </si>
  <si>
    <t>REG100127</t>
  </si>
  <si>
    <t>REG100128</t>
  </si>
  <si>
    <t>REG100129</t>
  </si>
  <si>
    <t>REG100130</t>
  </si>
  <si>
    <t>REG100131</t>
  </si>
  <si>
    <t>REG100132</t>
  </si>
  <si>
    <t>REG100133</t>
  </si>
  <si>
    <t>REG100134</t>
  </si>
  <si>
    <t>REG100135</t>
  </si>
  <si>
    <t>REG100136</t>
  </si>
  <si>
    <t>REG100137</t>
  </si>
  <si>
    <t>REG100138</t>
  </si>
  <si>
    <t>REG100139</t>
  </si>
  <si>
    <t>REG100140</t>
  </si>
  <si>
    <t>REG100141</t>
  </si>
  <si>
    <t>REG100142</t>
  </si>
  <si>
    <t>REG100143</t>
  </si>
  <si>
    <t>REG100144</t>
  </si>
  <si>
    <t>REG100145</t>
  </si>
  <si>
    <t>REG100146</t>
  </si>
  <si>
    <t>REG100147</t>
  </si>
  <si>
    <t>REG100148</t>
  </si>
  <si>
    <t>REG100149</t>
  </si>
  <si>
    <t>REG100150</t>
  </si>
  <si>
    <t>REG100151</t>
  </si>
  <si>
    <t>REG100152</t>
  </si>
  <si>
    <t>REG100153</t>
  </si>
  <si>
    <t>REG100154</t>
  </si>
  <si>
    <t>REG100155</t>
  </si>
  <si>
    <t>REG100156</t>
  </si>
  <si>
    <t>REG100157</t>
  </si>
  <si>
    <t>REG100158</t>
  </si>
  <si>
    <t>REG100159</t>
  </si>
  <si>
    <t>REG100160</t>
  </si>
  <si>
    <t>REG100161</t>
  </si>
  <si>
    <t>REG100162</t>
  </si>
  <si>
    <t>REG100163</t>
  </si>
  <si>
    <t>REG100164</t>
  </si>
  <si>
    <t>REG100165</t>
  </si>
  <si>
    <t>REG100166</t>
  </si>
  <si>
    <t>REG100167</t>
  </si>
  <si>
    <t>REG100168</t>
  </si>
  <si>
    <t>REG100169</t>
  </si>
  <si>
    <t>REG100170</t>
  </si>
  <si>
    <t>REG100171</t>
  </si>
  <si>
    <t>REG100172</t>
  </si>
  <si>
    <t>REG100173</t>
  </si>
  <si>
    <t>REG100174</t>
  </si>
  <si>
    <t>REG100175</t>
  </si>
  <si>
    <t>REG100176</t>
  </si>
  <si>
    <t>REG100177</t>
  </si>
  <si>
    <t>REG100178</t>
  </si>
  <si>
    <t>REG100179</t>
  </si>
  <si>
    <t>REG100180</t>
  </si>
  <si>
    <t>REG100181</t>
  </si>
  <si>
    <t>REG100182</t>
  </si>
  <si>
    <t>REG100183</t>
  </si>
  <si>
    <t>REG100184</t>
  </si>
  <si>
    <t>REG100185</t>
  </si>
  <si>
    <t>REG100186</t>
  </si>
  <si>
    <t>REG100187</t>
  </si>
  <si>
    <t>REG100188</t>
  </si>
  <si>
    <t>REG100189</t>
  </si>
  <si>
    <t>REG100190</t>
  </si>
  <si>
    <t>REG100191</t>
  </si>
  <si>
    <t>REG100192</t>
  </si>
  <si>
    <t>REG100193</t>
  </si>
  <si>
    <t>REG100194</t>
  </si>
  <si>
    <t>REG100195</t>
  </si>
  <si>
    <t>REG100196</t>
  </si>
  <si>
    <t>REG100197</t>
  </si>
  <si>
    <t>REG100198</t>
  </si>
  <si>
    <t>REG100199</t>
  </si>
  <si>
    <t>REG100200</t>
  </si>
  <si>
    <t>REG100201</t>
  </si>
  <si>
    <t>REG100202</t>
  </si>
  <si>
    <t>REG100203</t>
  </si>
  <si>
    <t>REG100204</t>
  </si>
  <si>
    <t>REG100205</t>
  </si>
  <si>
    <t>REG100206</t>
  </si>
  <si>
    <t>REG100207</t>
  </si>
  <si>
    <t>REG100208</t>
  </si>
  <si>
    <t>REG100209</t>
  </si>
  <si>
    <t>REG100210</t>
  </si>
  <si>
    <t>REG100211</t>
  </si>
  <si>
    <t>REG100212</t>
  </si>
  <si>
    <t>REG100213</t>
  </si>
  <si>
    <t>REG100214</t>
  </si>
  <si>
    <t>REG100215</t>
  </si>
  <si>
    <t>REG100216</t>
  </si>
  <si>
    <t>REG100217</t>
  </si>
  <si>
    <t>REG100218</t>
  </si>
  <si>
    <t>REG100219</t>
  </si>
  <si>
    <t>REG100220</t>
  </si>
  <si>
    <t>REG100221</t>
  </si>
  <si>
    <t>REG100222</t>
  </si>
  <si>
    <t>REG100223</t>
  </si>
  <si>
    <t>REG100224</t>
  </si>
  <si>
    <t>REG100225</t>
  </si>
  <si>
    <t>REG100226</t>
  </si>
  <si>
    <t>REG100227</t>
  </si>
  <si>
    <t>REG100228</t>
  </si>
  <si>
    <t>REG100229</t>
  </si>
  <si>
    <t>REG100230</t>
  </si>
  <si>
    <t>REG100231</t>
  </si>
  <si>
    <t>REG100232</t>
  </si>
  <si>
    <t>REG100233</t>
  </si>
  <si>
    <t>REG100234</t>
  </si>
  <si>
    <t>REG100235</t>
  </si>
  <si>
    <t>REG100236</t>
  </si>
  <si>
    <t>REG100237</t>
  </si>
  <si>
    <t>REG100238</t>
  </si>
  <si>
    <t>REG100239</t>
  </si>
  <si>
    <t>REG100240</t>
  </si>
  <si>
    <t>REG100241</t>
  </si>
  <si>
    <t>REG100242</t>
  </si>
  <si>
    <t>REG100243</t>
  </si>
  <si>
    <t>REG100244</t>
  </si>
  <si>
    <t>REG100245</t>
  </si>
  <si>
    <t>REG100246</t>
  </si>
  <si>
    <t>REG100247</t>
  </si>
  <si>
    <t>REG100248</t>
  </si>
  <si>
    <t>REG100249</t>
  </si>
  <si>
    <t>REG100250</t>
  </si>
  <si>
    <t>REG100251</t>
  </si>
  <si>
    <t>REG100252</t>
  </si>
  <si>
    <t>REG100253</t>
  </si>
  <si>
    <t>REG100254</t>
  </si>
  <si>
    <t>REG100255</t>
  </si>
  <si>
    <t>REG100256</t>
  </si>
  <si>
    <t>REG100257</t>
  </si>
  <si>
    <t>REG100258</t>
  </si>
  <si>
    <t>REG100259</t>
  </si>
  <si>
    <t>REG100260</t>
  </si>
  <si>
    <t>REG100261</t>
  </si>
  <si>
    <t>REG100262</t>
  </si>
  <si>
    <t>REG100263</t>
  </si>
  <si>
    <t>REG100264</t>
  </si>
  <si>
    <t>REG100265</t>
  </si>
  <si>
    <t>REG100266</t>
  </si>
  <si>
    <t>REG100267</t>
  </si>
  <si>
    <t>REG100268</t>
  </si>
  <si>
    <t>REG100269</t>
  </si>
  <si>
    <t>REG100270</t>
  </si>
  <si>
    <t>REG100271</t>
  </si>
  <si>
    <t>REG100272</t>
  </si>
  <si>
    <t>REG100273</t>
  </si>
  <si>
    <t>REG100274</t>
  </si>
  <si>
    <t>REG100275</t>
  </si>
  <si>
    <t>REG100276</t>
  </si>
  <si>
    <t>REG100277</t>
  </si>
  <si>
    <t>REG100278</t>
  </si>
  <si>
    <t>REG100279</t>
  </si>
  <si>
    <t>REG100280</t>
  </si>
  <si>
    <t>REG100281</t>
  </si>
  <si>
    <t>REG100282</t>
  </si>
  <si>
    <t>REG100283</t>
  </si>
  <si>
    <t>REG100284</t>
  </si>
  <si>
    <t>REG100285</t>
  </si>
  <si>
    <t>REG100286</t>
  </si>
  <si>
    <t>REG100287</t>
  </si>
  <si>
    <t>REG100288</t>
  </si>
  <si>
    <t>REG100289</t>
  </si>
  <si>
    <t>REG100290</t>
  </si>
  <si>
    <t>REG100291</t>
  </si>
  <si>
    <t>REG100292</t>
  </si>
  <si>
    <t>REG100293</t>
  </si>
  <si>
    <t>REG100294</t>
  </si>
  <si>
    <t>REG100295</t>
  </si>
  <si>
    <t>REG100296</t>
  </si>
  <si>
    <t>REG100297</t>
  </si>
  <si>
    <t>REG100298</t>
  </si>
  <si>
    <t>REG100299</t>
  </si>
  <si>
    <t>REG100300</t>
  </si>
  <si>
    <t>REG100301</t>
  </si>
  <si>
    <t>REG100302</t>
  </si>
  <si>
    <t>REG100303</t>
  </si>
  <si>
    <t>REG100304</t>
  </si>
  <si>
    <t>REG100305</t>
  </si>
  <si>
    <t>REG100306</t>
  </si>
  <si>
    <t>REG100307</t>
  </si>
  <si>
    <t>REG100308</t>
  </si>
  <si>
    <t>REG100309</t>
  </si>
  <si>
    <t>REG100310</t>
  </si>
  <si>
    <t>REG100311</t>
  </si>
  <si>
    <t>REG100312</t>
  </si>
  <si>
    <t>REG100313</t>
  </si>
  <si>
    <t>REG100314</t>
  </si>
  <si>
    <t>REG100315</t>
  </si>
  <si>
    <t>REG100316</t>
  </si>
  <si>
    <t>REG100317</t>
  </si>
  <si>
    <t>REG100318</t>
  </si>
  <si>
    <t>REG100319</t>
  </si>
  <si>
    <t>REG100320</t>
  </si>
  <si>
    <t>REG100321</t>
  </si>
  <si>
    <t>REG100322</t>
  </si>
  <si>
    <t>REG100323</t>
  </si>
  <si>
    <t>REG100324</t>
  </si>
  <si>
    <t>REG100325</t>
  </si>
  <si>
    <t>REG100326</t>
  </si>
  <si>
    <t>REG100327</t>
  </si>
  <si>
    <t>REG100328</t>
  </si>
  <si>
    <t>REG100329</t>
  </si>
  <si>
    <t>REG100330</t>
  </si>
  <si>
    <t>REG100331</t>
  </si>
  <si>
    <t>REG100332</t>
  </si>
  <si>
    <t>REG100333</t>
  </si>
  <si>
    <t>REG100334</t>
  </si>
  <si>
    <t>REG100335</t>
  </si>
  <si>
    <t>REG100336</t>
  </si>
  <si>
    <t>REG100337</t>
  </si>
  <si>
    <t>REG100338</t>
  </si>
  <si>
    <t>REG100339</t>
  </si>
  <si>
    <t>REG100340</t>
  </si>
  <si>
    <t>REG100341</t>
  </si>
  <si>
    <t>REG100342</t>
  </si>
  <si>
    <t>REG100343</t>
  </si>
  <si>
    <t>REG100344</t>
  </si>
  <si>
    <t>REG100345</t>
  </si>
  <si>
    <t>REG100346</t>
  </si>
  <si>
    <t>REG100347</t>
  </si>
  <si>
    <t>REG100348</t>
  </si>
  <si>
    <t>REG100349</t>
  </si>
  <si>
    <t>REG100350</t>
  </si>
  <si>
    <t>REG100351</t>
  </si>
  <si>
    <t>REG100352</t>
  </si>
  <si>
    <t>REG100353</t>
  </si>
  <si>
    <t>REG100354</t>
  </si>
  <si>
    <t>REG100355</t>
  </si>
  <si>
    <t>REG100356</t>
  </si>
  <si>
    <t>REG100357</t>
  </si>
  <si>
    <t>REG100358</t>
  </si>
  <si>
    <t>REG100359</t>
  </si>
  <si>
    <t>REG100360</t>
  </si>
  <si>
    <t>REG100361</t>
  </si>
  <si>
    <t>REG100362</t>
  </si>
  <si>
    <t>REG100363</t>
  </si>
  <si>
    <t>REG100364</t>
  </si>
  <si>
    <t>REG100365</t>
  </si>
  <si>
    <t>REG100366</t>
  </si>
  <si>
    <t>REG100367</t>
  </si>
  <si>
    <t>REG100368</t>
  </si>
  <si>
    <t>REG100369</t>
  </si>
  <si>
    <t>REG100370</t>
  </si>
  <si>
    <t>REG100371</t>
  </si>
  <si>
    <t>REG100372</t>
  </si>
  <si>
    <t>REG100373</t>
  </si>
  <si>
    <t>REG100374</t>
  </si>
  <si>
    <t>REG100375</t>
  </si>
  <si>
    <t>REG100376</t>
  </si>
  <si>
    <t>REG100377</t>
  </si>
  <si>
    <t>REG100378</t>
  </si>
  <si>
    <t>REG100379</t>
  </si>
  <si>
    <t>REG100380</t>
  </si>
  <si>
    <t>REG100381</t>
  </si>
  <si>
    <t>REG100382</t>
  </si>
  <si>
    <t>REG100383</t>
  </si>
  <si>
    <t>REG100384</t>
  </si>
  <si>
    <t>REG100385</t>
  </si>
  <si>
    <t>REG100386</t>
  </si>
  <si>
    <t>REG100387</t>
  </si>
  <si>
    <t>REG100388</t>
  </si>
  <si>
    <t>REG100389</t>
  </si>
  <si>
    <t>REG100390</t>
  </si>
  <si>
    <t>REG100391</t>
  </si>
  <si>
    <t>REG100392</t>
  </si>
  <si>
    <t>REG100393</t>
  </si>
  <si>
    <t>REG100394</t>
  </si>
  <si>
    <t>REG100395</t>
  </si>
  <si>
    <t>REG100396</t>
  </si>
  <si>
    <t>REG100397</t>
  </si>
  <si>
    <t>REG100398</t>
  </si>
  <si>
    <t>REG100399</t>
  </si>
  <si>
    <t>REG100400</t>
  </si>
  <si>
    <t>REG100401</t>
  </si>
  <si>
    <t>REG100402</t>
  </si>
  <si>
    <t>REG100403</t>
  </si>
  <si>
    <t>REG100404</t>
  </si>
  <si>
    <t>REG100405</t>
  </si>
  <si>
    <t>REG100406</t>
  </si>
  <si>
    <t>REG100407</t>
  </si>
  <si>
    <t>REG100408</t>
  </si>
  <si>
    <t>REG100409</t>
  </si>
  <si>
    <t>REG100410</t>
  </si>
  <si>
    <t>REG100411</t>
  </si>
  <si>
    <t>REG100412</t>
  </si>
  <si>
    <t>REG100413</t>
  </si>
  <si>
    <t>REG100414</t>
  </si>
  <si>
    <t>REG100415</t>
  </si>
  <si>
    <t>REG100416</t>
  </si>
  <si>
    <t>REG100417</t>
  </si>
  <si>
    <t>REG100418</t>
  </si>
  <si>
    <t>REG100419</t>
  </si>
  <si>
    <t>REG100420</t>
  </si>
  <si>
    <t>REG100421</t>
  </si>
  <si>
    <t>REG100422</t>
  </si>
  <si>
    <t>REG100423</t>
  </si>
  <si>
    <t>REG100424</t>
  </si>
  <si>
    <t>REG100425</t>
  </si>
  <si>
    <t>REG100426</t>
  </si>
  <si>
    <t>REG100427</t>
  </si>
  <si>
    <t>REG100428</t>
  </si>
  <si>
    <t>REG100429</t>
  </si>
  <si>
    <t>REG100430</t>
  </si>
  <si>
    <t>REG100431</t>
  </si>
  <si>
    <t>REG100432</t>
  </si>
  <si>
    <t>REG100433</t>
  </si>
  <si>
    <t>REG100434</t>
  </si>
  <si>
    <t>REG100435</t>
  </si>
  <si>
    <t>REG100436</t>
  </si>
  <si>
    <t>REG100437</t>
  </si>
  <si>
    <t>REG100438</t>
  </si>
  <si>
    <t>REG100439</t>
  </si>
  <si>
    <t>REG100440</t>
  </si>
  <si>
    <t>REG100441</t>
  </si>
  <si>
    <t>REG100442</t>
  </si>
  <si>
    <t>REG100443</t>
  </si>
  <si>
    <t>REG100444</t>
  </si>
  <si>
    <t>REG100445</t>
  </si>
  <si>
    <t>REG100446</t>
  </si>
  <si>
    <t>REG100447</t>
  </si>
  <si>
    <t>REG100448</t>
  </si>
  <si>
    <t>REG100449</t>
  </si>
  <si>
    <t>REG100450</t>
  </si>
  <si>
    <t>REG100451</t>
  </si>
  <si>
    <t>REG100452</t>
  </si>
  <si>
    <t>REG100453</t>
  </si>
  <si>
    <t>REG100454</t>
  </si>
  <si>
    <t>REG100455</t>
  </si>
  <si>
    <t>REG100456</t>
  </si>
  <si>
    <t>REG100457</t>
  </si>
  <si>
    <t>REG100458</t>
  </si>
  <si>
    <t>REG100459</t>
  </si>
  <si>
    <t>REG100460</t>
  </si>
  <si>
    <t>REG100461</t>
  </si>
  <si>
    <t>REG100462</t>
  </si>
  <si>
    <t>REG100463</t>
  </si>
  <si>
    <t>REG100464</t>
  </si>
  <si>
    <t>REG100465</t>
  </si>
  <si>
    <t>REG100466</t>
  </si>
  <si>
    <t>REG100467</t>
  </si>
  <si>
    <t>REG100468</t>
  </si>
  <si>
    <t>REG100469</t>
  </si>
  <si>
    <t>REG100470</t>
  </si>
  <si>
    <t>REG100471</t>
  </si>
  <si>
    <t>REG100472</t>
  </si>
  <si>
    <t>REG100473</t>
  </si>
  <si>
    <t>REG100474</t>
  </si>
  <si>
    <t>REG100475</t>
  </si>
  <si>
    <t>REG100476</t>
  </si>
  <si>
    <t>REG100477</t>
  </si>
  <si>
    <t>REG100478</t>
  </si>
  <si>
    <t>REG100479</t>
  </si>
  <si>
    <t>REG100480</t>
  </si>
  <si>
    <t>REG100481</t>
  </si>
  <si>
    <t>REG100482</t>
  </si>
  <si>
    <t>REG100483</t>
  </si>
  <si>
    <t>REG100484</t>
  </si>
  <si>
    <t>REG100485</t>
  </si>
  <si>
    <t>REG100486</t>
  </si>
  <si>
    <t>REG100487</t>
  </si>
  <si>
    <t>REG100488</t>
  </si>
  <si>
    <t>REG100489</t>
  </si>
  <si>
    <t>REG100490</t>
  </si>
  <si>
    <t>REG100491</t>
  </si>
  <si>
    <t>REG100492</t>
  </si>
  <si>
    <t>REG100493</t>
  </si>
  <si>
    <t>REG100494</t>
  </si>
  <si>
    <t>REG100495</t>
  </si>
  <si>
    <t>REG100496</t>
  </si>
  <si>
    <t>REG100497</t>
  </si>
  <si>
    <t>REG100498</t>
  </si>
  <si>
    <t>REG100499</t>
  </si>
  <si>
    <t>REG100500</t>
  </si>
  <si>
    <t>REG100501</t>
  </si>
  <si>
    <t>REG100502</t>
  </si>
  <si>
    <t>REG100503</t>
  </si>
  <si>
    <t>REG100504</t>
  </si>
  <si>
    <t>REG100505</t>
  </si>
  <si>
    <t>REG100506</t>
  </si>
  <si>
    <t>REG100507</t>
  </si>
  <si>
    <t>REG100508</t>
  </si>
  <si>
    <t>REG100509</t>
  </si>
  <si>
    <t>REG100510</t>
  </si>
  <si>
    <t>REG100511</t>
  </si>
  <si>
    <t>REG100512</t>
  </si>
  <si>
    <t>REG100513</t>
  </si>
  <si>
    <t>REG100514</t>
  </si>
  <si>
    <t>REG100515</t>
  </si>
  <si>
    <t>REG100516</t>
  </si>
  <si>
    <t>REG100517</t>
  </si>
  <si>
    <t>REG100518</t>
  </si>
  <si>
    <t>REG100519</t>
  </si>
  <si>
    <t>REG100520</t>
  </si>
  <si>
    <t>REG100521</t>
  </si>
  <si>
    <t>REG100522</t>
  </si>
  <si>
    <t>REG100523</t>
  </si>
  <si>
    <t>REG100524</t>
  </si>
  <si>
    <t>REG100525</t>
  </si>
  <si>
    <t>REG100526</t>
  </si>
  <si>
    <t>REG100527</t>
  </si>
  <si>
    <t>REG100528</t>
  </si>
  <si>
    <t>REG100529</t>
  </si>
  <si>
    <t>REG100530</t>
  </si>
  <si>
    <t>REG100531</t>
  </si>
  <si>
    <t>REG100532</t>
  </si>
  <si>
    <t>REG100533</t>
  </si>
  <si>
    <t>REG100534</t>
  </si>
  <si>
    <t>REG100535</t>
  </si>
  <si>
    <t>REG100536</t>
  </si>
  <si>
    <t>REG100537</t>
  </si>
  <si>
    <t>REG100538</t>
  </si>
  <si>
    <t>REG100539</t>
  </si>
  <si>
    <t>REG100540</t>
  </si>
  <si>
    <t>REG100541</t>
  </si>
  <si>
    <t>REG100542</t>
  </si>
  <si>
    <t>REG100543</t>
  </si>
  <si>
    <t>REG100544</t>
  </si>
  <si>
    <t>REG100545</t>
  </si>
  <si>
    <t>REG100546</t>
  </si>
  <si>
    <t>REG100547</t>
  </si>
  <si>
    <t>REG100548</t>
  </si>
  <si>
    <t>REG100549</t>
  </si>
  <si>
    <t>REG100550</t>
  </si>
  <si>
    <t>REG100551</t>
  </si>
  <si>
    <t>REG100552</t>
  </si>
  <si>
    <t>REG100553</t>
  </si>
  <si>
    <t>REG100554</t>
  </si>
  <si>
    <t>REG100555</t>
  </si>
  <si>
    <t>REG100556</t>
  </si>
  <si>
    <t>REG100557</t>
  </si>
  <si>
    <t>REG100558</t>
  </si>
  <si>
    <t>REG100559</t>
  </si>
  <si>
    <t>REG100560</t>
  </si>
  <si>
    <t>REG100561</t>
  </si>
  <si>
    <t>REG100562</t>
  </si>
  <si>
    <t>REG100563</t>
  </si>
  <si>
    <t>REG100564</t>
  </si>
  <si>
    <t>REG100565</t>
  </si>
  <si>
    <t>REG100566</t>
  </si>
  <si>
    <t>REG100567</t>
  </si>
  <si>
    <t>REG100568</t>
  </si>
  <si>
    <t>REG100569</t>
  </si>
  <si>
    <t>REG100570</t>
  </si>
  <si>
    <t>REG100571</t>
  </si>
  <si>
    <t>REG100572</t>
  </si>
  <si>
    <t>REG100573</t>
  </si>
  <si>
    <t>REG100574</t>
  </si>
  <si>
    <t>REG100575</t>
  </si>
  <si>
    <t>REG100576</t>
  </si>
  <si>
    <t>REG100577</t>
  </si>
  <si>
    <t>REG100578</t>
  </si>
  <si>
    <t>REG100579</t>
  </si>
  <si>
    <t>REG100580</t>
  </si>
  <si>
    <t>REG100581</t>
  </si>
  <si>
    <t>REG100582</t>
  </si>
  <si>
    <t>REG100583</t>
  </si>
  <si>
    <t>REG100584</t>
  </si>
  <si>
    <t>REG100585</t>
  </si>
  <si>
    <t>REG100586</t>
  </si>
  <si>
    <t>REG100587</t>
  </si>
  <si>
    <t>REG100588</t>
  </si>
  <si>
    <t>REG100589</t>
  </si>
  <si>
    <t>REG100590</t>
  </si>
  <si>
    <t>REG100591</t>
  </si>
  <si>
    <t>REG100592</t>
  </si>
  <si>
    <t>REG100593</t>
  </si>
  <si>
    <t>REG100594</t>
  </si>
  <si>
    <t>REG100595</t>
  </si>
  <si>
    <t>REG100596</t>
  </si>
  <si>
    <t>REG100597</t>
  </si>
  <si>
    <t>REG100598</t>
  </si>
  <si>
    <t>REG100599</t>
  </si>
  <si>
    <t>REG100600</t>
  </si>
  <si>
    <t>REG100601</t>
  </si>
  <si>
    <t>REG100602</t>
  </si>
  <si>
    <t>REG100603</t>
  </si>
  <si>
    <t>REG100604</t>
  </si>
  <si>
    <t>REG100605</t>
  </si>
  <si>
    <t>REG100606</t>
  </si>
  <si>
    <t>REG100607</t>
  </si>
  <si>
    <t>REG100608</t>
  </si>
  <si>
    <t>REG100609</t>
  </si>
  <si>
    <t>REG100610</t>
  </si>
  <si>
    <t>REG100611</t>
  </si>
  <si>
    <t>REG100612</t>
  </si>
  <si>
    <t>REG100613</t>
  </si>
  <si>
    <t>REG100614</t>
  </si>
  <si>
    <t>REG100615</t>
  </si>
  <si>
    <t>REG100616</t>
  </si>
  <si>
    <t>REG100617</t>
  </si>
  <si>
    <t>REG100618</t>
  </si>
  <si>
    <t>REG100619</t>
  </si>
  <si>
    <t>REG100620</t>
  </si>
  <si>
    <t>REG100621</t>
  </si>
  <si>
    <t>REG100622</t>
  </si>
  <si>
    <t>REG100623</t>
  </si>
  <si>
    <t>REG100624</t>
  </si>
  <si>
    <t>REG100625</t>
  </si>
  <si>
    <t>REG100626</t>
  </si>
  <si>
    <t>REG100627</t>
  </si>
  <si>
    <t>REG100628</t>
  </si>
  <si>
    <t>REG100629</t>
  </si>
  <si>
    <t>REG100630</t>
  </si>
  <si>
    <t>REG100631</t>
  </si>
  <si>
    <t>REG100632</t>
  </si>
  <si>
    <t>REG100633</t>
  </si>
  <si>
    <t>REG100634</t>
  </si>
  <si>
    <t>REG100635</t>
  </si>
  <si>
    <t>REG100636</t>
  </si>
  <si>
    <t>REG100637</t>
  </si>
  <si>
    <t>REG100638</t>
  </si>
  <si>
    <t>REG100639</t>
  </si>
  <si>
    <t>REG100640</t>
  </si>
  <si>
    <t>REG100641</t>
  </si>
  <si>
    <t>REG100642</t>
  </si>
  <si>
    <t>REG100643</t>
  </si>
  <si>
    <t>REG100644</t>
  </si>
  <si>
    <t>REG100645</t>
  </si>
  <si>
    <t>REG100646</t>
  </si>
  <si>
    <t>REG100647</t>
  </si>
  <si>
    <t>REG100648</t>
  </si>
  <si>
    <t>REG100649</t>
  </si>
  <si>
    <t>REG100650</t>
  </si>
  <si>
    <t>REG100651</t>
  </si>
  <si>
    <t>REG100652</t>
  </si>
  <si>
    <t>REG100653</t>
  </si>
  <si>
    <t>REG100654</t>
  </si>
  <si>
    <t>REG100655</t>
  </si>
  <si>
    <t>REG100656</t>
  </si>
  <si>
    <t>REG100657</t>
  </si>
  <si>
    <t>REG100658</t>
  </si>
  <si>
    <t>REG100659</t>
  </si>
  <si>
    <t>REG100660</t>
  </si>
  <si>
    <t>REG100661</t>
  </si>
  <si>
    <t>REG100662</t>
  </si>
  <si>
    <t>REG100663</t>
  </si>
  <si>
    <t>REG100664</t>
  </si>
  <si>
    <t>REG100665</t>
  </si>
  <si>
    <t>REG100666</t>
  </si>
  <si>
    <t>REG100667</t>
  </si>
  <si>
    <t>REG100668</t>
  </si>
  <si>
    <t>REG100669</t>
  </si>
  <si>
    <t>REG100670</t>
  </si>
  <si>
    <t>REG100671</t>
  </si>
  <si>
    <t>REG100672</t>
  </si>
  <si>
    <t>REG100673</t>
  </si>
  <si>
    <t>REG100674</t>
  </si>
  <si>
    <t>REG100675</t>
  </si>
  <si>
    <t>REG100676</t>
  </si>
  <si>
    <t>REG100677</t>
  </si>
  <si>
    <t>REG100678</t>
  </si>
  <si>
    <t>REG100679</t>
  </si>
  <si>
    <t>REG100680</t>
  </si>
  <si>
    <t>REG100681</t>
  </si>
  <si>
    <t>REG100682</t>
  </si>
  <si>
    <t>REG100683</t>
  </si>
  <si>
    <t>REG100684</t>
  </si>
  <si>
    <t>REG100685</t>
  </si>
  <si>
    <t>REG100686</t>
  </si>
  <si>
    <t>REG100687</t>
  </si>
  <si>
    <t>REG100688</t>
  </si>
  <si>
    <t>REG100689</t>
  </si>
  <si>
    <t>REG100690</t>
  </si>
  <si>
    <t>REG100691</t>
  </si>
  <si>
    <t>REG100692</t>
  </si>
  <si>
    <t>REG100693</t>
  </si>
  <si>
    <t>REG100694</t>
  </si>
  <si>
    <t>REG100695</t>
  </si>
  <si>
    <t>REG100696</t>
  </si>
  <si>
    <t>REG100697</t>
  </si>
  <si>
    <t>REG100698</t>
  </si>
  <si>
    <t>REG100699</t>
  </si>
  <si>
    <t>REG100700</t>
  </si>
  <si>
    <t>REG100701</t>
  </si>
  <si>
    <t>REG100702</t>
  </si>
  <si>
    <t>REG100703</t>
  </si>
  <si>
    <t>REG100704</t>
  </si>
  <si>
    <t>REG100705</t>
  </si>
  <si>
    <t>REG100706</t>
  </si>
  <si>
    <t>REG100707</t>
  </si>
  <si>
    <t>REG100708</t>
  </si>
  <si>
    <t>REG100709</t>
  </si>
  <si>
    <t>REG100710</t>
  </si>
  <si>
    <t>REG100711</t>
  </si>
  <si>
    <t>REG100712</t>
  </si>
  <si>
    <t>REG100713</t>
  </si>
  <si>
    <t>REG100714</t>
  </si>
  <si>
    <t>REG100715</t>
  </si>
  <si>
    <t>REG100716</t>
  </si>
  <si>
    <t>REG100717</t>
  </si>
  <si>
    <t>REG100718</t>
  </si>
  <si>
    <t>REG100719</t>
  </si>
  <si>
    <t>REG100720</t>
  </si>
  <si>
    <t>REG100721</t>
  </si>
  <si>
    <t>REG100722</t>
  </si>
  <si>
    <t>REG100723</t>
  </si>
  <si>
    <t>REG100724</t>
  </si>
  <si>
    <t>REG100725</t>
  </si>
  <si>
    <t>REG100726</t>
  </si>
  <si>
    <t>REG100727</t>
  </si>
  <si>
    <t>REG100728</t>
  </si>
  <si>
    <t>REG100729</t>
  </si>
  <si>
    <t>REG100730</t>
  </si>
  <si>
    <t>REG100731</t>
  </si>
  <si>
    <t>REG100732</t>
  </si>
  <si>
    <t>REG100733</t>
  </si>
  <si>
    <t>REG100734</t>
  </si>
  <si>
    <t>REG100735</t>
  </si>
  <si>
    <t>REG100736</t>
  </si>
  <si>
    <t>REG100737</t>
  </si>
  <si>
    <t>REG100738</t>
  </si>
  <si>
    <t>REG100739</t>
  </si>
  <si>
    <t>REG100740</t>
  </si>
  <si>
    <t>REG100741</t>
  </si>
  <si>
    <t>REG100742</t>
  </si>
  <si>
    <t>REG100743</t>
  </si>
  <si>
    <t>REG100744</t>
  </si>
  <si>
    <t>REG100745</t>
  </si>
  <si>
    <t>REG100746</t>
  </si>
  <si>
    <t>REG100747</t>
  </si>
  <si>
    <t>REG100748</t>
  </si>
  <si>
    <t>REG100749</t>
  </si>
  <si>
    <t>REG100750</t>
  </si>
  <si>
    <t>REG100751</t>
  </si>
  <si>
    <t>REG100752</t>
  </si>
  <si>
    <t>REG100753</t>
  </si>
  <si>
    <t>REG100754</t>
  </si>
  <si>
    <t>REG100755</t>
  </si>
  <si>
    <t>REG100756</t>
  </si>
  <si>
    <t>REG100757</t>
  </si>
  <si>
    <t>REG100758</t>
  </si>
  <si>
    <t>REG100759</t>
  </si>
  <si>
    <t>REG100760</t>
  </si>
  <si>
    <t>REG100761</t>
  </si>
  <si>
    <t>REG100762</t>
  </si>
  <si>
    <t>REG100763</t>
  </si>
  <si>
    <t>REG100764</t>
  </si>
  <si>
    <t>REG100765</t>
  </si>
  <si>
    <t>REG100766</t>
  </si>
  <si>
    <t>REG100767</t>
  </si>
  <si>
    <t>REG100768</t>
  </si>
  <si>
    <t>REG100769</t>
  </si>
  <si>
    <t>REG100770</t>
  </si>
  <si>
    <t>REG100771</t>
  </si>
  <si>
    <t>REG100772</t>
  </si>
  <si>
    <t>REG100773</t>
  </si>
  <si>
    <t>REG100774</t>
  </si>
  <si>
    <t>REG100775</t>
  </si>
  <si>
    <t>REG100776</t>
  </si>
  <si>
    <t>REG100777</t>
  </si>
  <si>
    <t>REG100778</t>
  </si>
  <si>
    <t>REG100779</t>
  </si>
  <si>
    <t>REG100780</t>
  </si>
  <si>
    <t>REG100781</t>
  </si>
  <si>
    <t>REG100782</t>
  </si>
  <si>
    <t>REG100783</t>
  </si>
  <si>
    <t>REG100784</t>
  </si>
  <si>
    <t>REG100785</t>
  </si>
  <si>
    <t>REG100786</t>
  </si>
  <si>
    <t>REG100787</t>
  </si>
  <si>
    <t>REG100788</t>
  </si>
  <si>
    <t>REG100789</t>
  </si>
  <si>
    <t>REG100790</t>
  </si>
  <si>
    <t>REG100791</t>
  </si>
  <si>
    <t>REG100792</t>
  </si>
  <si>
    <t>REG100793</t>
  </si>
  <si>
    <t>REG100794</t>
  </si>
  <si>
    <t>REG100795</t>
  </si>
  <si>
    <t>REG100796</t>
  </si>
  <si>
    <t>REG100797</t>
  </si>
  <si>
    <t>REG100798</t>
  </si>
  <si>
    <t>REG100799</t>
  </si>
  <si>
    <t>REG100800</t>
  </si>
  <si>
    <t>REG100801</t>
  </si>
  <si>
    <t>REG100802</t>
  </si>
  <si>
    <t>REG100803</t>
  </si>
  <si>
    <t>REG100804</t>
  </si>
  <si>
    <t>REG100805</t>
  </si>
  <si>
    <t>REG100806</t>
  </si>
  <si>
    <t>REG100807</t>
  </si>
  <si>
    <t>REG100808</t>
  </si>
  <si>
    <t>REG100809</t>
  </si>
  <si>
    <t>REG100810</t>
  </si>
  <si>
    <t>REG100811</t>
  </si>
  <si>
    <t>REG100812</t>
  </si>
  <si>
    <t>REG100813</t>
  </si>
  <si>
    <t>REG100814</t>
  </si>
  <si>
    <t>REG100815</t>
  </si>
  <si>
    <t>REG100816</t>
  </si>
  <si>
    <t>REG100817</t>
  </si>
  <si>
    <t>REG100818</t>
  </si>
  <si>
    <t>REG100819</t>
  </si>
  <si>
    <t>REG100820</t>
  </si>
  <si>
    <t>REG100821</t>
  </si>
  <si>
    <t>REG100822</t>
  </si>
  <si>
    <t>REG100823</t>
  </si>
  <si>
    <t>REG100824</t>
  </si>
  <si>
    <t>REG100825</t>
  </si>
  <si>
    <t>REG100826</t>
  </si>
  <si>
    <t>REG100827</t>
  </si>
  <si>
    <t>REG100828</t>
  </si>
  <si>
    <t>REG100829</t>
  </si>
  <si>
    <t>REG100830</t>
  </si>
  <si>
    <t>REG100831</t>
  </si>
  <si>
    <t>REG100832</t>
  </si>
  <si>
    <t>REG100833</t>
  </si>
  <si>
    <t>REG100834</t>
  </si>
  <si>
    <t>REG100835</t>
  </si>
  <si>
    <t>REG100836</t>
  </si>
  <si>
    <t>REG100837</t>
  </si>
  <si>
    <t>REG100838</t>
  </si>
  <si>
    <t>REG100839</t>
  </si>
  <si>
    <t>REG100840</t>
  </si>
  <si>
    <t>REG100841</t>
  </si>
  <si>
    <t>REG100842</t>
  </si>
  <si>
    <t>REG100843</t>
  </si>
  <si>
    <t>REG100844</t>
  </si>
  <si>
    <t>REG100845</t>
  </si>
  <si>
    <t>REG100846</t>
  </si>
  <si>
    <t>REG100847</t>
  </si>
  <si>
    <t>REG100848</t>
  </si>
  <si>
    <t>REG100849</t>
  </si>
  <si>
    <t>REG100850</t>
  </si>
  <si>
    <t>REG100851</t>
  </si>
  <si>
    <t>REG100852</t>
  </si>
  <si>
    <t>REG100853</t>
  </si>
  <si>
    <t>REG100854</t>
  </si>
  <si>
    <t>REG100855</t>
  </si>
  <si>
    <t>REG100856</t>
  </si>
  <si>
    <t>REG100857</t>
  </si>
  <si>
    <t>REG100858</t>
  </si>
  <si>
    <t>REG100859</t>
  </si>
  <si>
    <t>REG100860</t>
  </si>
  <si>
    <t>REG100861</t>
  </si>
  <si>
    <t>REG100862</t>
  </si>
  <si>
    <t>REG100863</t>
  </si>
  <si>
    <t>REG100864</t>
  </si>
  <si>
    <t>REG100865</t>
  </si>
  <si>
    <t>REG100866</t>
  </si>
  <si>
    <t>REG100867</t>
  </si>
  <si>
    <t>REG100868</t>
  </si>
  <si>
    <t>REG100869</t>
  </si>
  <si>
    <t>REG100870</t>
  </si>
  <si>
    <t>REG100871</t>
  </si>
  <si>
    <t>REG100872</t>
  </si>
  <si>
    <t>REG100873</t>
  </si>
  <si>
    <t>REG100874</t>
  </si>
  <si>
    <t>REG100875</t>
  </si>
  <si>
    <t>REG100876</t>
  </si>
  <si>
    <t>REG100877</t>
  </si>
  <si>
    <t>REG100878</t>
  </si>
  <si>
    <t>REG100879</t>
  </si>
  <si>
    <t>REG100880</t>
  </si>
  <si>
    <t>REG100881</t>
  </si>
  <si>
    <t>REG100882</t>
  </si>
  <si>
    <t>REG100883</t>
  </si>
  <si>
    <t>REG100884</t>
  </si>
  <si>
    <t>REG100885</t>
  </si>
  <si>
    <t>REG100886</t>
  </si>
  <si>
    <t>REG100887</t>
  </si>
  <si>
    <t>REG100888</t>
  </si>
  <si>
    <t>REG100889</t>
  </si>
  <si>
    <t>REG100890</t>
  </si>
  <si>
    <t>REG100891</t>
  </si>
  <si>
    <t>REG100892</t>
  </si>
  <si>
    <t>REG100893</t>
  </si>
  <si>
    <t>REG100894</t>
  </si>
  <si>
    <t>REG100895</t>
  </si>
  <si>
    <t>REG100896</t>
  </si>
  <si>
    <t>REG100897</t>
  </si>
  <si>
    <t>REG100898</t>
  </si>
  <si>
    <t>REG100899</t>
  </si>
  <si>
    <t>REG100900</t>
  </si>
  <si>
    <t>REG100901</t>
  </si>
  <si>
    <t>REG100902</t>
  </si>
  <si>
    <t>REG100903</t>
  </si>
  <si>
    <t>REG100904</t>
  </si>
  <si>
    <t>REG100905</t>
  </si>
  <si>
    <t>REG100906</t>
  </si>
  <si>
    <t>REG100907</t>
  </si>
  <si>
    <t>REG100908</t>
  </si>
  <si>
    <t>REG100909</t>
  </si>
  <si>
    <t>REG100910</t>
  </si>
  <si>
    <t>REG100911</t>
  </si>
  <si>
    <t>REG100912</t>
  </si>
  <si>
    <t>REG100913</t>
  </si>
  <si>
    <t>REG100914</t>
  </si>
  <si>
    <t>REG100915</t>
  </si>
  <si>
    <t>REG100916</t>
  </si>
  <si>
    <t>REG100917</t>
  </si>
  <si>
    <t>REG100918</t>
  </si>
  <si>
    <t>REG100919</t>
  </si>
  <si>
    <t>REG100920</t>
  </si>
  <si>
    <t>REG100921</t>
  </si>
  <si>
    <t>REG100922</t>
  </si>
  <si>
    <t>REG100923</t>
  </si>
  <si>
    <t>REG100924</t>
  </si>
  <si>
    <t>REG100925</t>
  </si>
  <si>
    <t>REG100926</t>
  </si>
  <si>
    <t>REG100927</t>
  </si>
  <si>
    <t>REG100928</t>
  </si>
  <si>
    <t>REG100929</t>
  </si>
  <si>
    <t>REG100930</t>
  </si>
  <si>
    <t>REG100931</t>
  </si>
  <si>
    <t>REG100932</t>
  </si>
  <si>
    <t>REG100933</t>
  </si>
  <si>
    <t>REG100934</t>
  </si>
  <si>
    <t>REG100935</t>
  </si>
  <si>
    <t>REG100936</t>
  </si>
  <si>
    <t>REG100937</t>
  </si>
  <si>
    <t>REG100938</t>
  </si>
  <si>
    <t>REG100939</t>
  </si>
  <si>
    <t>REG100940</t>
  </si>
  <si>
    <t>REG100941</t>
  </si>
  <si>
    <t>REG100942</t>
  </si>
  <si>
    <t>REG100943</t>
  </si>
  <si>
    <t>REG100944</t>
  </si>
  <si>
    <t>REG100945</t>
  </si>
  <si>
    <t>REG100946</t>
  </si>
  <si>
    <t>REG100947</t>
  </si>
  <si>
    <t>REG100948</t>
  </si>
  <si>
    <t>REG100949</t>
  </si>
  <si>
    <t>REG100950</t>
  </si>
  <si>
    <t>REG100951</t>
  </si>
  <si>
    <t>REG100952</t>
  </si>
  <si>
    <t>REG100953</t>
  </si>
  <si>
    <t>REG100954</t>
  </si>
  <si>
    <t>REG100955</t>
  </si>
  <si>
    <t>REG100956</t>
  </si>
  <si>
    <t>REG100957</t>
  </si>
  <si>
    <t>REG100958</t>
  </si>
  <si>
    <t>REG100959</t>
  </si>
  <si>
    <t>REG100960</t>
  </si>
  <si>
    <t>REG100961</t>
  </si>
  <si>
    <t>REG100962</t>
  </si>
  <si>
    <t>REG100963</t>
  </si>
  <si>
    <t>REG100964</t>
  </si>
  <si>
    <t>REG100965</t>
  </si>
  <si>
    <t>REG100966</t>
  </si>
  <si>
    <t>REG100967</t>
  </si>
  <si>
    <t>REG100968</t>
  </si>
  <si>
    <t>REG100969</t>
  </si>
  <si>
    <t>REG100970</t>
  </si>
  <si>
    <t>REG100971</t>
  </si>
  <si>
    <t>REG100972</t>
  </si>
  <si>
    <t>REG100973</t>
  </si>
  <si>
    <t>REG100974</t>
  </si>
  <si>
    <t>REG100975</t>
  </si>
  <si>
    <t>REG100976</t>
  </si>
  <si>
    <t>REG100977</t>
  </si>
  <si>
    <t>REG100978</t>
  </si>
  <si>
    <t>REG100979</t>
  </si>
  <si>
    <t>REG100980</t>
  </si>
  <si>
    <t>REG100981</t>
  </si>
  <si>
    <t>REG100982</t>
  </si>
  <si>
    <t>REG100983</t>
  </si>
  <si>
    <t>REG100984</t>
  </si>
  <si>
    <t>REG100985</t>
  </si>
  <si>
    <t>REG100986</t>
  </si>
  <si>
    <t>REG100987</t>
  </si>
  <si>
    <t>REG100988</t>
  </si>
  <si>
    <t>REG100989</t>
  </si>
  <si>
    <t>REG100990</t>
  </si>
  <si>
    <t>REG100991</t>
  </si>
  <si>
    <t>REG100992</t>
  </si>
  <si>
    <t>REG100993</t>
  </si>
  <si>
    <t>REG100994</t>
  </si>
  <si>
    <t>REG100995</t>
  </si>
  <si>
    <t>REG100996</t>
  </si>
  <si>
    <t>REG100997</t>
  </si>
  <si>
    <t>REG100998</t>
  </si>
  <si>
    <t>REG100999</t>
  </si>
  <si>
    <t>REG101000</t>
  </si>
  <si>
    <t>REG101001</t>
  </si>
  <si>
    <t>REG101002</t>
  </si>
  <si>
    <t>REG101003</t>
  </si>
  <si>
    <t>REG101004</t>
  </si>
  <si>
    <t>REG101005</t>
  </si>
  <si>
    <t>REG101006</t>
  </si>
  <si>
    <t>REG101007</t>
  </si>
  <si>
    <t>REG101008</t>
  </si>
  <si>
    <t>REG101009</t>
  </si>
  <si>
    <t>REG101010</t>
  </si>
  <si>
    <t>REG101011</t>
  </si>
  <si>
    <t>REG101012</t>
  </si>
  <si>
    <t>REG101013</t>
  </si>
  <si>
    <t>REG101014</t>
  </si>
  <si>
    <t>REG101015</t>
  </si>
  <si>
    <t>REG101016</t>
  </si>
  <si>
    <t>REG101017</t>
  </si>
  <si>
    <t>REG101018</t>
  </si>
  <si>
    <t>REG101019</t>
  </si>
  <si>
    <t>REG101020</t>
  </si>
  <si>
    <t>REG101021</t>
  </si>
  <si>
    <t>REG101022</t>
  </si>
  <si>
    <t>REG101023</t>
  </si>
  <si>
    <t>REG101024</t>
  </si>
  <si>
    <t>REG101025</t>
  </si>
  <si>
    <t>REG101026</t>
  </si>
  <si>
    <t>REG101027</t>
  </si>
  <si>
    <t>REG101028</t>
  </si>
  <si>
    <t>REG101029</t>
  </si>
  <si>
    <t>REG101030</t>
  </si>
  <si>
    <t>REG101031</t>
  </si>
  <si>
    <t>REG101032</t>
  </si>
  <si>
    <t>REG101033</t>
  </si>
  <si>
    <t>REG101034</t>
  </si>
  <si>
    <t>REG101035</t>
  </si>
  <si>
    <t>REG101036</t>
  </si>
  <si>
    <t>REG101037</t>
  </si>
  <si>
    <t>REG101038</t>
  </si>
  <si>
    <t>REG101039</t>
  </si>
  <si>
    <t>REG101040</t>
  </si>
  <si>
    <t>REG101041</t>
  </si>
  <si>
    <t>REG101042</t>
  </si>
  <si>
    <t>REG101043</t>
  </si>
  <si>
    <t>REG101044</t>
  </si>
  <si>
    <t>REG101045</t>
  </si>
  <si>
    <t>REG101046</t>
  </si>
  <si>
    <t>REG101047</t>
  </si>
  <si>
    <t>REG101048</t>
  </si>
  <si>
    <t>REG101049</t>
  </si>
  <si>
    <t>REG101050</t>
  </si>
  <si>
    <t>REG101051</t>
  </si>
  <si>
    <t>REG101052</t>
  </si>
  <si>
    <t>REG101053</t>
  </si>
  <si>
    <t>REG101054</t>
  </si>
  <si>
    <t>REG101055</t>
  </si>
  <si>
    <t>REG101056</t>
  </si>
  <si>
    <t>REG101057</t>
  </si>
  <si>
    <t>REG101058</t>
  </si>
  <si>
    <t>REG101059</t>
  </si>
  <si>
    <t>REG101060</t>
  </si>
  <si>
    <t>REG101061</t>
  </si>
  <si>
    <t>REG101062</t>
  </si>
  <si>
    <t>REG101063</t>
  </si>
  <si>
    <t>REG101064</t>
  </si>
  <si>
    <t>REG101065</t>
  </si>
  <si>
    <t>REG101066</t>
  </si>
  <si>
    <t>REG101067</t>
  </si>
  <si>
    <t>REG101068</t>
  </si>
  <si>
    <t>REG101069</t>
  </si>
  <si>
    <t>REG101070</t>
  </si>
  <si>
    <t>REG101071</t>
  </si>
  <si>
    <t>REG101072</t>
  </si>
  <si>
    <t>REG101073</t>
  </si>
  <si>
    <t>REG101074</t>
  </si>
  <si>
    <t>REG101075</t>
  </si>
  <si>
    <t>REG101076</t>
  </si>
  <si>
    <t>REG101077</t>
  </si>
  <si>
    <t>REG101078</t>
  </si>
  <si>
    <t>REG101079</t>
  </si>
  <si>
    <t>REG101080</t>
  </si>
  <si>
    <t>REG101081</t>
  </si>
  <si>
    <t>REG101082</t>
  </si>
  <si>
    <t>REG101083</t>
  </si>
  <si>
    <t>REG101084</t>
  </si>
  <si>
    <t>REG101085</t>
  </si>
  <si>
    <t>REG101086</t>
  </si>
  <si>
    <t>REG101087</t>
  </si>
  <si>
    <t>REG101088</t>
  </si>
  <si>
    <t>REG101089</t>
  </si>
  <si>
    <t>REG101090</t>
  </si>
  <si>
    <t>REG101091</t>
  </si>
  <si>
    <t>REG101092</t>
  </si>
  <si>
    <t>REG101093</t>
  </si>
  <si>
    <t>REG101094</t>
  </si>
  <si>
    <t>REG101095</t>
  </si>
  <si>
    <t>REG101096</t>
  </si>
  <si>
    <t>REG101097</t>
  </si>
  <si>
    <t>REG101098</t>
  </si>
  <si>
    <t>REG101099</t>
  </si>
  <si>
    <t>REG101100</t>
  </si>
  <si>
    <t>REG101101</t>
  </si>
  <si>
    <t>REG101102</t>
  </si>
  <si>
    <t>REG101103</t>
  </si>
  <si>
    <t>REG101104</t>
  </si>
  <si>
    <t>REG101105</t>
  </si>
  <si>
    <t>REG101106</t>
  </si>
  <si>
    <t>REG101107</t>
  </si>
  <si>
    <t>REG101108</t>
  </si>
  <si>
    <t>REG101109</t>
  </si>
  <si>
    <t>REG101110</t>
  </si>
  <si>
    <t>REG101111</t>
  </si>
  <si>
    <t>REG101112</t>
  </si>
  <si>
    <t>REG101113</t>
  </si>
  <si>
    <t>REG101114</t>
  </si>
  <si>
    <t>REG101115</t>
  </si>
  <si>
    <t>REG101116</t>
  </si>
  <si>
    <t>REG101117</t>
  </si>
  <si>
    <t>REG101118</t>
  </si>
  <si>
    <t>REG101119</t>
  </si>
  <si>
    <t>REG101120</t>
  </si>
  <si>
    <t>REG101121</t>
  </si>
  <si>
    <t>REG101122</t>
  </si>
  <si>
    <t>REG101123</t>
  </si>
  <si>
    <t>REG101124</t>
  </si>
  <si>
    <t>REG101125</t>
  </si>
  <si>
    <t>REG101126</t>
  </si>
  <si>
    <t>REG101127</t>
  </si>
  <si>
    <t>REG101128</t>
  </si>
  <si>
    <t>REG101129</t>
  </si>
  <si>
    <t>REG101130</t>
  </si>
  <si>
    <t>REG101131</t>
  </si>
  <si>
    <t>REG101132</t>
  </si>
  <si>
    <t>REG101133</t>
  </si>
  <si>
    <t>REG101134</t>
  </si>
  <si>
    <t>REG101135</t>
  </si>
  <si>
    <t>REG101136</t>
  </si>
  <si>
    <t>REG101137</t>
  </si>
  <si>
    <t>REG101138</t>
  </si>
  <si>
    <t>REG101139</t>
  </si>
  <si>
    <t>REG101140</t>
  </si>
  <si>
    <t>REG101141</t>
  </si>
  <si>
    <t>REG101142</t>
  </si>
  <si>
    <t>REG101143</t>
  </si>
  <si>
    <t>REG101144</t>
  </si>
  <si>
    <t>REG101145</t>
  </si>
  <si>
    <t>REG101146</t>
  </si>
  <si>
    <t>REG101147</t>
  </si>
  <si>
    <t>REG101148</t>
  </si>
  <si>
    <t>REG101149</t>
  </si>
  <si>
    <t>REG101150</t>
  </si>
  <si>
    <t>REG101151</t>
  </si>
  <si>
    <t>REG101152</t>
  </si>
  <si>
    <t>REG101153</t>
  </si>
  <si>
    <t>REG101154</t>
  </si>
  <si>
    <t>REG101155</t>
  </si>
  <si>
    <t>REG101156</t>
  </si>
  <si>
    <t>REG101157</t>
  </si>
  <si>
    <t>REG101158</t>
  </si>
  <si>
    <t>REG101159</t>
  </si>
  <si>
    <t>REG101160</t>
  </si>
  <si>
    <t>REG101161</t>
  </si>
  <si>
    <t>REG101162</t>
  </si>
  <si>
    <t>REG101163</t>
  </si>
  <si>
    <t>REG101164</t>
  </si>
  <si>
    <t>REG101165</t>
  </si>
  <si>
    <t>REG101166</t>
  </si>
  <si>
    <t>REG101167</t>
  </si>
  <si>
    <t>REG101168</t>
  </si>
  <si>
    <t>REG101169</t>
  </si>
  <si>
    <t>REG101170</t>
  </si>
  <si>
    <t>REG101171</t>
  </si>
  <si>
    <t>REG101172</t>
  </si>
  <si>
    <t>REG101173</t>
  </si>
  <si>
    <t>REG101174</t>
  </si>
  <si>
    <t>REG101175</t>
  </si>
  <si>
    <t>REG101176</t>
  </si>
  <si>
    <t>REG101177</t>
  </si>
  <si>
    <t>REG101178</t>
  </si>
  <si>
    <t>REG101179</t>
  </si>
  <si>
    <t>REG101180</t>
  </si>
  <si>
    <t>REG101181</t>
  </si>
  <si>
    <t>REG101182</t>
  </si>
  <si>
    <t>REG101183</t>
  </si>
  <si>
    <t>REG101184</t>
  </si>
  <si>
    <t>REG101185</t>
  </si>
  <si>
    <t>REG101186</t>
  </si>
  <si>
    <t>REG101187</t>
  </si>
  <si>
    <t>REG101188</t>
  </si>
  <si>
    <t>REG101189</t>
  </si>
  <si>
    <t>REG101190</t>
  </si>
  <si>
    <t>REG101191</t>
  </si>
  <si>
    <t>REG101192</t>
  </si>
  <si>
    <t>REG101193</t>
  </si>
  <si>
    <t>REG101194</t>
  </si>
  <si>
    <t>REG101195</t>
  </si>
  <si>
    <t>REG101196</t>
  </si>
  <si>
    <t>REG101197</t>
  </si>
  <si>
    <t>REG101198</t>
  </si>
  <si>
    <t>REG101199</t>
  </si>
  <si>
    <t>REG101200</t>
  </si>
  <si>
    <t>REG101201</t>
  </si>
  <si>
    <t>REG101202</t>
  </si>
  <si>
    <t>REG101203</t>
  </si>
  <si>
    <t>REG101204</t>
  </si>
  <si>
    <t>REG101205</t>
  </si>
  <si>
    <t>REG101206</t>
  </si>
  <si>
    <t>REG101207</t>
  </si>
  <si>
    <t>REG101208</t>
  </si>
  <si>
    <t>REG101209</t>
  </si>
  <si>
    <t>REG101210</t>
  </si>
  <si>
    <t>REG101211</t>
  </si>
  <si>
    <t>REG101212</t>
  </si>
  <si>
    <t>REG101213</t>
  </si>
  <si>
    <t>REG101214</t>
  </si>
  <si>
    <t>REG101215</t>
  </si>
  <si>
    <t>REG101216</t>
  </si>
  <si>
    <t>REG101217</t>
  </si>
  <si>
    <t>REG101218</t>
  </si>
  <si>
    <t>REG101219</t>
  </si>
  <si>
    <t>REG101220</t>
  </si>
  <si>
    <t>REG101221</t>
  </si>
  <si>
    <t>REG101222</t>
  </si>
  <si>
    <t>REG101223</t>
  </si>
  <si>
    <t>REG101224</t>
  </si>
  <si>
    <t>REG101225</t>
  </si>
  <si>
    <t>REG101226</t>
  </si>
  <si>
    <t>REG101227</t>
  </si>
  <si>
    <t>REG101228</t>
  </si>
  <si>
    <t>REG101229</t>
  </si>
  <si>
    <t>REG101230</t>
  </si>
  <si>
    <t>REG101231</t>
  </si>
  <si>
    <t>REG101232</t>
  </si>
  <si>
    <t>REG101233</t>
  </si>
  <si>
    <t>REG101234</t>
  </si>
  <si>
    <t>REG101235</t>
  </si>
  <si>
    <t>REG101236</t>
  </si>
  <si>
    <t>REG101237</t>
  </si>
  <si>
    <t>REG101238</t>
  </si>
  <si>
    <t>REG101239</t>
  </si>
  <si>
    <t>REG101240</t>
  </si>
  <si>
    <t>REG101241</t>
  </si>
  <si>
    <t>REG101242</t>
  </si>
  <si>
    <t>REG101243</t>
  </si>
  <si>
    <t>REG101244</t>
  </si>
  <si>
    <t>REG101245</t>
  </si>
  <si>
    <t>REG101246</t>
  </si>
  <si>
    <t>REG101247</t>
  </si>
  <si>
    <t>REG101248</t>
  </si>
  <si>
    <t>REG101249</t>
  </si>
  <si>
    <t>REG101250</t>
  </si>
  <si>
    <t>REG101251</t>
  </si>
  <si>
    <t>REG101252</t>
  </si>
  <si>
    <t>REG101253</t>
  </si>
  <si>
    <t>REG101254</t>
  </si>
  <si>
    <t>REG101255</t>
  </si>
  <si>
    <t>REG101256</t>
  </si>
  <si>
    <t>REG101257</t>
  </si>
  <si>
    <t>REG101258</t>
  </si>
  <si>
    <t>REG101259</t>
  </si>
  <si>
    <t>REG101260</t>
  </si>
  <si>
    <t>REG101261</t>
  </si>
  <si>
    <t>REG101262</t>
  </si>
  <si>
    <t>REG101263</t>
  </si>
  <si>
    <t>REG101264</t>
  </si>
  <si>
    <t>REG101265</t>
  </si>
  <si>
    <t>REG101266</t>
  </si>
  <si>
    <t>REG101267</t>
  </si>
  <si>
    <t>REG101268</t>
  </si>
  <si>
    <t>REG101269</t>
  </si>
  <si>
    <t>REG101270</t>
  </si>
  <si>
    <t>REG101271</t>
  </si>
  <si>
    <t>REG101272</t>
  </si>
  <si>
    <t>REG101273</t>
  </si>
  <si>
    <t>REG101274</t>
  </si>
  <si>
    <t>REG101275</t>
  </si>
  <si>
    <t>REG101276</t>
  </si>
  <si>
    <t>REG101277</t>
  </si>
  <si>
    <t>REG101278</t>
  </si>
  <si>
    <t>REG101279</t>
  </si>
  <si>
    <t>REG101280</t>
  </si>
  <si>
    <t>REG101281</t>
  </si>
  <si>
    <t>REG101282</t>
  </si>
  <si>
    <t>REG101283</t>
  </si>
  <si>
    <t>REG101284</t>
  </si>
  <si>
    <t>REG101285</t>
  </si>
  <si>
    <t>REG101286</t>
  </si>
  <si>
    <t>REG101287</t>
  </si>
  <si>
    <t>REG101288</t>
  </si>
  <si>
    <t>REG101289</t>
  </si>
  <si>
    <t>REG101290</t>
  </si>
  <si>
    <t>REG101291</t>
  </si>
  <si>
    <t>REG101292</t>
  </si>
  <si>
    <t>REG101293</t>
  </si>
  <si>
    <t>REG101294</t>
  </si>
  <si>
    <t>REG101295</t>
  </si>
  <si>
    <t>REG101296</t>
  </si>
  <si>
    <t>REG101297</t>
  </si>
  <si>
    <t>REG101298</t>
  </si>
  <si>
    <t>REG101299</t>
  </si>
  <si>
    <t>REG101300</t>
  </si>
  <si>
    <t>REG101301</t>
  </si>
  <si>
    <t>REG101302</t>
  </si>
  <si>
    <t>REG101303</t>
  </si>
  <si>
    <t>REG101304</t>
  </si>
  <si>
    <t>REG101305</t>
  </si>
  <si>
    <t>REG101306</t>
  </si>
  <si>
    <t>REG101307</t>
  </si>
  <si>
    <t>REG101308</t>
  </si>
  <si>
    <t>REG101309</t>
  </si>
  <si>
    <t>REG101310</t>
  </si>
  <si>
    <t>REG101311</t>
  </si>
  <si>
    <t>REG101312</t>
  </si>
  <si>
    <t>REG101313</t>
  </si>
  <si>
    <t>REG101314</t>
  </si>
  <si>
    <t>REG101315</t>
  </si>
  <si>
    <t>REG101316</t>
  </si>
  <si>
    <t>REG101317</t>
  </si>
  <si>
    <t>REG101318</t>
  </si>
  <si>
    <t>REG101319</t>
  </si>
  <si>
    <t>REG101320</t>
  </si>
  <si>
    <t>REG101321</t>
  </si>
  <si>
    <t>REG101322</t>
  </si>
  <si>
    <t>REG101323</t>
  </si>
  <si>
    <t>REG101324</t>
  </si>
  <si>
    <t>REG101325</t>
  </si>
  <si>
    <t>REG101326</t>
  </si>
  <si>
    <t>REG101327</t>
  </si>
  <si>
    <t>REG101328</t>
  </si>
  <si>
    <t>REG101329</t>
  </si>
  <si>
    <t>REG101330</t>
  </si>
  <si>
    <t>REG101331</t>
  </si>
  <si>
    <t>REG101332</t>
  </si>
  <si>
    <t>REG101333</t>
  </si>
  <si>
    <t>REG101334</t>
  </si>
  <si>
    <t>REG101335</t>
  </si>
  <si>
    <t>REG101336</t>
  </si>
  <si>
    <t>REG101337</t>
  </si>
  <si>
    <t>REG101338</t>
  </si>
  <si>
    <t>REG101339</t>
  </si>
  <si>
    <t>REG101340</t>
  </si>
  <si>
    <t>REG101341</t>
  </si>
  <si>
    <t>REG101342</t>
  </si>
  <si>
    <t>REG101343</t>
  </si>
  <si>
    <t>REG101344</t>
  </si>
  <si>
    <t>REG101345</t>
  </si>
  <si>
    <t>REG101346</t>
  </si>
  <si>
    <t>REG101347</t>
  </si>
  <si>
    <t>REG101348</t>
  </si>
  <si>
    <t>REG101349</t>
  </si>
  <si>
    <t>REG101350</t>
  </si>
  <si>
    <t>REG101351</t>
  </si>
  <si>
    <t>REG101352</t>
  </si>
  <si>
    <t>REG101353</t>
  </si>
  <si>
    <t>REG101354</t>
  </si>
  <si>
    <t>REG101355</t>
  </si>
  <si>
    <t>REG101356</t>
  </si>
  <si>
    <t>REG101357</t>
  </si>
  <si>
    <t>REG101358</t>
  </si>
  <si>
    <t>REG101359</t>
  </si>
  <si>
    <t>REG101360</t>
  </si>
  <si>
    <t>REG101361</t>
  </si>
  <si>
    <t>REG101362</t>
  </si>
  <si>
    <t>REG101363</t>
  </si>
  <si>
    <t>REG101364</t>
  </si>
  <si>
    <t>REG101365</t>
  </si>
  <si>
    <t>REG101366</t>
  </si>
  <si>
    <t>REG101367</t>
  </si>
  <si>
    <t>REG101368</t>
  </si>
  <si>
    <t>REG101369</t>
  </si>
  <si>
    <t>REG101370</t>
  </si>
  <si>
    <t>REG101371</t>
  </si>
  <si>
    <t>REG101372</t>
  </si>
  <si>
    <t>REG101373</t>
  </si>
  <si>
    <t>REG101374</t>
  </si>
  <si>
    <t>REG101375</t>
  </si>
  <si>
    <t>REG101376</t>
  </si>
  <si>
    <t>REG101377</t>
  </si>
  <si>
    <t>REG101378</t>
  </si>
  <si>
    <t>REG101379</t>
  </si>
  <si>
    <t>REG101380</t>
  </si>
  <si>
    <t>REG101381</t>
  </si>
  <si>
    <t>REG101382</t>
  </si>
  <si>
    <t>REG101383</t>
  </si>
  <si>
    <t>REG101384</t>
  </si>
  <si>
    <t>REG101385</t>
  </si>
  <si>
    <t>REG101386</t>
  </si>
  <si>
    <t>REG101387</t>
  </si>
  <si>
    <t>REG101388</t>
  </si>
  <si>
    <t>REG101389</t>
  </si>
  <si>
    <t>REG101390</t>
  </si>
  <si>
    <t>REG101391</t>
  </si>
  <si>
    <t>REG101392</t>
  </si>
  <si>
    <t>REG101393</t>
  </si>
  <si>
    <t>REG101394</t>
  </si>
  <si>
    <t>REG101395</t>
  </si>
  <si>
    <t>REG101396</t>
  </si>
  <si>
    <t>REG101397</t>
  </si>
  <si>
    <t>REG101398</t>
  </si>
  <si>
    <t>REG101399</t>
  </si>
  <si>
    <t>REG101400</t>
  </si>
  <si>
    <t>REG101401</t>
  </si>
  <si>
    <t>REG101402</t>
  </si>
  <si>
    <t>REG101403</t>
  </si>
  <si>
    <t>REG101404</t>
  </si>
  <si>
    <t>REG101405</t>
  </si>
  <si>
    <t>REG101406</t>
  </si>
  <si>
    <t>REG101407</t>
  </si>
  <si>
    <t>REG101408</t>
  </si>
  <si>
    <t>REG101409</t>
  </si>
  <si>
    <t>REG101410</t>
  </si>
  <si>
    <t>REG101411</t>
  </si>
  <si>
    <t>REG101412</t>
  </si>
  <si>
    <t>REG101413</t>
  </si>
  <si>
    <t>REG101414</t>
  </si>
  <si>
    <t>REG101415</t>
  </si>
  <si>
    <t>REG101416</t>
  </si>
  <si>
    <t>REG101417</t>
  </si>
  <si>
    <t>REG101418</t>
  </si>
  <si>
    <t>REG101419</t>
  </si>
  <si>
    <t>REG101420</t>
  </si>
  <si>
    <t>REG101421</t>
  </si>
  <si>
    <t>REG101422</t>
  </si>
  <si>
    <t>REG101423</t>
  </si>
  <si>
    <t>REG101424</t>
  </si>
  <si>
    <t>REG101425</t>
  </si>
  <si>
    <t>REG101426</t>
  </si>
  <si>
    <t>REG101427</t>
  </si>
  <si>
    <t>REG101428</t>
  </si>
  <si>
    <t>REG101429</t>
  </si>
  <si>
    <t>REG101430</t>
  </si>
  <si>
    <t>REG101431</t>
  </si>
  <si>
    <t>REG101432</t>
  </si>
  <si>
    <t>REG101433</t>
  </si>
  <si>
    <t>REG101434</t>
  </si>
  <si>
    <t>REG101435</t>
  </si>
  <si>
    <t>REG101436</t>
  </si>
  <si>
    <t>REG101437</t>
  </si>
  <si>
    <t>REG101438</t>
  </si>
  <si>
    <t>REG101439</t>
  </si>
  <si>
    <t>REG101440</t>
  </si>
  <si>
    <t>REG101441</t>
  </si>
  <si>
    <t>REG101442</t>
  </si>
  <si>
    <t>REG101443</t>
  </si>
  <si>
    <t>REG101444</t>
  </si>
  <si>
    <t>REG101445</t>
  </si>
  <si>
    <t>REG101446</t>
  </si>
  <si>
    <t>REG101447</t>
  </si>
  <si>
    <t>REG101448</t>
  </si>
  <si>
    <t>REG101449</t>
  </si>
  <si>
    <t>REG101450</t>
  </si>
  <si>
    <t>REG101451</t>
  </si>
  <si>
    <t>REG101452</t>
  </si>
  <si>
    <t>REG101453</t>
  </si>
  <si>
    <t>REG101454</t>
  </si>
  <si>
    <t>REG101455</t>
  </si>
  <si>
    <t>REG101456</t>
  </si>
  <si>
    <t>REG101457</t>
  </si>
  <si>
    <t>REG101458</t>
  </si>
  <si>
    <t>REG101459</t>
  </si>
  <si>
    <t>REG101460</t>
  </si>
  <si>
    <t>REG101461</t>
  </si>
  <si>
    <t>REG101462</t>
  </si>
  <si>
    <t>REG101463</t>
  </si>
  <si>
    <t>REG101464</t>
  </si>
  <si>
    <t>REG101465</t>
  </si>
  <si>
    <t>REG101466</t>
  </si>
  <si>
    <t>REG101467</t>
  </si>
  <si>
    <t>REG101468</t>
  </si>
  <si>
    <t>REG101469</t>
  </si>
  <si>
    <t>REG101470</t>
  </si>
  <si>
    <t>REG101471</t>
  </si>
  <si>
    <t>REG101472</t>
  </si>
  <si>
    <t>REG101473</t>
  </si>
  <si>
    <t>REG101474</t>
  </si>
  <si>
    <t>REG101475</t>
  </si>
  <si>
    <t>REG101476</t>
  </si>
  <si>
    <t>REG101477</t>
  </si>
  <si>
    <t>REG101478</t>
  </si>
  <si>
    <t>REG101479</t>
  </si>
  <si>
    <t>REG101480</t>
  </si>
  <si>
    <t>REG101481</t>
  </si>
  <si>
    <t>REG101482</t>
  </si>
  <si>
    <t>REG101483</t>
  </si>
  <si>
    <t>REG101484</t>
  </si>
  <si>
    <t>REG101485</t>
  </si>
  <si>
    <t>REG101486</t>
  </si>
  <si>
    <t>REG101487</t>
  </si>
  <si>
    <t>REG101488</t>
  </si>
  <si>
    <t>REG101489</t>
  </si>
  <si>
    <t>REG101490</t>
  </si>
  <si>
    <t>REG101491</t>
  </si>
  <si>
    <t>REG101492</t>
  </si>
  <si>
    <t>REG101493</t>
  </si>
  <si>
    <t>REG101494</t>
  </si>
  <si>
    <t>REG101495</t>
  </si>
  <si>
    <t>REG101496</t>
  </si>
  <si>
    <t>REG101497</t>
  </si>
  <si>
    <t>REG101498</t>
  </si>
  <si>
    <t>REG101499</t>
  </si>
  <si>
    <t>Cust 6583</t>
  </si>
  <si>
    <t>Cust 2144</t>
  </si>
  <si>
    <t>Cust 5998</t>
  </si>
  <si>
    <t>Cust 7136</t>
  </si>
  <si>
    <t>Cust 6506</t>
  </si>
  <si>
    <t>Cust 3909</t>
  </si>
  <si>
    <t>Cust 7887</t>
  </si>
  <si>
    <t>Cust 5301</t>
  </si>
  <si>
    <t>Cust 2284</t>
  </si>
  <si>
    <t>Cust 3732</t>
  </si>
  <si>
    <t>Cust 1462</t>
  </si>
  <si>
    <t>Cust 4330</t>
  </si>
  <si>
    <t>Cust 2372</t>
  </si>
  <si>
    <t>Cust 4672</t>
  </si>
  <si>
    <t>Cust 4548</t>
  </si>
  <si>
    <t>Cust 7037</t>
  </si>
  <si>
    <t>Cust 4975</t>
  </si>
  <si>
    <t>Cust 8014</t>
  </si>
  <si>
    <t>Cust 1228</t>
  </si>
  <si>
    <t>Cust 4247</t>
  </si>
  <si>
    <t>Cust 4199</t>
  </si>
  <si>
    <t>Cust 4186</t>
  </si>
  <si>
    <t>Cust 8137</t>
  </si>
  <si>
    <t>Cust 4638</t>
  </si>
  <si>
    <t>Cust 8538</t>
  </si>
  <si>
    <t>Cust 6322</t>
  </si>
  <si>
    <t>Cust 2609</t>
  </si>
  <si>
    <t>Cust 6880</t>
  </si>
  <si>
    <t>Cust 1997</t>
  </si>
  <si>
    <t>Cust 7072</t>
  </si>
  <si>
    <t>Cust 7201</t>
  </si>
  <si>
    <t>Cust 9923</t>
  </si>
  <si>
    <t>Cust 2205</t>
  </si>
  <si>
    <t>Cust 6403</t>
  </si>
  <si>
    <t>Cust 3953</t>
  </si>
  <si>
    <t>Cust 7902</t>
  </si>
  <si>
    <t>Cust 9968</t>
  </si>
  <si>
    <t>Cust 3787</t>
  </si>
  <si>
    <t>Cust 2469</t>
  </si>
  <si>
    <t>Cust 6468</t>
  </si>
  <si>
    <t>Cust 5312</t>
  </si>
  <si>
    <t>Cust 1482</t>
  </si>
  <si>
    <t>Cust 7903</t>
  </si>
  <si>
    <t>Cust 9605</t>
  </si>
  <si>
    <t>Cust 3298</t>
  </si>
  <si>
    <t>Cust 5533</t>
  </si>
  <si>
    <t>Cust 6362</t>
  </si>
  <si>
    <t>Cust 4826</t>
  </si>
  <si>
    <t>Cust 2171</t>
  </si>
  <si>
    <t>Cust 4005</t>
  </si>
  <si>
    <t>Cust 7032</t>
  </si>
  <si>
    <t>Cust 7167</t>
  </si>
  <si>
    <t>Cust 5702</t>
  </si>
  <si>
    <t>Cust 4944</t>
  </si>
  <si>
    <t>Cust 8149</t>
  </si>
  <si>
    <t>Cust 3638</t>
  </si>
  <si>
    <t>Cust 9973</t>
  </si>
  <si>
    <t>Cust 4214</t>
  </si>
  <si>
    <t>Cust 2647</t>
  </si>
  <si>
    <t>Cust 3552</t>
  </si>
  <si>
    <t>Cust 3354</t>
  </si>
  <si>
    <t>Cust 3903</t>
  </si>
  <si>
    <t>Cust 5358</t>
  </si>
  <si>
    <t>Cust 8144</t>
  </si>
  <si>
    <t>Cust 6747</t>
  </si>
  <si>
    <t>Cust 8330</t>
  </si>
  <si>
    <t>Cust 7186</t>
  </si>
  <si>
    <t>Cust 8287</t>
  </si>
  <si>
    <t>Cust 3986</t>
  </si>
  <si>
    <t>Cust 3213</t>
  </si>
  <si>
    <t>Cust 1907</t>
  </si>
  <si>
    <t>Cust 4639</t>
  </si>
  <si>
    <t>Cust 4153</t>
  </si>
  <si>
    <t>Cust 7096</t>
  </si>
  <si>
    <t>Cust 3806</t>
  </si>
  <si>
    <t>Cust 9345</t>
  </si>
  <si>
    <t>Cust 4456</t>
  </si>
  <si>
    <t>Cust 1089</t>
  </si>
  <si>
    <t>Cust 7230</t>
  </si>
  <si>
    <t>Cust 6597</t>
  </si>
  <si>
    <t>Cust 4108</t>
  </si>
  <si>
    <t>Cust 2883</t>
  </si>
  <si>
    <t>Cust 5018</t>
  </si>
  <si>
    <t>Cust 1231</t>
  </si>
  <si>
    <t>Cust 2209</t>
  </si>
  <si>
    <t>Cust 6684</t>
  </si>
  <si>
    <t>Cust 5289</t>
  </si>
  <si>
    <t>Cust 9159</t>
  </si>
  <si>
    <t>Cust 4844</t>
  </si>
  <si>
    <t>Cust 3273</t>
  </si>
  <si>
    <t>Cust 8160</t>
  </si>
  <si>
    <t>Cust 4439</t>
  </si>
  <si>
    <t>Cust 1127</t>
  </si>
  <si>
    <t>Cust 4696</t>
  </si>
  <si>
    <t>Cust 3014</t>
  </si>
  <si>
    <t>Cust 2539</t>
  </si>
  <si>
    <t>Cust 3916</t>
  </si>
  <si>
    <t>Cust 6329</t>
  </si>
  <si>
    <t>Cust 4384</t>
  </si>
  <si>
    <t>Cust 7756</t>
  </si>
  <si>
    <t>Cust 6086</t>
  </si>
  <si>
    <t>Cust 3845</t>
  </si>
  <si>
    <t>Cust 9996</t>
  </si>
  <si>
    <t>Cust 1711</t>
  </si>
  <si>
    <t>Cust 4522</t>
  </si>
  <si>
    <t>Cust 4233</t>
  </si>
  <si>
    <t>Cust 4121</t>
  </si>
  <si>
    <t>Cust 9092</t>
  </si>
  <si>
    <t>Cust 9090</t>
  </si>
  <si>
    <t>Cust 1983</t>
  </si>
  <si>
    <t>Cust 8834</t>
  </si>
  <si>
    <t>Cust 9780</t>
  </si>
  <si>
    <t>Cust 1293</t>
  </si>
  <si>
    <t>Cust 3173</t>
  </si>
  <si>
    <t>Cust 8641</t>
  </si>
  <si>
    <t>Cust 7656</t>
  </si>
  <si>
    <t>Cust 5523</t>
  </si>
  <si>
    <t>Cust 2015</t>
  </si>
  <si>
    <t>Cust 6895</t>
  </si>
  <si>
    <t>Cust 1797</t>
  </si>
  <si>
    <t>Cust 9969</t>
  </si>
  <si>
    <t>Cust 1815</t>
  </si>
  <si>
    <t>Cust 7773</t>
  </si>
  <si>
    <t>Cust 1499</t>
  </si>
  <si>
    <t>Cust 3809</t>
  </si>
  <si>
    <t>Cust 7824</t>
  </si>
  <si>
    <t>Cust 7258</t>
  </si>
  <si>
    <t>Cust 1151</t>
  </si>
  <si>
    <t>Cust 6486</t>
  </si>
  <si>
    <t>Cust 4034</t>
  </si>
  <si>
    <t>Cust 9794</t>
  </si>
  <si>
    <t>Cust 2414</t>
  </si>
  <si>
    <t>Cust 9024</t>
  </si>
  <si>
    <t>Cust 2663</t>
  </si>
  <si>
    <t>Cust 2293</t>
  </si>
  <si>
    <t>Cust 8963</t>
  </si>
  <si>
    <t>Cust 9238</t>
  </si>
  <si>
    <t>Cust 1390</t>
  </si>
  <si>
    <t>Cust 8548</t>
  </si>
  <si>
    <t>Cust 2919</t>
  </si>
  <si>
    <t>Cust 5847</t>
  </si>
  <si>
    <t>Cust 5711</t>
  </si>
  <si>
    <t>Cust 5461</t>
  </si>
  <si>
    <t>Cust 8905</t>
  </si>
  <si>
    <t>Cust 9618</t>
  </si>
  <si>
    <t>Cust 5203</t>
  </si>
  <si>
    <t>Cust 1732</t>
  </si>
  <si>
    <t>Cust 4734</t>
  </si>
  <si>
    <t>Cust 5895</t>
  </si>
  <si>
    <t>Cust 9691</t>
  </si>
  <si>
    <t>Cust 5406</t>
  </si>
  <si>
    <t>Cust 5750</t>
  </si>
  <si>
    <t>Cust 8280</t>
  </si>
  <si>
    <t>Cust 4358</t>
  </si>
  <si>
    <t>Cust 3588</t>
  </si>
  <si>
    <t>Cust 4539</t>
  </si>
  <si>
    <t>Cust 7067</t>
  </si>
  <si>
    <t>Cust 7720</t>
  </si>
  <si>
    <t>Cust 5668</t>
  </si>
  <si>
    <t>Cust 8367</t>
  </si>
  <si>
    <t>Cust 4438</t>
  </si>
  <si>
    <t>Cust 3481</t>
  </si>
  <si>
    <t>Cust 1489</t>
  </si>
  <si>
    <t>Cust 6649</t>
  </si>
  <si>
    <t>Cust 6114</t>
  </si>
  <si>
    <t>Cust 9589</t>
  </si>
  <si>
    <t>Cust 8184</t>
  </si>
  <si>
    <t>Cust 2490</t>
  </si>
  <si>
    <t>Cust 1647</t>
  </si>
  <si>
    <t>Cust 2017</t>
  </si>
  <si>
    <t>Cust 3446</t>
  </si>
  <si>
    <t>Cust 4877</t>
  </si>
  <si>
    <t>Cust 9112</t>
  </si>
  <si>
    <t>Cust 8172</t>
  </si>
  <si>
    <t>Cust 4597</t>
  </si>
  <si>
    <t>Cust 3690</t>
  </si>
  <si>
    <t>Cust 2893</t>
  </si>
  <si>
    <t>Cust 5602</t>
  </si>
  <si>
    <t>Cust 5616</t>
  </si>
  <si>
    <t>Cust 1312</t>
  </si>
  <si>
    <t>Cust 6315</t>
  </si>
  <si>
    <t>Cust 1224</t>
  </si>
  <si>
    <t>Cust 7182</t>
  </si>
  <si>
    <t>Cust 7901</t>
  </si>
  <si>
    <t>Cust 1736</t>
  </si>
  <si>
    <t>Cust 7795</t>
  </si>
  <si>
    <t>Cust 2471</t>
  </si>
  <si>
    <t>Cust 3068</t>
  </si>
  <si>
    <t>Cust 3848</t>
  </si>
  <si>
    <t>Cust 7777</t>
  </si>
  <si>
    <t>Cust 6613</t>
  </si>
  <si>
    <t>Cust 2326</t>
  </si>
  <si>
    <t>Cust 8304</t>
  </si>
  <si>
    <t>Cust 3630</t>
  </si>
  <si>
    <t>Cust 8617</t>
  </si>
  <si>
    <t>Cust 3530</t>
  </si>
  <si>
    <t>Cust 3884</t>
  </si>
  <si>
    <t>Cust 5739</t>
  </si>
  <si>
    <t>Cust 9707</t>
  </si>
  <si>
    <t>Cust 9288</t>
  </si>
  <si>
    <t>Cust 1216</t>
  </si>
  <si>
    <t>Cust 2489</t>
  </si>
  <si>
    <t>Cust 7171</t>
  </si>
  <si>
    <t>Cust 9125</t>
  </si>
  <si>
    <t>Cust 9697</t>
  </si>
  <si>
    <t>Cust 8171</t>
  </si>
  <si>
    <t>Cust 2004</t>
  </si>
  <si>
    <t>Cust 9837</t>
  </si>
  <si>
    <t>Cust 2082</t>
  </si>
  <si>
    <t>Cust 3001</t>
  </si>
  <si>
    <t>Cust 6161</t>
  </si>
  <si>
    <t>Cust 5220</t>
  </si>
  <si>
    <t>Cust 3386</t>
  </si>
  <si>
    <t>Cust 1591</t>
  </si>
  <si>
    <t>Cust 3434</t>
  </si>
  <si>
    <t>Cust 1501</t>
  </si>
  <si>
    <t>Cust 9683</t>
  </si>
  <si>
    <t>Cust 5416</t>
  </si>
  <si>
    <t>Cust 2153</t>
  </si>
  <si>
    <t>Cust 3572</t>
  </si>
  <si>
    <t>Cust 6372</t>
  </si>
  <si>
    <t>Cust 6109</t>
  </si>
  <si>
    <t>Cust 5234</t>
  </si>
  <si>
    <t>Cust 5530</t>
  </si>
  <si>
    <t>Cust 5398</t>
  </si>
  <si>
    <t>Cust 3247</t>
  </si>
  <si>
    <t>Cust 7137</t>
  </si>
  <si>
    <t>Cust 4627</t>
  </si>
  <si>
    <t>Cust 4878</t>
  </si>
  <si>
    <t>Cust 2779</t>
  </si>
  <si>
    <t>Cust 8606</t>
  </si>
  <si>
    <t>Cust 9599</t>
  </si>
  <si>
    <t>Cust 4500</t>
  </si>
  <si>
    <t>Cust 4173</t>
  </si>
  <si>
    <t>Cust 7607</t>
  </si>
  <si>
    <t>Cust 4768</t>
  </si>
  <si>
    <t>Cust 5746</t>
  </si>
  <si>
    <t>Cust 3002</t>
  </si>
  <si>
    <t>Cust 3237</t>
  </si>
  <si>
    <t>Cust 6437</t>
  </si>
  <si>
    <t>Cust 8806</t>
  </si>
  <si>
    <t>Cust 8678</t>
  </si>
  <si>
    <t>Cust 9649</t>
  </si>
  <si>
    <t>Cust 1960</t>
  </si>
  <si>
    <t>Cust 3910</t>
  </si>
  <si>
    <t>Cust 2279</t>
  </si>
  <si>
    <t>Cust 4689</t>
  </si>
  <si>
    <t>Cust 7381</t>
  </si>
  <si>
    <t>Cust 2724</t>
  </si>
  <si>
    <t>Cust 2823</t>
  </si>
  <si>
    <t>Cust 9402</t>
  </si>
  <si>
    <t>Cust 6561</t>
  </si>
  <si>
    <t>Cust 3116</t>
  </si>
  <si>
    <t>Cust 1015</t>
  </si>
  <si>
    <t>Cust 1207</t>
  </si>
  <si>
    <t>Cust 2501</t>
  </si>
  <si>
    <t>Cust 2330</t>
  </si>
  <si>
    <t>Cust 7436</t>
  </si>
  <si>
    <t>Cust 2762</t>
  </si>
  <si>
    <t>Cust 3599</t>
  </si>
  <si>
    <t>Cust 4127</t>
  </si>
  <si>
    <t>Cust 6855</t>
  </si>
  <si>
    <t>Cust 7017</t>
  </si>
  <si>
    <t>Cust 6957</t>
  </si>
  <si>
    <t>Cust 9822</t>
  </si>
  <si>
    <t>Cust 7425</t>
  </si>
  <si>
    <t>Cust 8897</t>
  </si>
  <si>
    <t>Cust 9816</t>
  </si>
  <si>
    <t>Cust 8227</t>
  </si>
  <si>
    <t>Cust 4990</t>
  </si>
  <si>
    <t>Cust 5834</t>
  </si>
  <si>
    <t>Cust 7330</t>
  </si>
  <si>
    <t>Cust 5273</t>
  </si>
  <si>
    <t>Cust 6138</t>
  </si>
  <si>
    <t>Cust 2084</t>
  </si>
  <si>
    <t>Cust 2799</t>
  </si>
  <si>
    <t>Cust 3051</t>
  </si>
  <si>
    <t>Cust 5456</t>
  </si>
  <si>
    <t>Cust 6029</t>
  </si>
  <si>
    <t>Cust 4002</t>
  </si>
  <si>
    <t>Cust 5830</t>
  </si>
  <si>
    <t>Cust 8088</t>
  </si>
  <si>
    <t>Cust 6455</t>
  </si>
  <si>
    <t>Cust 4117</t>
  </si>
  <si>
    <t>Cust 1385</t>
  </si>
  <si>
    <t>Cust 5185</t>
  </si>
  <si>
    <t>Cust 8704</t>
  </si>
  <si>
    <t>Cust 3528</t>
  </si>
  <si>
    <t>Cust 3907</t>
  </si>
  <si>
    <t>Cust 9005</t>
  </si>
  <si>
    <t>Cust 3635</t>
  </si>
  <si>
    <t>Cust 2122</t>
  </si>
  <si>
    <t>Cust 4467</t>
  </si>
  <si>
    <t>Cust 6146</t>
  </si>
  <si>
    <t>Cust 4001</t>
  </si>
  <si>
    <t>Cust 3365</t>
  </si>
  <si>
    <t>Cust 2194</t>
  </si>
  <si>
    <t>Cust 7942</t>
  </si>
  <si>
    <t>Cust 8451</t>
  </si>
  <si>
    <t>Cust 4238</t>
  </si>
  <si>
    <t>Cust 2529</t>
  </si>
  <si>
    <t>Cust 7057</t>
  </si>
  <si>
    <t>Cust 9069</t>
  </si>
  <si>
    <t>Cust 5858</t>
  </si>
  <si>
    <t>Cust 2712</t>
  </si>
  <si>
    <t>Cust 7052</t>
  </si>
  <si>
    <t>Cust 9397</t>
  </si>
  <si>
    <t>Cust 4614</t>
  </si>
  <si>
    <t>Cust 1573</t>
  </si>
  <si>
    <t>Cust 5660</t>
  </si>
  <si>
    <t>Cust 3952</t>
  </si>
  <si>
    <t>Cust 5407</t>
  </si>
  <si>
    <t>Cust 9595</t>
  </si>
  <si>
    <t>Cust 3245</t>
  </si>
  <si>
    <t>Cust 7180</t>
  </si>
  <si>
    <t>Cust 5973</t>
  </si>
  <si>
    <t>Cust 4310</t>
  </si>
  <si>
    <t>Cust 6243</t>
  </si>
  <si>
    <t>Cust 2448</t>
  </si>
  <si>
    <t>Cust 9386</t>
  </si>
  <si>
    <t>Cust 2227</t>
  </si>
  <si>
    <t>Cust 3803</t>
  </si>
  <si>
    <t>Cust 1236</t>
  </si>
  <si>
    <t>Cust 2669</t>
  </si>
  <si>
    <t>Cust 3746</t>
  </si>
  <si>
    <t>Cust 9694</t>
  </si>
  <si>
    <t>Cust 4993</t>
  </si>
  <si>
    <t>Cust 1271</t>
  </si>
  <si>
    <t>Cust 3042</t>
  </si>
  <si>
    <t>Cust 6424</t>
  </si>
  <si>
    <t>Cust 1422</t>
  </si>
  <si>
    <t>Cust 5857</t>
  </si>
  <si>
    <t>Cust 6953</t>
  </si>
  <si>
    <t>Cust 2916</t>
  </si>
  <si>
    <t>Cust 8464</t>
  </si>
  <si>
    <t>Cust 9700</t>
  </si>
  <si>
    <t>Cust 7765</t>
  </si>
  <si>
    <t>Cust 8246</t>
  </si>
  <si>
    <t>Cust 6500</t>
  </si>
  <si>
    <t>Cust 1150</t>
  </si>
  <si>
    <t>Cust 7449</t>
  </si>
  <si>
    <t>Cust 1957</t>
  </si>
  <si>
    <t>Cust 3467</t>
  </si>
  <si>
    <t>Cust 5212</t>
  </si>
  <si>
    <t>Cust 3509</t>
  </si>
  <si>
    <t>Cust 5316</t>
  </si>
  <si>
    <t>Cust 9919</t>
  </si>
  <si>
    <t>Cust 7129</t>
  </si>
  <si>
    <t>Cust 9841</t>
  </si>
  <si>
    <t>Cust 4142</t>
  </si>
  <si>
    <t>Cust 9584</t>
  </si>
  <si>
    <t>Cust 2553</t>
  </si>
  <si>
    <t>Cust 1347</t>
  </si>
  <si>
    <t>Cust 8305</t>
  </si>
  <si>
    <t>Cust 7015</t>
  </si>
  <si>
    <t>Cust 4394</t>
  </si>
  <si>
    <t>Cust 3323</t>
  </si>
  <si>
    <t>Cust 4029</t>
  </si>
  <si>
    <t>Cust 1400</t>
  </si>
  <si>
    <t>Cust 6361</t>
  </si>
  <si>
    <t>Cust 5267</t>
  </si>
  <si>
    <t>Cust 9354</t>
  </si>
  <si>
    <t>Cust 9443</t>
  </si>
  <si>
    <t>Cust 2252</t>
  </si>
  <si>
    <t>Cust 1031</t>
  </si>
  <si>
    <t>Cust 1672</t>
  </si>
  <si>
    <t>Cust 9313</t>
  </si>
  <si>
    <t>Cust 4405</t>
  </si>
  <si>
    <t>Cust 6453</t>
  </si>
  <si>
    <t>Cust 4772</t>
  </si>
  <si>
    <t>Cust 1762</t>
  </si>
  <si>
    <t>Cust 1865</t>
  </si>
  <si>
    <t>Cust 9552</t>
  </si>
  <si>
    <t>Cust 4273</t>
  </si>
  <si>
    <t>Cust 8712</t>
  </si>
  <si>
    <t>Cust 9048</t>
  </si>
  <si>
    <t>Cust 7714</t>
  </si>
  <si>
    <t>Cust 4770</t>
  </si>
  <si>
    <t>Cust 2007</t>
  </si>
  <si>
    <t>Cust 8909</t>
  </si>
  <si>
    <t>Cust 4196</t>
  </si>
  <si>
    <t>Cust 4189</t>
  </si>
  <si>
    <t>Cust 7226</t>
  </si>
  <si>
    <t>Cust 5015</t>
  </si>
  <si>
    <t>Cust 9904</t>
  </si>
  <si>
    <t>Cust 7687</t>
  </si>
  <si>
    <t>Cust 6511</t>
  </si>
  <si>
    <t>Cust 2412</t>
  </si>
  <si>
    <t>Cust 1664</t>
  </si>
  <si>
    <t>Cust 6033</t>
  </si>
  <si>
    <t>Cust 4019</t>
  </si>
  <si>
    <t>Cust 4515</t>
  </si>
  <si>
    <t>Cust 7532</t>
  </si>
  <si>
    <t>Cust 8756</t>
  </si>
  <si>
    <t>Cust 7620</t>
  </si>
  <si>
    <t>Cust 7368</t>
  </si>
  <si>
    <t>Cust 1319</t>
  </si>
  <si>
    <t>Cust 9597</t>
  </si>
  <si>
    <t>Cust 7369</t>
  </si>
  <si>
    <t>Cust 8592</t>
  </si>
  <si>
    <t>Cust 2337</t>
  </si>
  <si>
    <t>Cust 9097</t>
  </si>
  <si>
    <t>Cust 5938</t>
  </si>
  <si>
    <t>Cust 6928</t>
  </si>
  <si>
    <t>Cust 6223</t>
  </si>
  <si>
    <t>Cust 7614</t>
  </si>
  <si>
    <t>Cust 3231</t>
  </si>
  <si>
    <t>Cust 9123</t>
  </si>
  <si>
    <t>Cust 7054</t>
  </si>
  <si>
    <t>Cust 4240</t>
  </si>
  <si>
    <t>Cust 1237</t>
  </si>
  <si>
    <t>Cust 5513</t>
  </si>
  <si>
    <t>Cust 1835</t>
  </si>
  <si>
    <t>Cust 8492</t>
  </si>
  <si>
    <t>Cust 2451</t>
  </si>
  <si>
    <t>Cust 4509</t>
  </si>
  <si>
    <t>Cust 6643</t>
  </si>
  <si>
    <t>Cust 2559</t>
  </si>
  <si>
    <t>Cust 4423</t>
  </si>
  <si>
    <t>Cust 9139</t>
  </si>
  <si>
    <t>Cust 6668</t>
  </si>
  <si>
    <t>Cust 4315</t>
  </si>
  <si>
    <t>Cust 8000</t>
  </si>
  <si>
    <t>Cust 7585</t>
  </si>
  <si>
    <t>Cust 3127</t>
  </si>
  <si>
    <t>Cust 4130</t>
  </si>
  <si>
    <t>Cust 6956</t>
  </si>
  <si>
    <t>Cust 8155</t>
  </si>
  <si>
    <t>Cust 8852</t>
  </si>
  <si>
    <t>Cust 2850</t>
  </si>
  <si>
    <t>Cust 9572</t>
  </si>
  <si>
    <t>Cust 6253</t>
  </si>
  <si>
    <t>Cust 4154</t>
  </si>
  <si>
    <t>Cust 2137</t>
  </si>
  <si>
    <t>Cust 8157</t>
  </si>
  <si>
    <t>Cust 4861</t>
  </si>
  <si>
    <t>Cust 7493</t>
  </si>
  <si>
    <t>Cust 7073</t>
  </si>
  <si>
    <t>Cust 9085</t>
  </si>
  <si>
    <t>Cust 8504</t>
  </si>
  <si>
    <t>Cust 4164</t>
  </si>
  <si>
    <t>Cust 9592</t>
  </si>
  <si>
    <t>Cust 7450</t>
  </si>
  <si>
    <t>Cust 3305</t>
  </si>
  <si>
    <t>Cust 9768</t>
  </si>
  <si>
    <t>Cust 1179</t>
  </si>
  <si>
    <t>Cust 2546</t>
  </si>
  <si>
    <t>Cust 2672</t>
  </si>
  <si>
    <t>Cust 3394</t>
  </si>
  <si>
    <t>Cust 1649</t>
  </si>
  <si>
    <t>Cust 6994</t>
  </si>
  <si>
    <t>Cust 9879</t>
  </si>
  <si>
    <t>Cust 3712</t>
  </si>
  <si>
    <t>Cust 3829</t>
  </si>
  <si>
    <t>Cust 1623</t>
  </si>
  <si>
    <t>Cust 3532</t>
  </si>
  <si>
    <t>Cust 4712</t>
  </si>
  <si>
    <t>Cust 6211</t>
  </si>
  <si>
    <t>Cust 1222</t>
  </si>
  <si>
    <t>Cust 6208</t>
  </si>
  <si>
    <t>Cust 5942</t>
  </si>
  <si>
    <t>Cust 1745</t>
  </si>
  <si>
    <t>Cust 2679</t>
  </si>
  <si>
    <t>Cust 9907</t>
  </si>
  <si>
    <t>Cust 5717</t>
  </si>
  <si>
    <t>Cust 7995</t>
  </si>
  <si>
    <t>Cust 5572</t>
  </si>
  <si>
    <t>Cust 1721</t>
  </si>
  <si>
    <t>Cust 2641</t>
  </si>
  <si>
    <t>Cust 9769</t>
  </si>
  <si>
    <t>Cust 1718</t>
  </si>
  <si>
    <t>Cust 1210</t>
  </si>
  <si>
    <t>Cust 7710</t>
  </si>
  <si>
    <t>Cust 1428</t>
  </si>
  <si>
    <t>Cust 2810</t>
  </si>
  <si>
    <t>Cust 2234</t>
  </si>
  <si>
    <t>Cust 9602</t>
  </si>
  <si>
    <t>Cust 5032</t>
  </si>
  <si>
    <t>Cust 4297</t>
  </si>
  <si>
    <t>Cust 6944</t>
  </si>
  <si>
    <t>Cust 4136</t>
  </si>
  <si>
    <t>Cust 7460</t>
  </si>
  <si>
    <t>Cust 3960</t>
  </si>
  <si>
    <t>Cust 3160</t>
  </si>
  <si>
    <t>Cust 9641</t>
  </si>
  <si>
    <t>Cust 9742</t>
  </si>
  <si>
    <t>Cust 1144</t>
  </si>
  <si>
    <t>Cust 2936</t>
  </si>
  <si>
    <t>Cust 3035</t>
  </si>
  <si>
    <t>Cust 1717</t>
  </si>
  <si>
    <t>Cust 6435</t>
  </si>
  <si>
    <t>Cust 9352</t>
  </si>
  <si>
    <t>Cust 6746</t>
  </si>
  <si>
    <t>Cust 8189</t>
  </si>
  <si>
    <t>Cust 8470</t>
  </si>
  <si>
    <t>Cust 1044</t>
  </si>
  <si>
    <t>Cust 4010</t>
  </si>
  <si>
    <t>Cust 1904</t>
  </si>
  <si>
    <t>Cust 6034</t>
  </si>
  <si>
    <t>Cust 9239</t>
  </si>
  <si>
    <t>Cust 5678</t>
  </si>
  <si>
    <t>Cust 3696</t>
  </si>
  <si>
    <t>Cust 9025</t>
  </si>
  <si>
    <t>Cust 9924</t>
  </si>
  <si>
    <t>Cust 3887</t>
  </si>
  <si>
    <t>Cust 5302</t>
  </si>
  <si>
    <t>Cust 2290</t>
  </si>
  <si>
    <t>Cust 1726</t>
  </si>
  <si>
    <t>Cust 9874</t>
  </si>
  <si>
    <t>Cust 1774</t>
  </si>
  <si>
    <t>Cust 6534</t>
  </si>
  <si>
    <t>Cust 3170</t>
  </si>
  <si>
    <t>Cust 5438</t>
  </si>
  <si>
    <t>Cust 2670</t>
  </si>
  <si>
    <t>Cust 8949</t>
  </si>
  <si>
    <t>Cust 9748</t>
  </si>
  <si>
    <t>Cust 1220</t>
  </si>
  <si>
    <t>Cust 5645</t>
  </si>
  <si>
    <t>Cust 6577</t>
  </si>
  <si>
    <t>Cust 9506</t>
  </si>
  <si>
    <t>Cust 9302</t>
  </si>
  <si>
    <t>Cust 3030</t>
  </si>
  <si>
    <t>Cust 5896</t>
  </si>
  <si>
    <t>Cust 3763</t>
  </si>
  <si>
    <t>Cust 9510</t>
  </si>
  <si>
    <t>Cust 7637</t>
  </si>
  <si>
    <t>Cust 8382</t>
  </si>
  <si>
    <t>Cust 4015</t>
  </si>
  <si>
    <t>Cust 5172</t>
  </si>
  <si>
    <t>Cust 7584</t>
  </si>
  <si>
    <t>Cust 6809</t>
  </si>
  <si>
    <t>Cust 7540</t>
  </si>
  <si>
    <t>Cust 6888</t>
  </si>
  <si>
    <t>Cust 3304</t>
  </si>
  <si>
    <t>Cust 6596</t>
  </si>
  <si>
    <t>Cust 5588</t>
  </si>
  <si>
    <t>Cust 1518</t>
  </si>
  <si>
    <t>Cust 2819</t>
  </si>
  <si>
    <t>Cust 1947</t>
  </si>
  <si>
    <t>Cust 7332</t>
  </si>
  <si>
    <t>Cust 7314</t>
  </si>
  <si>
    <t>Cust 5296</t>
  </si>
  <si>
    <t>Cust 2964</t>
  </si>
  <si>
    <t>Cust 5381</t>
  </si>
  <si>
    <t>Cust 5436</t>
  </si>
  <si>
    <t>Cust 1494</t>
  </si>
  <si>
    <t>Cust 4380</t>
  </si>
  <si>
    <t>Cust 1375</t>
  </si>
  <si>
    <t>Cust 5698</t>
  </si>
  <si>
    <t>Cust 3259</t>
  </si>
  <si>
    <t>Cust 9295</t>
  </si>
  <si>
    <t>Cust 7035</t>
  </si>
  <si>
    <t>Cust 9049</t>
  </si>
  <si>
    <t>Cust 6173</t>
  </si>
  <si>
    <t>Cust 3447</t>
  </si>
  <si>
    <t>Cust 2218</t>
  </si>
  <si>
    <t>Cust 8882</t>
  </si>
  <si>
    <t>Cust 6709</t>
  </si>
  <si>
    <t>Cust 8727</t>
  </si>
  <si>
    <t>Cust 8359</t>
  </si>
  <si>
    <t>Cust 1514</t>
  </si>
  <si>
    <t>Cust 2774</t>
  </si>
  <si>
    <t>Cust 4270</t>
  </si>
  <si>
    <t>Cust 3123</t>
  </si>
  <si>
    <t>Cust 7414</t>
  </si>
  <si>
    <t>Cust 5051</t>
  </si>
  <si>
    <t>Cust 5975</t>
  </si>
  <si>
    <t>Cust 6948</t>
  </si>
  <si>
    <t>Cust 8253</t>
  </si>
  <si>
    <t>Cust 7238</t>
  </si>
  <si>
    <t>Cust 2219</t>
  </si>
  <si>
    <t>Cust 6665</t>
  </si>
  <si>
    <t>Cust 4252</t>
  </si>
  <si>
    <t>Cust 6104</t>
  </si>
  <si>
    <t>Cust 6407</t>
  </si>
  <si>
    <t>Cust 3573</t>
  </si>
  <si>
    <t>Cust 5280</t>
  </si>
  <si>
    <t>Cust 2365</t>
  </si>
  <si>
    <t>Cust 7130</t>
  </si>
  <si>
    <t>Cust 6539</t>
  </si>
  <si>
    <t>Cust 1656</t>
  </si>
  <si>
    <t>Cust 1932</t>
  </si>
  <si>
    <t>Cust 7367</t>
  </si>
  <si>
    <t>Cust 1116</t>
  </si>
  <si>
    <t>Cust 4464</t>
  </si>
  <si>
    <t>Cust 2543</t>
  </si>
  <si>
    <t>Cust 7948</t>
  </si>
  <si>
    <t>Cust 3199</t>
  </si>
  <si>
    <t>Cust 2800</t>
  </si>
  <si>
    <t>Cust 3863</t>
  </si>
  <si>
    <t>Cust 8391</t>
  </si>
  <si>
    <t>Cust 6711</t>
  </si>
  <si>
    <t>Cust 8653</t>
  </si>
  <si>
    <t>Cust 7937</t>
  </si>
  <si>
    <t>Cust 5972</t>
  </si>
  <si>
    <t>Cust 8597</t>
  </si>
  <si>
    <t>Cust 5382</t>
  </si>
  <si>
    <t>Cust 4323</t>
  </si>
  <si>
    <t>Cust 1767</t>
  </si>
  <si>
    <t>Cust 5912</t>
  </si>
  <si>
    <t>Cust 4446</t>
  </si>
  <si>
    <t>Cust 6107</t>
  </si>
  <si>
    <t>Cust 3330</t>
  </si>
  <si>
    <t>Cust 3604</t>
  </si>
  <si>
    <t>Cust 7412</t>
  </si>
  <si>
    <t>Cust 5183</t>
  </si>
  <si>
    <t>Cust 4825</t>
  </si>
  <si>
    <t>Cust 2123</t>
  </si>
  <si>
    <t>Cust 8684</t>
  </si>
  <si>
    <t>Cust 5964</t>
  </si>
  <si>
    <t>Cust 1810</t>
  </si>
  <si>
    <t>Cust 2685</t>
  </si>
  <si>
    <t>Cust 7855</t>
  </si>
  <si>
    <t>Cust 4101</t>
  </si>
  <si>
    <t>Cust 7964</t>
  </si>
  <si>
    <t>Cust 7010</t>
  </si>
  <si>
    <t>Cust 7917</t>
  </si>
  <si>
    <t>Cust 8111</t>
  </si>
  <si>
    <t>Cust 4715</t>
  </si>
  <si>
    <t>Cust 8720</t>
  </si>
  <si>
    <t>Cust 8216</t>
  </si>
  <si>
    <t>Cust 6946</t>
  </si>
  <si>
    <t>Cust 9888</t>
  </si>
  <si>
    <t>Cust 4009</t>
  </si>
  <si>
    <t>Cust 9489</t>
  </si>
  <si>
    <t>Cust 2446</t>
  </si>
  <si>
    <t>Cust 4150</t>
  </si>
  <si>
    <t>Cust 3569</t>
  </si>
  <si>
    <t>Cust 1023</t>
  </si>
  <si>
    <t>Cust 3748</t>
  </si>
  <si>
    <t>Cust 4798</t>
  </si>
  <si>
    <t>Cust 3864</t>
  </si>
  <si>
    <t>Cust 3459</t>
  </si>
  <si>
    <t>Cust 1187</t>
  </si>
  <si>
    <t>Cust 7509</t>
  </si>
  <si>
    <t>Cust 1869</t>
  </si>
  <si>
    <t>Cust 5943</t>
  </si>
  <si>
    <t>Cust 8364</t>
  </si>
  <si>
    <t>Cust 8401</t>
  </si>
  <si>
    <t>Cust 4047</t>
  </si>
  <si>
    <t>Cust 6019</t>
  </si>
  <si>
    <t>Cust 8750</t>
  </si>
  <si>
    <t>Cust 5782</t>
  </si>
  <si>
    <t>Cust 4090</t>
  </si>
  <si>
    <t>Cust 4730</t>
  </si>
  <si>
    <t>Cust 5648</t>
  </si>
  <si>
    <t>Cust 8933</t>
  </si>
  <si>
    <t>Cust 9280</t>
  </si>
  <si>
    <t>Cust 8696</t>
  </si>
  <si>
    <t>Cust 1944</t>
  </si>
  <si>
    <t>Cust 7780</t>
  </si>
  <si>
    <t>Cust 8055</t>
  </si>
  <si>
    <t>Cust 4707</t>
  </si>
  <si>
    <t>Cust 7806</t>
  </si>
  <si>
    <t>Cust 7033</t>
  </si>
  <si>
    <t>Cust 8372</t>
  </si>
  <si>
    <t>Cust 1935</t>
  </si>
  <si>
    <t>Cust 8417</t>
  </si>
  <si>
    <t>Cust 3370</t>
  </si>
  <si>
    <t>Cust 3664</t>
  </si>
  <si>
    <t>Cust 5760</t>
  </si>
  <si>
    <t>Cust 3037</t>
  </si>
  <si>
    <t>Cust 9828</t>
  </si>
  <si>
    <t>Cust 5297</t>
  </si>
  <si>
    <t>Cust 6785</t>
  </si>
  <si>
    <t>Cust 1344</t>
  </si>
  <si>
    <t>Cust 4023</t>
  </si>
  <si>
    <t>Cust 3721</t>
  </si>
  <si>
    <t>Cust 1486</t>
  </si>
  <si>
    <t>Cust 3958</t>
  </si>
  <si>
    <t>Cust 6914</t>
  </si>
  <si>
    <t>Cust 3287</t>
  </si>
  <si>
    <t>Cust 9072</t>
  </si>
  <si>
    <t>Cust 3098</t>
  </si>
  <si>
    <t>Cust 4307</t>
  </si>
  <si>
    <t>Cust 4618</t>
  </si>
  <si>
    <t>Cust 5322</t>
  </si>
  <si>
    <t>Cust 9873</t>
  </si>
  <si>
    <t>Cust 3652</t>
  </si>
  <si>
    <t>Cust 5569</t>
  </si>
  <si>
    <t>Cust 5369</t>
  </si>
  <si>
    <t>Cust 9044</t>
  </si>
  <si>
    <t>Cust 1887</t>
  </si>
  <si>
    <t>Cust 1559</t>
  </si>
  <si>
    <t>Cust 1722</t>
  </si>
  <si>
    <t>Cust 9029</t>
  </si>
  <si>
    <t>Cust 9555</t>
  </si>
  <si>
    <t>Cust 2484</t>
  </si>
  <si>
    <t>Cust 4763</t>
  </si>
  <si>
    <t>Cust 5016</t>
  </si>
  <si>
    <t>Cust 5528</t>
  </si>
  <si>
    <t>Cust 6922</t>
  </si>
  <si>
    <t>Cust 4807</t>
  </si>
  <si>
    <t>Cust 3368</t>
  </si>
  <si>
    <t>Cust 2871</t>
  </si>
  <si>
    <t>Cust 6229</t>
  </si>
  <si>
    <t>Cust 4560</t>
  </si>
  <si>
    <t>Cust 7099</t>
  </si>
  <si>
    <t>Cust 6333</t>
  </si>
  <si>
    <t>Cust 4678</t>
  </si>
  <si>
    <t>Cust 6657</t>
  </si>
  <si>
    <t>Cust 1267</t>
  </si>
  <si>
    <t>Cust 8150</t>
  </si>
  <si>
    <t>Cust 3668</t>
  </si>
  <si>
    <t>Cust 4803</t>
  </si>
  <si>
    <t>Cust 8633</t>
  </si>
  <si>
    <t>Cust 7235</t>
  </si>
  <si>
    <t>Cust 8992</t>
  </si>
  <si>
    <t>Cust 1889</t>
  </si>
  <si>
    <t>Cust 5411</t>
  </si>
  <si>
    <t>Cust 3411</t>
  </si>
  <si>
    <t>Cust 4788</t>
  </si>
  <si>
    <t>Cust 3564</t>
  </si>
  <si>
    <t>Cust 8018</t>
  </si>
  <si>
    <t>Cust 3045</t>
  </si>
  <si>
    <t>Cust 7020</t>
  </si>
  <si>
    <t>Cust 1905</t>
  </si>
  <si>
    <t>Cust 4592</t>
  </si>
  <si>
    <t>Cust 5482</t>
  </si>
  <si>
    <t>Cust 2801</t>
  </si>
  <si>
    <t>Cust 8206</t>
  </si>
  <si>
    <t>Cust 5277</t>
  </si>
  <si>
    <t>Cust 8900</t>
  </si>
  <si>
    <t>Cust 9387</t>
  </si>
  <si>
    <t>Cust 7013</t>
  </si>
  <si>
    <t>Cust 4868</t>
  </si>
  <si>
    <t>Cust 5239</t>
  </si>
  <si>
    <t>Cust 4703</t>
  </si>
  <si>
    <t>Cust 7224</t>
  </si>
  <si>
    <t>Cust 4751</t>
  </si>
  <si>
    <t>Cust 1201</t>
  </si>
  <si>
    <t>Cust 6980</t>
  </si>
  <si>
    <t>Cust 2835</t>
  </si>
  <si>
    <t>Cust 4286</t>
  </si>
  <si>
    <t>Cust 7876</t>
  </si>
  <si>
    <t>Cust 5926</t>
  </si>
  <si>
    <t>Cust 4478</t>
  </si>
  <si>
    <t>Cust 4711</t>
  </si>
  <si>
    <t>Cust 9227</t>
  </si>
  <si>
    <t>Cust 2830</t>
  </si>
  <si>
    <t>Cust 3767</t>
  </si>
  <si>
    <t>Cust 1561</t>
  </si>
  <si>
    <t>Cust 8569</t>
  </si>
  <si>
    <t>Cust 1254</t>
  </si>
  <si>
    <t>Cust 8556</t>
  </si>
  <si>
    <t>Cust 7204</t>
  </si>
  <si>
    <t>Cust 7725</t>
  </si>
  <si>
    <t>Cust 9210</t>
  </si>
  <si>
    <t>Cust 4937</t>
  </si>
  <si>
    <t>Cust 3606</t>
  </si>
  <si>
    <t>Cust 5865</t>
  </si>
  <si>
    <t>Cust 7195</t>
  </si>
  <si>
    <t>Cust 6113</t>
  </si>
  <si>
    <t>Cust 9878</t>
  </si>
  <si>
    <t>Cust 3936</t>
  </si>
  <si>
    <t>Cust 3937</t>
  </si>
  <si>
    <t>Cust 5262</t>
  </si>
  <si>
    <t>Cust 3892</t>
  </si>
  <si>
    <t>Cust 8826</t>
  </si>
  <si>
    <t>Cust 1119</t>
  </si>
  <si>
    <t>Cust 5939</t>
  </si>
  <si>
    <t>Cust 1791</t>
  </si>
  <si>
    <t>Cust 8530</t>
  </si>
  <si>
    <t>Cust 9619</t>
  </si>
  <si>
    <t>Cust 1637</t>
  </si>
  <si>
    <t>Cust 5737</t>
  </si>
  <si>
    <t>Cust 2524</t>
  </si>
  <si>
    <t>Cust 8480</t>
  </si>
  <si>
    <t>Cust 2595</t>
  </si>
  <si>
    <t>Cust 7132</t>
  </si>
  <si>
    <t>Cust 4644</t>
  </si>
  <si>
    <t>Cust 5133</t>
  </si>
  <si>
    <t>Cust 1731</t>
  </si>
  <si>
    <t>Cust 3739</t>
  </si>
  <si>
    <t>Cust 3853</t>
  </si>
  <si>
    <t>Cust 6830</t>
  </si>
  <si>
    <t>Cust 5351</t>
  </si>
  <si>
    <t>Cust 5845</t>
  </si>
  <si>
    <t>Cust 7004</t>
  </si>
  <si>
    <t>Cust 4095</t>
  </si>
  <si>
    <t>Cust 7833</t>
  </si>
  <si>
    <t>Cust 5826</t>
  </si>
  <si>
    <t>Cust 9410</t>
  </si>
  <si>
    <t>Cust 2590</t>
  </si>
  <si>
    <t>Cust 4599</t>
  </si>
  <si>
    <t>Cust 7166</t>
  </si>
  <si>
    <t>Cust 6177</t>
  </si>
  <si>
    <t>Cust 2899</t>
  </si>
  <si>
    <t>Cust 7063</t>
  </si>
  <si>
    <t>Cust 7487</t>
  </si>
  <si>
    <t>Cust 5481</t>
  </si>
  <si>
    <t>Cust 3150</t>
  </si>
  <si>
    <t>Cust 5099</t>
  </si>
  <si>
    <t>Cust 6615</t>
  </si>
  <si>
    <t>Cust 6924</t>
  </si>
  <si>
    <t>Cust 2411</t>
  </si>
  <si>
    <t>Cust 9648</t>
  </si>
  <si>
    <t>Cust 1974</t>
  </si>
  <si>
    <t>Cust 9452</t>
  </si>
  <si>
    <t>Cust 4558</t>
  </si>
  <si>
    <t>Cust 8811</t>
  </si>
  <si>
    <t>Cust 7788</t>
  </si>
  <si>
    <t>Cust 2788</t>
  </si>
  <si>
    <t>Cust 6621</t>
  </si>
  <si>
    <t>Cust 8575</t>
  </si>
  <si>
    <t>Cust 8799</t>
  </si>
  <si>
    <t>Cust 1699</t>
  </si>
  <si>
    <t>Cust 5606</t>
  </si>
  <si>
    <t>Cust 4933</t>
  </si>
  <si>
    <t>Cust 9517</t>
  </si>
  <si>
    <t>Cust 6740</t>
  </si>
  <si>
    <t>Cust 1301</t>
  </si>
  <si>
    <t>Cust 6864</t>
  </si>
  <si>
    <t>Cust 5207</t>
  </si>
  <si>
    <t>Cust 6525</t>
  </si>
  <si>
    <t>Cust 8298</t>
  </si>
  <si>
    <t>Cust 8204</t>
  </si>
  <si>
    <t>Cust 4035</t>
  </si>
  <si>
    <t>Cust 1654</t>
  </si>
  <si>
    <t>Cust 1823</t>
  </si>
  <si>
    <t>Cust 1423</t>
  </si>
  <si>
    <t>Cust 7282</t>
  </si>
  <si>
    <t>Cust 8437</t>
  </si>
  <si>
    <t>Cust 9508</t>
  </si>
  <si>
    <t>Cust 1186</t>
  </si>
  <si>
    <t>Cust 4362</t>
  </si>
  <si>
    <t>Cust 9388</t>
  </si>
  <si>
    <t>Cust 6428</t>
  </si>
  <si>
    <t>Cust 2570</t>
  </si>
  <si>
    <t>Cust 5132</t>
  </si>
  <si>
    <t>Cust 4929</t>
  </si>
  <si>
    <t>Cust 4018</t>
  </si>
  <si>
    <t>Cust 8069</t>
  </si>
  <si>
    <t>Cust 6741</t>
  </si>
  <si>
    <t>Cust 8050</t>
  </si>
  <si>
    <t>Cust 2434</t>
  </si>
  <si>
    <t>Cust 9089</t>
  </si>
  <si>
    <t>Cust 1091</t>
  </si>
  <si>
    <t>Cust 6326</t>
  </si>
  <si>
    <t>Cust 1327</t>
  </si>
  <si>
    <t>Cust 8602</t>
  </si>
  <si>
    <t>Cust 9131</t>
  </si>
  <si>
    <t>Cust 6716</t>
  </si>
  <si>
    <t>Cust 2071</t>
  </si>
  <si>
    <t>Cust 4472</t>
  </si>
  <si>
    <t>Cust 3899</t>
  </si>
  <si>
    <t>Cust 9467</t>
  </si>
  <si>
    <t>Cust 3824</t>
  </si>
  <si>
    <t>Cust 3511</t>
  </si>
  <si>
    <t>Cust 3356</t>
  </si>
  <si>
    <t>Cust 2840</t>
  </si>
  <si>
    <t>Cust 3811</t>
  </si>
  <si>
    <t>Cust 9960</t>
  </si>
  <si>
    <t>Cust 5906</t>
  </si>
  <si>
    <t>Cust 6579</t>
  </si>
  <si>
    <t>Cust 1756</t>
  </si>
  <si>
    <t>Cust 8999</t>
  </si>
  <si>
    <t>Cust 4277</t>
  </si>
  <si>
    <t>Cust 8751</t>
  </si>
  <si>
    <t>Cust 2482</t>
  </si>
  <si>
    <t>Cust 4078</t>
  </si>
  <si>
    <t>Cust 9091</t>
  </si>
  <si>
    <t>Cust 8706</t>
  </si>
  <si>
    <t>Cust 5042</t>
  </si>
  <si>
    <t>Cust 3319</t>
  </si>
  <si>
    <t>Cust 4139</t>
  </si>
  <si>
    <t>Cust 6993</t>
  </si>
  <si>
    <t>Cust 8397</t>
  </si>
  <si>
    <t>Cust 3082</t>
  </si>
  <si>
    <t>Cust 1156</t>
  </si>
  <si>
    <t>Cust 4720</t>
  </si>
  <si>
    <t>Cust 7034</t>
  </si>
  <si>
    <t>Cust 7218</t>
  </si>
  <si>
    <t>Cust 2651</t>
  </si>
  <si>
    <t>Cust 1252</t>
  </si>
  <si>
    <t>Cust 6679</t>
  </si>
  <si>
    <t>Cust 9361</t>
  </si>
  <si>
    <t>Cust 3049</t>
  </si>
  <si>
    <t>Cust 6415</t>
  </si>
  <si>
    <t>Cust 9856</t>
  </si>
  <si>
    <t>Cust 3106</t>
  </si>
  <si>
    <t>Cust 7107</t>
  </si>
  <si>
    <t>Cust 7542</t>
  </si>
  <si>
    <t>Cust 6330</t>
  </si>
  <si>
    <t>Cust 1469</t>
  </si>
  <si>
    <t>Cust 3698</t>
  </si>
  <si>
    <t>Cust 9833</t>
  </si>
  <si>
    <t>Cust 1074</t>
  </si>
  <si>
    <t>Cust 7891</t>
  </si>
  <si>
    <t>Cust 3373</t>
  </si>
  <si>
    <t>Cust 9045</t>
  </si>
  <si>
    <t>Cust 9197</t>
  </si>
  <si>
    <t>Cust 6920</t>
  </si>
  <si>
    <t>Cust 9652</t>
  </si>
  <si>
    <t>Cust 6267</t>
  </si>
  <si>
    <t>Cust 7753</t>
  </si>
  <si>
    <t>Cust 2789</t>
  </si>
  <si>
    <t>Cust 3527</t>
  </si>
  <si>
    <t>Cust 9538</t>
  </si>
  <si>
    <t>Cust 8929</t>
  </si>
  <si>
    <t>Cust 8931</t>
  </si>
  <si>
    <t>Cust 1424</t>
  </si>
  <si>
    <t>Cust 6723</t>
  </si>
  <si>
    <t>Cust 8850</t>
  </si>
  <si>
    <t>Cust 1211</t>
  </si>
  <si>
    <t>Cust 9384</t>
  </si>
  <si>
    <t>Cust 9338</t>
  </si>
  <si>
    <t>Cust 1822</t>
  </si>
  <si>
    <t>Cust 8260</t>
  </si>
  <si>
    <t>Cust 7088</t>
  </si>
  <si>
    <t>Cust 4969</t>
  </si>
  <si>
    <t>Cust 9046</t>
  </si>
  <si>
    <t>Cust 6859</t>
  </si>
  <si>
    <t>Cust 1146</t>
  </si>
  <si>
    <t>Cust 6447</t>
  </si>
  <si>
    <t>Cust 8519</t>
  </si>
  <si>
    <t>Cust 3422</t>
  </si>
  <si>
    <t>Cust 9638</t>
  </si>
  <si>
    <t>Cust 6438</t>
  </si>
  <si>
    <t>Cust 1724</t>
  </si>
  <si>
    <t>Cust 7808</t>
  </si>
  <si>
    <t>Cust 7348</t>
  </si>
  <si>
    <t>Cust 5666</t>
  </si>
  <si>
    <t>Cust 6675</t>
  </si>
  <si>
    <t>Cust 5462</t>
  </si>
  <si>
    <t>Cust 3471</t>
  </si>
  <si>
    <t>Cust 1603</t>
  </si>
  <si>
    <t>Cust 7758</t>
  </si>
  <si>
    <t>Cust 3396</t>
  </si>
  <si>
    <t>Cust 4797</t>
  </si>
  <si>
    <t>Cust 1113</t>
  </si>
  <si>
    <t>Cust 8843</t>
  </si>
  <si>
    <t>Cust 7505</t>
  </si>
  <si>
    <t>Cust 9490</t>
  </si>
  <si>
    <t>Cust 8631</t>
  </si>
  <si>
    <t>Cust 6986</t>
  </si>
  <si>
    <t>Cust 9636</t>
  </si>
  <si>
    <t>Cust 1943</t>
  </si>
  <si>
    <t>Cust 6368</t>
  </si>
  <si>
    <t>Cust 9724</t>
  </si>
  <si>
    <t>Cust 8723</t>
  </si>
  <si>
    <t>Cust 1901</t>
  </si>
  <si>
    <t>Cust 9682</t>
  </si>
  <si>
    <t>Cust 5413</t>
  </si>
  <si>
    <t>Cust 9590</t>
  </si>
  <si>
    <t>Cust 9379</t>
  </si>
  <si>
    <t>Cust 4722</t>
  </si>
  <si>
    <t>Cust 7152</t>
  </si>
  <si>
    <t>Cust 7255</t>
  </si>
  <si>
    <t>Cust 9593</t>
  </si>
  <si>
    <t>Cust 2561</t>
  </si>
  <si>
    <t>Cust 8387</t>
  </si>
  <si>
    <t>Cust 2860</t>
  </si>
  <si>
    <t>Cust 7794</t>
  </si>
  <si>
    <t>Cust 6075</t>
  </si>
  <si>
    <t>Cust 4337</t>
  </si>
  <si>
    <t>Cust 2540</t>
  </si>
  <si>
    <t>Cust 3944</t>
  </si>
  <si>
    <t>Cust 8876</t>
  </si>
  <si>
    <t>Cust 3286</t>
  </si>
  <si>
    <t>Cust 2608</t>
  </si>
  <si>
    <t>Cust 3290</t>
  </si>
  <si>
    <t>Cust 6979</t>
  </si>
  <si>
    <t>Cust 9375</t>
  </si>
  <si>
    <t>Cust 9311</t>
  </si>
  <si>
    <t>Cust 4097</t>
  </si>
  <si>
    <t>Cust 6145</t>
  </si>
  <si>
    <t>Cust 8124</t>
  </si>
  <si>
    <t>Cust 7826</t>
  </si>
  <si>
    <t>Cust 3472</t>
  </si>
  <si>
    <t>Cust 4266</t>
  </si>
  <si>
    <t>Cust 7354</t>
  </si>
  <si>
    <t>Cust 6672</t>
  </si>
  <si>
    <t>Cust 5589</t>
  </si>
  <si>
    <t>Cust 2770</t>
  </si>
  <si>
    <t>Cust 7206</t>
  </si>
  <si>
    <t>Cust 1580</t>
  </si>
  <si>
    <t>Cust 5313</t>
  </si>
  <si>
    <t>Cust 4209</t>
  </si>
  <si>
    <t>Cust 5861</t>
  </si>
  <si>
    <t>Cust 6348</t>
  </si>
  <si>
    <t>Cust 5210</t>
  </si>
  <si>
    <t>Cust 7325</t>
  </si>
  <si>
    <t>Cust 5818</t>
  </si>
  <si>
    <t>Cust 4496</t>
  </si>
  <si>
    <t>Cust 3875</t>
  </si>
  <si>
    <t>Cust 7232</t>
  </si>
  <si>
    <t>Cust 4537</t>
  </si>
  <si>
    <t>Cust 6274</t>
  </si>
  <si>
    <t>Cust 3810</t>
  </si>
  <si>
    <t>Cust 5002</t>
  </si>
  <si>
    <t>Cust 8551</t>
  </si>
  <si>
    <t>Cust 8837</t>
  </si>
  <si>
    <t>Cust 6523</t>
  </si>
  <si>
    <t>Cust 3440</t>
  </si>
  <si>
    <t>Cust 4102</t>
  </si>
  <si>
    <t>Cust 4145</t>
  </si>
  <si>
    <t>Cust 5206</t>
  </si>
  <si>
    <t>Cust 4022</t>
  </si>
  <si>
    <t>Cust 8676</t>
  </si>
  <si>
    <t>Cust 7492</t>
  </si>
  <si>
    <t>Cust 7872</t>
  </si>
  <si>
    <t>Cust 8762</t>
  </si>
  <si>
    <t>Cust 4004</t>
  </si>
  <si>
    <t>Cust 2781</t>
  </si>
  <si>
    <t>Cust 9982</t>
  </si>
  <si>
    <t>Cust 9561</t>
  </si>
  <si>
    <t>Cust 3496</t>
  </si>
  <si>
    <t>Cust 4085</t>
  </si>
  <si>
    <t>Cust 1921</t>
  </si>
  <si>
    <t>Cust 9053</t>
  </si>
  <si>
    <t>Cust 3559</t>
  </si>
  <si>
    <t>Cust 7060</t>
  </si>
  <si>
    <t>Cust 8796</t>
  </si>
  <si>
    <t>Cust 6055</t>
  </si>
  <si>
    <t>Cust 5779</t>
  </si>
  <si>
    <t>Cust 9330</t>
  </si>
  <si>
    <t>Cust 5374</t>
  </si>
  <si>
    <t>Cust 3321</t>
  </si>
  <si>
    <t>Cust 6554</t>
  </si>
  <si>
    <t>Cust 9955</t>
  </si>
  <si>
    <t>Cust 3320</t>
  </si>
  <si>
    <t>Cust 8177</t>
  </si>
  <si>
    <t>Cust 1743</t>
  </si>
  <si>
    <t>Cust 3719</t>
  </si>
  <si>
    <t>Cust 9323</t>
  </si>
  <si>
    <t>Cust 1914</t>
  </si>
  <si>
    <t>Cust 5928</t>
  </si>
  <si>
    <t>Cust 8062</t>
  </si>
  <si>
    <t>Cust 3275</t>
  </si>
  <si>
    <t>Cust 3854</t>
  </si>
  <si>
    <t>Cust 8398</t>
  </si>
  <si>
    <t>Cust 4026</t>
  </si>
  <si>
    <t>Cust 5794</t>
  </si>
  <si>
    <t>Cust 2917</t>
  </si>
  <si>
    <t>Cust 5659</t>
  </si>
  <si>
    <t>Cust 1857</t>
  </si>
  <si>
    <t>Cust 6718</t>
  </si>
  <si>
    <t>Cust 8378</t>
  </si>
  <si>
    <t>Cust 3069</t>
  </si>
  <si>
    <t>Cust 7619</t>
  </si>
  <si>
    <t>Cust 6167</t>
  </si>
  <si>
    <t>Cust 2453</t>
  </si>
  <si>
    <t>Cust 8896</t>
  </si>
  <si>
    <t>Cust 8800</t>
  </si>
  <si>
    <t>Cust 1819</t>
  </si>
  <si>
    <t>Cust 1300</t>
  </si>
  <si>
    <t>Cust 3807</t>
  </si>
  <si>
    <t>Cust 6633</t>
  </si>
  <si>
    <t>Cust 6573</t>
  </si>
  <si>
    <t>Cust 8600</t>
  </si>
  <si>
    <t>Cust 8654</t>
  </si>
  <si>
    <t>Cust 3708</t>
  </si>
  <si>
    <t>Cust 1268</t>
  </si>
  <si>
    <t>Cust 5600</t>
  </si>
  <si>
    <t>Cust 2438</t>
  </si>
  <si>
    <t>Cust 4293</t>
  </si>
  <si>
    <t>Cust 2616</t>
  </si>
  <si>
    <t>Cust 5362</t>
  </si>
  <si>
    <t>Cust 1670</t>
  </si>
  <si>
    <t>Cust 2254</t>
  </si>
  <si>
    <t>Cust 9521</t>
  </si>
  <si>
    <t>Cust 3921</t>
  </si>
  <si>
    <t>Cust 7628</t>
  </si>
  <si>
    <t>Cust 4210</t>
  </si>
  <si>
    <t>Cust 1951</t>
  </si>
  <si>
    <t>Cust 9405</t>
  </si>
  <si>
    <t>Cust 8769</t>
  </si>
  <si>
    <t>Cust 4068</t>
  </si>
  <si>
    <t>Cust 3523</t>
  </si>
  <si>
    <t>Cust 3377</t>
  </si>
  <si>
    <t>Cust 3125</t>
  </si>
  <si>
    <t>Cust 4623</t>
  </si>
  <si>
    <t>Cust 4571</t>
  </si>
  <si>
    <t>Cust 6982</t>
  </si>
  <si>
    <t>Cust 6824</t>
  </si>
  <si>
    <t>Cust 3172</t>
  </si>
  <si>
    <t>Cust 8146</t>
  </si>
  <si>
    <t>Cust 3299</t>
  </si>
  <si>
    <t>Cust 6476</t>
  </si>
  <si>
    <t>Cust 9835</t>
  </si>
  <si>
    <t>Cust 1003</t>
  </si>
  <si>
    <t>Cust 9705</t>
  </si>
  <si>
    <t>Cust 3421</t>
  </si>
  <si>
    <t>Cust 1690</t>
  </si>
  <si>
    <t>Cust 2507</t>
  </si>
  <si>
    <t>Cust 9880</t>
  </si>
  <si>
    <t>Cust 3972</t>
  </si>
  <si>
    <t>Cust 4205</t>
  </si>
  <si>
    <t>Cust 2579</t>
  </si>
  <si>
    <t>Cust 7265</t>
  </si>
  <si>
    <t>Cust 1199</t>
  </si>
  <si>
    <t>Cust 2928</t>
  </si>
  <si>
    <t>Cust 9447</t>
  </si>
  <si>
    <t>Cust 9095</t>
  </si>
  <si>
    <t>Cust 7587</t>
  </si>
  <si>
    <t>Cust 2611</t>
  </si>
  <si>
    <t>Cust 8284</t>
  </si>
  <si>
    <t>Cust 8154</t>
  </si>
  <si>
    <t>Cust 5215</t>
  </si>
  <si>
    <t>Cust 5309</t>
  </si>
  <si>
    <t>Cust 2016</t>
  </si>
  <si>
    <t>Cust 2676</t>
  </si>
  <si>
    <t>Cust 7529</t>
  </si>
  <si>
    <t>Cust 6172</t>
  </si>
  <si>
    <t>Cust 2527</t>
  </si>
  <si>
    <t>Cust 1970</t>
  </si>
  <si>
    <t>Cust 9543</t>
  </si>
  <si>
    <t>Cust 2957</t>
  </si>
  <si>
    <t>Cust 2852</t>
  </si>
  <si>
    <t>Cust 6365</t>
  </si>
  <si>
    <t>Cust 3252</t>
  </si>
  <si>
    <t>Cust 8679</t>
  </si>
  <si>
    <t>Cust 5547</t>
  </si>
  <si>
    <t>Cust 9438</t>
  </si>
  <si>
    <t>Cust 7007</t>
  </si>
  <si>
    <t>Cust 5771</t>
  </si>
  <si>
    <t>Cust 4317</t>
  </si>
  <si>
    <t>Cust 3627</t>
  </si>
  <si>
    <t>Cust 4433</t>
  </si>
  <si>
    <t>Cust 6231</t>
  </si>
  <si>
    <t>Cust 8987</t>
  </si>
  <si>
    <t>Cust 4510</t>
  </si>
  <si>
    <t>Cust 7003</t>
  </si>
  <si>
    <t>Cust 6546</t>
  </si>
  <si>
    <t>Cust 2951</t>
  </si>
  <si>
    <t>Cust 4673</t>
  </si>
  <si>
    <t>Cust 5988</t>
  </si>
  <si>
    <t>Cust 3922</t>
  </si>
  <si>
    <t>Cust 9853</t>
  </si>
  <si>
    <t>Cust 6168</t>
  </si>
  <si>
    <t>Cust 3175</t>
  </si>
  <si>
    <t>Cust 1813</t>
  </si>
  <si>
    <t>Cust 7749</t>
  </si>
  <si>
    <t>Cust 3416</t>
  </si>
  <si>
    <t>Cust 7066</t>
  </si>
  <si>
    <t>Cust 5180</t>
  </si>
  <si>
    <t>Cust 6246</t>
  </si>
  <si>
    <t>Cust 4182</t>
  </si>
  <si>
    <t>Cust 6843</t>
  </si>
  <si>
    <t>Cust 6844</t>
  </si>
  <si>
    <t>Cust 3248</t>
  </si>
  <si>
    <t>Cust 5226</t>
  </si>
  <si>
    <t>Cust 9804</t>
  </si>
  <si>
    <t>Cust 3990</t>
  </si>
  <si>
    <t>Cust 5106</t>
  </si>
  <si>
    <t>Cust 3448</t>
  </si>
  <si>
    <t>Cust 1439</t>
  </si>
  <si>
    <t>Cust 5342</t>
  </si>
  <si>
    <t>Cust 4564</t>
  </si>
  <si>
    <t>Cust 6441</t>
  </si>
  <si>
    <t>Cust 7591</t>
  </si>
  <si>
    <t>Cust 9778</t>
  </si>
  <si>
    <t>Cust 1195</t>
  </si>
  <si>
    <t>Cust 8126</t>
  </si>
  <si>
    <t>Cust 4609</t>
  </si>
  <si>
    <t>Cust 1449</t>
  </si>
  <si>
    <t>Cust 3508</t>
  </si>
  <si>
    <t>Cust 1232</t>
  </si>
  <si>
    <t>Cust 9675</t>
  </si>
  <si>
    <t>Cust 5153</t>
  </si>
  <si>
    <t>Cust 8277</t>
  </si>
  <si>
    <t>Cust 5884</t>
  </si>
  <si>
    <t>Cust 4061</t>
  </si>
  <si>
    <t>Cust 8095</t>
  </si>
  <si>
    <t>Cust 2435</t>
  </si>
  <si>
    <t>Cust 6485</t>
  </si>
  <si>
    <t>Cust 6960</t>
  </si>
  <si>
    <t>Cust 1135</t>
  </si>
  <si>
    <t>Cust 6186</t>
  </si>
  <si>
    <t>Cust 8828</t>
  </si>
  <si>
    <t>Cust 4744</t>
  </si>
  <si>
    <t>Cust 4287</t>
  </si>
  <si>
    <t>Cust 2236</t>
  </si>
  <si>
    <t>Cust 5096</t>
  </si>
  <si>
    <t>Cust 1162</t>
  </si>
  <si>
    <t>Cust 1669</t>
  </si>
  <si>
    <t>Cust 6213</t>
  </si>
  <si>
    <t>Cust 7659</t>
  </si>
  <si>
    <t>Cust 2894</t>
  </si>
  <si>
    <t>Cust 1457</t>
  </si>
  <si>
    <t>Cust 2410</t>
  </si>
  <si>
    <t>Cust 4723</t>
  </si>
  <si>
    <t>Cust 1586</t>
  </si>
  <si>
    <t>Cust 5049</t>
  </si>
  <si>
    <t>Cust 9534</t>
  </si>
  <si>
    <t>Cust 5693</t>
  </si>
  <si>
    <t>Cust 6950</t>
  </si>
  <si>
    <t>Cust 7098</t>
  </si>
  <si>
    <t>Cust 8300</t>
  </si>
  <si>
    <t>Cust 9557</t>
  </si>
  <si>
    <t>Cust 8787</t>
  </si>
  <si>
    <t>Cust 9717</t>
  </si>
  <si>
    <t>Cust 2719</t>
  </si>
  <si>
    <t>Cust 6203</t>
  </si>
  <si>
    <t>Cust 9151</t>
  </si>
  <si>
    <t>Cust 4250</t>
  </si>
  <si>
    <t>Cust 1276</t>
  </si>
  <si>
    <t>Cust 6063</t>
  </si>
  <si>
    <t>Cust 7604</t>
  </si>
  <si>
    <t>Cust 4398</t>
  </si>
  <si>
    <t>Cust 8770</t>
  </si>
  <si>
    <t>Cust 2148</t>
  </si>
  <si>
    <t>Cust 4107</t>
  </si>
  <si>
    <t>Cust 4450</t>
  </si>
  <si>
    <t>Cust 8233</t>
  </si>
  <si>
    <t>Cust 9012</t>
  </si>
  <si>
    <t>Cust 1496</t>
  </si>
  <si>
    <t>Cust 9365</t>
  </si>
  <si>
    <t>Cust 1392</t>
  </si>
  <si>
    <t>Cust 3474</t>
  </si>
  <si>
    <t>Cust 2111</t>
  </si>
  <si>
    <t>Cust 2341</t>
  </si>
  <si>
    <t>Cust 5935</t>
  </si>
  <si>
    <t>Cust 3291</t>
  </si>
  <si>
    <t>Cust 5258</t>
  </si>
  <si>
    <t>Cust 9606</t>
  </si>
  <si>
    <t>Cust 9182</t>
  </si>
  <si>
    <t>Cust 6299</t>
  </si>
  <si>
    <t>Cust 9628</t>
  </si>
  <si>
    <t>Cust 3831</t>
  </si>
  <si>
    <t>Cust 7955</t>
  </si>
  <si>
    <t>Cust 3939</t>
  </si>
  <si>
    <t>Cust 7916</t>
  </si>
  <si>
    <t>Cust 2477</t>
  </si>
  <si>
    <t>Cust 3781</t>
  </si>
  <si>
    <t>Cust 1969</t>
  </si>
  <si>
    <t>Cust 4494</t>
  </si>
  <si>
    <t>Cust 3061</t>
  </si>
  <si>
    <t>Cust 4732</t>
  </si>
  <si>
    <t>Cust 9889</t>
  </si>
  <si>
    <t>Cust 2165</t>
  </si>
  <si>
    <t>Cust 6121</t>
  </si>
  <si>
    <t>Cust 4071</t>
  </si>
  <si>
    <t>Cust 5249</t>
  </si>
  <si>
    <t>Cust 4262</t>
  </si>
  <si>
    <t>Cust 9314</t>
  </si>
  <si>
    <t>Cust 7703</t>
  </si>
  <si>
    <t>Cust 1007</t>
  </si>
  <si>
    <t>Cust 1946</t>
  </si>
  <si>
    <t>Cust 6347</t>
  </si>
  <si>
    <t>Cust 6499</t>
  </si>
  <si>
    <t>Cust 1420</t>
  </si>
  <si>
    <t>Cust 6744</t>
  </si>
  <si>
    <t>Cust 5690</t>
  </si>
  <si>
    <t>Cust 1265</t>
  </si>
  <si>
    <t>Cust 7676</t>
  </si>
  <si>
    <t>Cust 4442</t>
  </si>
  <si>
    <t>Cust 2975</t>
  </si>
  <si>
    <t>Cust 7832</t>
  </si>
  <si>
    <t>Cust 8639</t>
  </si>
  <si>
    <t>Cust 4389</t>
  </si>
  <si>
    <t>Cust 2008</t>
  </si>
  <si>
    <t>Cust 6509</t>
  </si>
  <si>
    <t>Cust 4414</t>
  </si>
  <si>
    <t>Cust 6409</t>
  </si>
  <si>
    <t>Cust 1621</t>
  </si>
  <si>
    <t>Cust 6790</t>
  </si>
  <si>
    <t>Cust 4045</t>
  </si>
  <si>
    <t>Cust 1258</t>
  </si>
  <si>
    <t>Cust 8051</t>
  </si>
  <si>
    <t>Cust 9371</t>
  </si>
  <si>
    <t>Cust 9881</t>
  </si>
  <si>
    <t>Cust 9189</t>
  </si>
  <si>
    <t>Cust 8802</t>
  </si>
  <si>
    <t>Cust 8707</t>
  </si>
  <si>
    <t>Cust 5638</t>
  </si>
  <si>
    <t>Cust 6036</t>
  </si>
  <si>
    <t>Cust 5504</t>
  </si>
  <si>
    <t>Cust 1161</t>
  </si>
  <si>
    <t>Cust 5420</t>
  </si>
  <si>
    <t>Cust 7745</t>
  </si>
  <si>
    <t>Cust 4365</t>
  </si>
  <si>
    <t>Cust 9020</t>
  </si>
  <si>
    <t>Cust 2667</t>
  </si>
  <si>
    <t>Cust 6158</t>
  </si>
  <si>
    <t>Cust 7404</t>
  </si>
  <si>
    <t>Cust 8572</t>
  </si>
  <si>
    <t>Cust 1043</t>
  </si>
  <si>
    <t>Cust 1766</t>
  </si>
  <si>
    <t>Cust 4461</t>
  </si>
  <si>
    <t>Cust 4390</t>
  </si>
  <si>
    <t>Cust 9451</t>
  </si>
  <si>
    <t>Cust 5335</t>
  </si>
  <si>
    <t>Cust 3487</t>
  </si>
  <si>
    <t>Cust 7613</t>
  </si>
  <si>
    <t>Cust 9436</t>
  </si>
  <si>
    <t>Cust 2197</t>
  </si>
  <si>
    <t>Cust 5620</t>
  </si>
  <si>
    <t>Cust 3187</t>
  </si>
  <si>
    <t>Cust 1081</t>
  </si>
  <si>
    <t>Cust 5409</t>
  </si>
  <si>
    <t>Cust 2741</t>
  </si>
  <si>
    <t>Cust 2571</t>
  </si>
  <si>
    <t>Cust 6301</t>
  </si>
  <si>
    <t>Cust 7918</t>
  </si>
  <si>
    <t>Cust 3456</t>
  </si>
  <si>
    <t>Cust 8272</t>
  </si>
  <si>
    <t>Cust 7302</t>
  </si>
  <si>
    <t>Cust 5484</t>
  </si>
  <si>
    <t>Cust 4652</t>
  </si>
  <si>
    <t>Cust 1287</t>
  </si>
  <si>
    <t>Cust 5444</t>
  </si>
  <si>
    <t>Cust 6355</t>
  </si>
  <si>
    <t>Cust 6620</t>
  </si>
  <si>
    <t>Cust 4092</t>
  </si>
  <si>
    <t>Cust 4812</t>
  </si>
  <si>
    <t>Cust 8389</t>
  </si>
  <si>
    <t>Cust 4529</t>
  </si>
  <si>
    <t>Cust 4228</t>
  </si>
  <si>
    <t>Cust 3940</t>
  </si>
  <si>
    <t>Cust 4392</t>
  </si>
  <si>
    <t>Cust 4404</t>
  </si>
  <si>
    <t>Cust 2981</t>
  </si>
  <si>
    <t>Cust 3571</t>
  </si>
  <si>
    <t>Cust 2592</t>
  </si>
  <si>
    <t>Cust 6209</t>
  </si>
  <si>
    <t>Cust 6600</t>
  </si>
  <si>
    <t>Cust 6899</t>
  </si>
  <si>
    <t>Cust 1563</t>
  </si>
  <si>
    <t>Cust 6733</t>
  </si>
  <si>
    <t>Cust 7635</t>
  </si>
  <si>
    <t>Cust 4354</t>
  </si>
  <si>
    <t>Cust 1376</t>
  </si>
  <si>
    <t>Cust 6542</t>
  </si>
  <si>
    <t>Cust 4386</t>
  </si>
  <si>
    <t>Cust 6708</t>
  </si>
  <si>
    <t>Cust 6354</t>
  </si>
  <si>
    <t>Cust 3477</t>
  </si>
  <si>
    <t>Cust 6646</t>
  </si>
  <si>
    <t>Cust 6284</t>
  </si>
  <si>
    <t>Cust 9099</t>
  </si>
  <si>
    <t>Cust 6124</t>
  </si>
  <si>
    <t>Cust 8533</t>
  </si>
  <si>
    <t>Cust 1333</t>
  </si>
  <si>
    <t>Cust 2394</t>
  </si>
  <si>
    <t>Cust 8495</t>
  </si>
  <si>
    <t>Cust 3988</t>
  </si>
  <si>
    <t>Cust 4664</t>
  </si>
  <si>
    <t>Cust 5086</t>
  </si>
  <si>
    <t>Cust 8858</t>
  </si>
  <si>
    <t>Cust 2496</t>
  </si>
  <si>
    <t>Cust 5465</t>
  </si>
  <si>
    <t>Cust 2311</t>
  </si>
  <si>
    <t>Cust 4575</t>
  </si>
  <si>
    <t>Cust 8054</t>
  </si>
  <si>
    <t>Cust 7547</t>
  </si>
  <si>
    <t>Cust 5635</t>
  </si>
  <si>
    <t>Cust 4360</t>
  </si>
  <si>
    <t>Cust 1624</t>
  </si>
  <si>
    <t>Cust 6593</t>
  </si>
  <si>
    <t>Cust 8458</t>
  </si>
  <si>
    <t>Cust 8847</t>
  </si>
  <si>
    <t>Cust 7857</t>
  </si>
  <si>
    <t>Cust 7810</t>
  </si>
  <si>
    <t>Cust 5665</t>
  </si>
  <si>
    <t>Cust 8015</t>
  </si>
  <si>
    <t>Cust 7211</t>
  </si>
  <si>
    <t>Cust 8705</t>
  </si>
  <si>
    <t>Cust 2905</t>
  </si>
  <si>
    <t>Cust 5777</t>
  </si>
  <si>
    <t>Cust 6695</t>
  </si>
  <si>
    <t>Cust 1977</t>
  </si>
  <si>
    <t>Cust 7979</t>
  </si>
  <si>
    <t>Cust 2437</t>
  </si>
  <si>
    <t>Cust 2516</t>
  </si>
  <si>
    <t>Cust 6791</t>
  </si>
  <si>
    <t>Cust 5227</t>
  </si>
  <si>
    <t>Cust 5559</t>
  </si>
  <si>
    <t>Cust 8981</t>
  </si>
  <si>
    <t>Cust 1824</t>
  </si>
  <si>
    <t>Eric</t>
  </si>
  <si>
    <t>Sophie</t>
  </si>
  <si>
    <t>Ryan</t>
  </si>
  <si>
    <t>Cameron</t>
  </si>
  <si>
    <t>Wendy</t>
  </si>
  <si>
    <t>Grand Total</t>
  </si>
  <si>
    <t>Sum of TotalPrice</t>
  </si>
  <si>
    <t>WeekNum</t>
  </si>
  <si>
    <t>Revenue</t>
  </si>
  <si>
    <t>Row Labels</t>
  </si>
  <si>
    <t xml:space="preserve"> Total Revenue</t>
  </si>
  <si>
    <t>Africa</t>
  </si>
  <si>
    <t>Continent</t>
  </si>
  <si>
    <t>Kenya</t>
  </si>
  <si>
    <t>Egypt</t>
  </si>
  <si>
    <t>South Africa</t>
  </si>
  <si>
    <t>Nigeria</t>
  </si>
  <si>
    <t>DRC</t>
  </si>
  <si>
    <t>Country2</t>
  </si>
  <si>
    <t>Payment Method</t>
  </si>
  <si>
    <t>No Promotion</t>
  </si>
  <si>
    <t>Promotion Type</t>
  </si>
  <si>
    <t>Total Revenue</t>
  </si>
  <si>
    <t>Sum of ShippingCost</t>
  </si>
  <si>
    <t xml:space="preserve"> Returned</t>
  </si>
  <si>
    <t>Week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</si>
</sst>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quot;$&quot;#,##0.00"/>
    <numFmt numFmtId="166" formatCode="&quot;$&quot;#,##0"/>
  </numFmts>
  <fonts count="4" x14ac:knownFonts="1">
    <font>
      <sz val="11"/>
      <color theme="1"/>
      <name val="Calibri"/>
      <family val="2"/>
      <scheme val="minor"/>
    </font>
    <font>
      <b/>
      <sz val="11"/>
      <color theme="0"/>
      <name val="Calibri"/>
      <family val="2"/>
      <scheme val="minor"/>
    </font>
    <font>
      <b/>
      <sz val="11"/>
      <color theme="1" tint="4.9989318521683403E-2"/>
      <name val="Calibri"/>
      <family val="2"/>
      <scheme val="minor"/>
    </font>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3">
    <border>
      <left/>
      <right/>
      <top/>
      <bottom/>
      <diagonal/>
    </border>
    <border>
      <left/>
      <right/>
      <top/>
      <bottom style="thin">
        <color theme="4" tint="0.39997558519241921"/>
      </bottom>
      <diagonal/>
    </border>
    <border>
      <left style="thin">
        <color auto="1"/>
      </left>
      <right style="thin">
        <color auto="1"/>
      </right>
      <top/>
      <bottom style="thin">
        <color auto="1"/>
      </bottom>
      <diagonal/>
    </border>
  </borders>
  <cellStyleXfs count="2">
    <xf numFmtId="0" fontId="0" fillId="0" borderId="0"/>
    <xf numFmtId="9" fontId="3" fillId="0" borderId="0" applyFont="0" applyFill="0" applyBorder="0" applyAlignment="0" applyProtection="0"/>
  </cellStyleXfs>
  <cellXfs count="15">
    <xf numFmtId="0" fontId="0" fillId="0" borderId="0" xfId="0"/>
    <xf numFmtId="164" fontId="0" fillId="0" borderId="0" xfId="0" applyNumberFormat="1"/>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0" fontId="1" fillId="0" borderId="0" xfId="0" applyFont="1"/>
    <xf numFmtId="0" fontId="2" fillId="2" borderId="1" xfId="0" applyFont="1" applyFill="1" applyBorder="1"/>
    <xf numFmtId="165" fontId="0" fillId="0" borderId="0" xfId="0" applyNumberFormat="1"/>
    <xf numFmtId="1" fontId="1" fillId="0" borderId="2" xfId="0" applyNumberFormat="1" applyFont="1" applyBorder="1" applyAlignment="1">
      <alignment horizontal="center" vertical="top"/>
    </xf>
    <xf numFmtId="1" fontId="0" fillId="0" borderId="0" xfId="0" applyNumberFormat="1"/>
    <xf numFmtId="165" fontId="1" fillId="0" borderId="2" xfId="0" applyNumberFormat="1" applyFont="1" applyBorder="1" applyAlignment="1">
      <alignment horizontal="center" vertical="top"/>
    </xf>
    <xf numFmtId="166" fontId="0" fillId="0" borderId="0" xfId="0" applyNumberFormat="1"/>
    <xf numFmtId="9" fontId="0" fillId="0" borderId="0" xfId="1" applyFont="1"/>
    <xf numFmtId="9" fontId="1" fillId="0" borderId="2" xfId="1" applyFont="1" applyBorder="1" applyAlignment="1">
      <alignment horizontal="center" vertical="top"/>
    </xf>
    <xf numFmtId="0" fontId="0" fillId="0" borderId="0" xfId="0" applyNumberFormat="1"/>
  </cellXfs>
  <cellStyles count="2">
    <cellStyle name="Normal" xfId="0" builtinId="0"/>
    <cellStyle name="Percent" xfId="1" builtinId="5"/>
  </cellStyles>
  <dxfs count="230">
    <dxf>
      <numFmt numFmtId="4" formatCode="#,##0.00"/>
    </dxf>
    <dxf>
      <numFmt numFmtId="165" formatCode="&quot;$&quot;#,##0.00"/>
    </dxf>
    <dxf>
      <numFmt numFmtId="165" formatCode="&quot;$&quot;#,##0.00"/>
    </dxf>
    <dxf>
      <numFmt numFmtId="4" formatCode="#,##0.00"/>
    </dxf>
    <dxf>
      <numFmt numFmtId="165" formatCode="&quot;$&quot;#,##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4" formatCode="#,##0.00"/>
    </dxf>
    <dxf>
      <numFmt numFmtId="165" formatCode="&quot;$&quot;#,##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4" formatCode="#,##0.00"/>
    </dxf>
    <dxf>
      <numFmt numFmtId="165" formatCode="&quot;$&quot;#,##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4" formatCode="#,##0.00"/>
    </dxf>
    <dxf>
      <numFmt numFmtId="165" formatCode="&quot;$&quot;#,##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4" formatCode="#,##0.00"/>
    </dxf>
    <dxf>
      <numFmt numFmtId="165" formatCode="&quot;$&quot;#,##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4" formatCode="#,##0.00"/>
    </dxf>
    <dxf>
      <numFmt numFmtId="165" formatCode="&quot;$&quot;#,##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4" formatCode="#,##0.00"/>
    </dxf>
    <dxf>
      <numFmt numFmtId="165" formatCode="&quot;$&quot;#,##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4" formatCode="#,##0.00"/>
    </dxf>
    <dxf>
      <numFmt numFmtId="165" formatCode="&quot;$&quot;#,##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4" formatCode="#,##0.00"/>
    </dxf>
    <dxf>
      <numFmt numFmtId="165" formatCode="&quot;$&quot;#,##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4" formatCode="#,##0.00"/>
    </dxf>
    <dxf>
      <numFmt numFmtId="165" formatCode="&quot;$&quot;#,##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4" formatCode="#,##0.00"/>
    </dxf>
    <dxf>
      <numFmt numFmtId="165" formatCode="&quot;$&quot;#,##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4" formatCode="#,##0.00"/>
    </dxf>
    <dxf>
      <numFmt numFmtId="165" formatCode="&quot;$&quot;#,##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165" formatCode="&quot;$&quot;#,##0.00"/>
    </dxf>
    <dxf>
      <numFmt numFmtId="4" formatCode="#,##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165" formatCode="&quot;$&quot;#,##0.00"/>
    </dxf>
    <dxf>
      <numFmt numFmtId="4" formatCode="#,##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165" formatCode="&quot;$&quot;#,##0.00"/>
    </dxf>
    <dxf>
      <numFmt numFmtId="4" formatCode="#,##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165" formatCode="&quot;$&quot;#,##0.00"/>
    </dxf>
    <dxf>
      <numFmt numFmtId="4" formatCode="#,##0.00"/>
    </dxf>
    <dxf>
      <numFmt numFmtId="165" formatCode="&quot;$&quot;#,##0.00"/>
    </dxf>
    <dxf>
      <numFmt numFmtId="165" formatCode="&quot;$&quot;#,##0.00"/>
    </dxf>
    <dxf>
      <numFmt numFmtId="4" formatCode="#,##0.00"/>
    </dxf>
    <dxf>
      <numFmt numFmtId="165" formatCode="&quot;$&quot;#,##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165" formatCode="&quot;$&quot;#,##0.00"/>
    </dxf>
    <dxf>
      <numFmt numFmtId="4" formatCode="#,##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165" formatCode="&quot;$&quot;#,##0.00"/>
    </dxf>
    <dxf>
      <numFmt numFmtId="4" formatCode="#,##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165" formatCode="&quot;$&quot;#,##0.00"/>
    </dxf>
    <dxf>
      <numFmt numFmtId="4" formatCode="#,##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165" formatCode="&quot;$&quot;#,##0.00"/>
    </dxf>
    <dxf>
      <numFmt numFmtId="4" formatCode="#,##0.00"/>
    </dxf>
    <dxf>
      <numFmt numFmtId="165" formatCode="&quot;$&quot;#,##0.00"/>
    </dxf>
    <dxf>
      <numFmt numFmtId="165" formatCode="&quot;$&quot;#,##0.00"/>
    </dxf>
    <dxf>
      <numFmt numFmtId="165" formatCode="&quot;$&quot;#,##0.00"/>
    </dxf>
    <dxf>
      <numFmt numFmtId="166" formatCode="&quot;$&quot;#,##0"/>
    </dxf>
    <dxf>
      <numFmt numFmtId="4" formatCode="#,##0.00"/>
    </dxf>
    <dxf>
      <numFmt numFmtId="165" formatCode="&quot;$&quot;#,##0.00"/>
    </dxf>
    <dxf>
      <numFmt numFmtId="165" formatCode="&quot;$&quot;#,##0.00"/>
    </dxf>
    <dxf>
      <numFmt numFmtId="165" formatCode="&quot;$&quot;#,##0.00"/>
    </dxf>
    <dxf>
      <numFmt numFmtId="4" formatCode="#,##0.00"/>
    </dxf>
    <dxf>
      <numFmt numFmtId="165" formatCode="&quot;$&quot;#,##0.00"/>
    </dxf>
    <dxf>
      <numFmt numFmtId="165" formatCode="&quot;$&quot;#,##0.00"/>
    </dxf>
    <dxf>
      <numFmt numFmtId="165" formatCode="&quot;$&quot;#,##0.00"/>
    </dxf>
    <dxf>
      <numFmt numFmtId="165" formatCode="&quot;$&quot;#,##0.00"/>
    </dxf>
    <dxf>
      <numFmt numFmtId="165" formatCode="&quot;$&quot;#,##0.00"/>
    </dxf>
    <dxf>
      <alignment horizontal="left" vertical="bottom" textRotation="0" wrapText="0" indent="0" justifyLastLine="0" shrinkToFit="0" readingOrder="0"/>
    </dxf>
    <dxf>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1" tint="4.9989318521683403E-2"/>
        <name val="Calibri"/>
        <family val="2"/>
        <scheme val="minor"/>
      </font>
      <fill>
        <patternFill patternType="solid">
          <fgColor theme="4" tint="0.79998168889431442"/>
          <bgColor theme="4" tint="0.79998168889431442"/>
        </patternFill>
      </fill>
    </dxf>
    <dxf>
      <numFmt numFmtId="165" formatCode="&quot;$&quot;#,##0.00"/>
    </dxf>
    <dxf>
      <numFmt numFmtId="4" formatCode="#,##0.00"/>
    </dxf>
    <dxf>
      <numFmt numFmtId="165" formatCode="&quot;$&quot;#,##0.00"/>
    </dxf>
    <dxf>
      <numFmt numFmtId="4" formatCode="#,##0.00"/>
    </dxf>
    <dxf>
      <numFmt numFmtId="165" formatCode="&quot;$&quot;#,##0.00"/>
    </dxf>
    <dxf>
      <numFmt numFmtId="165" formatCode="&quot;$&quot;#,##0.00"/>
    </dxf>
    <dxf>
      <numFmt numFmtId="166" formatCode="&quot;$&quot;#,##0"/>
    </dxf>
    <dxf>
      <numFmt numFmtId="165" formatCode="&quot;$&quot;#,##0.00"/>
    </dxf>
    <dxf>
      <numFmt numFmtId="164" formatCode="yyyy\-mm\-dd"/>
    </dxf>
    <dxf>
      <numFmt numFmtId="0" formatCode="General"/>
    </dxf>
    <dxf>
      <numFmt numFmtId="164" formatCode="yyyy\-mm\-dd"/>
    </dxf>
    <dxf>
      <numFmt numFmtId="165" formatCode="&quot;$&quot;#,##0.00"/>
    </dxf>
    <dxf>
      <numFmt numFmtId="165" formatCode="&quot;$&quot;#,##0.00"/>
    </dxf>
    <dxf>
      <numFmt numFmtId="1" formatCode="0"/>
    </dxf>
    <dxf>
      <numFmt numFmtId="164" formatCode="yyyy\-mm\-dd"/>
    </dxf>
    <dxf>
      <border outline="0">
        <top style="thin">
          <color auto="1"/>
        </top>
      </border>
    </dxf>
    <dxf>
      <border outline="0">
        <bottom style="thin">
          <color auto="1"/>
        </bottom>
      </border>
    </dxf>
    <dxf>
      <font>
        <b/>
        <i val="0"/>
        <strike val="0"/>
        <condense val="0"/>
        <extend val="0"/>
        <outline val="0"/>
        <shadow val="0"/>
        <u val="none"/>
        <vertAlign val="baseline"/>
        <sz val="11"/>
        <color theme="0"/>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font>
        <b/>
        <i val="0"/>
        <sz val="16"/>
        <color rgb="FF002060"/>
        <name val="Calibri"/>
        <family val="2"/>
        <scheme val="none"/>
      </font>
      <border diagonalUp="0" diagonalDown="0">
        <left style="thin">
          <color auto="1"/>
        </left>
        <right style="thin">
          <color auto="1"/>
        </right>
        <top style="thin">
          <color auto="1"/>
        </top>
        <bottom style="thin">
          <color auto="1"/>
        </bottom>
        <vertical/>
        <horizontal/>
      </border>
    </dxf>
    <dxf>
      <font>
        <color theme="1"/>
      </font>
      <fill>
        <patternFill>
          <bgColor theme="8" tint="-0.24994659260841701"/>
        </patternFill>
      </fill>
      <border>
        <left style="thin">
          <color theme="4"/>
        </left>
        <right style="thin">
          <color theme="4"/>
        </right>
        <top style="thin">
          <color theme="4"/>
        </top>
        <bottom style="thin">
          <color theme="4"/>
        </bottom>
        <vertical/>
        <horizontal/>
      </border>
    </dxf>
    <dxf>
      <font>
        <b/>
        <i val="0"/>
        <sz val="14"/>
        <color rgb="FF002060"/>
        <name val="Calibri"/>
        <family val="2"/>
        <scheme val="none"/>
      </font>
      <fill>
        <patternFill patternType="none">
          <bgColor auto="1"/>
        </patternFill>
      </fill>
      <border diagonalUp="0" diagonalDown="0">
        <left/>
        <right/>
        <top/>
        <bottom/>
        <vertical/>
        <horizontal/>
      </border>
    </dxf>
    <dxf>
      <font>
        <color theme="1"/>
      </font>
      <fill>
        <patternFill patternType="solid">
          <bgColor theme="8" tint="-0.24994659260841701"/>
        </patternFill>
      </fill>
      <border diagonalUp="0" diagonalDown="0">
        <left/>
        <right/>
        <top/>
        <bottom/>
        <vertical/>
        <horizontal/>
      </border>
    </dxf>
  </dxfs>
  <tableStyles count="2" defaultTableStyle="TableStyleMedium9" defaultPivotStyle="PivotStyleLight16">
    <tableStyle name="mine" pivot="0" table="0" count="10" xr9:uid="{EA3CF03E-A4F4-4072-B205-1EE84B8E91B0}">
      <tableStyleElement type="wholeTable" dxfId="229"/>
      <tableStyleElement type="headerRow" dxfId="228"/>
    </tableStyle>
    <tableStyle name="TimeSlicer" pivot="0" table="0" count="9" xr9:uid="{2CB3059A-F445-4D35-B840-0553BD816B23}">
      <tableStyleElement type="wholeTable" dxfId="227"/>
      <tableStyleElement type="headerRow" dxfId="226"/>
    </tableStyle>
  </tableStyles>
  <colors>
    <mruColors>
      <color rgb="FFC5F0FF"/>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theme="0"/>
            <name val="Calibri"/>
            <family val="2"/>
            <scheme val="none"/>
          </font>
          <fill>
            <patternFill patternType="solid">
              <fgColor indexed="64"/>
              <bgColor rgb="FF002060"/>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in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patternFill patternType="solid">
              <fgColor auto="1"/>
              <bgColor theme="0"/>
            </patternFill>
          </fill>
          <border>
            <vertical/>
            <horizontal/>
          </border>
        </dxf>
        <dxf>
          <fill>
            <patternFill patternType="solid">
              <fgColor auto="1"/>
              <bgColor rgb="FF002060"/>
            </patternFill>
          </fill>
          <border>
            <vertical/>
            <horizontal/>
          </border>
        </dxf>
        <dxf>
          <font>
            <b/>
            <i val="0"/>
            <sz val="11"/>
            <color rgb="FF002060"/>
            <name val="Calibri"/>
            <family val="2"/>
            <scheme val="none"/>
          </font>
          <border>
            <left/>
            <right/>
            <top/>
            <bottom/>
            <vertical/>
            <horizontal/>
          </border>
        </dxf>
        <dxf>
          <font>
            <b/>
            <i val="0"/>
            <sz val="10"/>
            <color theme="0"/>
            <name val="Calibri"/>
            <family val="2"/>
            <scheme val="none"/>
          </font>
          <border>
            <left/>
            <right/>
            <top/>
            <bottom/>
            <vertical/>
            <horizontal/>
          </border>
        </dxf>
        <dxf>
          <font>
            <b/>
            <i val="0"/>
            <sz val="10"/>
            <color rgb="FF002060"/>
            <name val="Calibri"/>
            <family val="2"/>
            <scheme val="none"/>
          </font>
          <border>
            <left/>
            <right/>
            <top/>
            <bottom/>
            <vertical/>
            <horizontal/>
          </border>
        </dxf>
        <dxf>
          <font>
            <b/>
            <i val="0"/>
            <sz val="10"/>
            <color theme="0"/>
            <name val="Calibri"/>
            <family val="2"/>
            <scheme val="none"/>
          </font>
          <border>
            <left/>
            <right/>
            <top/>
            <bottom/>
            <vertical/>
            <horizontal/>
          </border>
        </dxf>
      </x15:dxfs>
    </ext>
    <ext xmlns:x15="http://schemas.microsoft.com/office/spreadsheetml/2010/11/main" uri="{9260A510-F301-46a8-8635-F512D64BE5F5}">
      <x15:timelineStyles defaultTimelineStyle="TimeSlicerStyleLight1">
        <x15:timelineStyle name="TimeSlicer">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(2).xlsx]Analysis!PivotTable12</c:name>
    <c:fmtId val="3"/>
  </c:pivotSource>
  <c:chart>
    <c:title>
      <c:tx>
        <c:rich>
          <a:bodyPr rot="0" spcFirstLastPara="1" vertOverflow="ellipsis" vert="horz" wrap="square" anchor="ctr" anchorCtr="1"/>
          <a:lstStyle/>
          <a:p>
            <a:pPr algn="l">
              <a:defRPr sz="2000" b="1" i="0" u="none" strike="noStrike" kern="1200" spc="0" baseline="0">
                <a:solidFill>
                  <a:srgbClr val="002060"/>
                </a:solidFill>
                <a:latin typeface="+mn-lt"/>
                <a:ea typeface="+mn-ea"/>
                <a:cs typeface="+mn-cs"/>
              </a:defRPr>
            </a:pPr>
            <a:r>
              <a:rPr lang="en-US" sz="2000" b="1" i="0" u="none" strike="noStrike" baseline="0">
                <a:solidFill>
                  <a:srgbClr val="002060"/>
                </a:solidFill>
              </a:rPr>
              <a:t>Salesperson Performance </a:t>
            </a:r>
            <a:endParaRPr lang="en-US" sz="2000" b="1">
              <a:solidFill>
                <a:srgbClr val="002060"/>
              </a:solidFill>
            </a:endParaRPr>
          </a:p>
        </c:rich>
      </c:tx>
      <c:layout>
        <c:manualLayout>
          <c:xMode val="edge"/>
          <c:yMode val="edge"/>
          <c:x val="0.10852747199984396"/>
          <c:y val="3.1062643096058124E-2"/>
        </c:manualLayout>
      </c:layout>
      <c:overlay val="0"/>
      <c:spPr>
        <a:noFill/>
        <a:ln>
          <a:noFill/>
        </a:ln>
        <a:effectLst/>
      </c:spPr>
      <c:txPr>
        <a:bodyPr rot="0" spcFirstLastPara="1" vertOverflow="ellipsis" vert="horz" wrap="square" anchor="ctr" anchorCtr="1"/>
        <a:lstStyle/>
        <a:p>
          <a:pPr algn="l">
            <a:defRPr sz="2000" b="1"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Analysis!$B$43</c:f>
              <c:strCache>
                <c:ptCount val="1"/>
                <c:pt idx="0">
                  <c:v>Total</c:v>
                </c:pt>
              </c:strCache>
            </c:strRef>
          </c:tx>
          <c:spPr>
            <a:solidFill>
              <a:srgbClr val="002060"/>
            </a:solidFill>
            <a:ln>
              <a:noFill/>
            </a:ln>
            <a:effectLst/>
            <a:sp3d/>
          </c:spPr>
          <c:invertIfNegative val="0"/>
          <c:cat>
            <c:strRef>
              <c:f>Analysis!$A$44:$A$50</c:f>
              <c:strCache>
                <c:ptCount val="6"/>
                <c:pt idx="0">
                  <c:v>Alice</c:v>
                </c:pt>
                <c:pt idx="1">
                  <c:v>Bob</c:v>
                </c:pt>
                <c:pt idx="2">
                  <c:v>Carlos</c:v>
                </c:pt>
                <c:pt idx="3">
                  <c:v>Diana</c:v>
                </c:pt>
                <c:pt idx="4">
                  <c:v>Eva</c:v>
                </c:pt>
                <c:pt idx="5">
                  <c:v>Frank</c:v>
                </c:pt>
              </c:strCache>
            </c:strRef>
          </c:cat>
          <c:val>
            <c:numRef>
              <c:f>Analysis!$B$44:$B$50</c:f>
              <c:numCache>
                <c:formatCode>"$"#,##0</c:formatCode>
                <c:ptCount val="6"/>
                <c:pt idx="0">
                  <c:v>786165.8400000002</c:v>
                </c:pt>
                <c:pt idx="1">
                  <c:v>796780.52149999957</c:v>
                </c:pt>
                <c:pt idx="2">
                  <c:v>707166.7160000006</c:v>
                </c:pt>
                <c:pt idx="3">
                  <c:v>676568.2495000005</c:v>
                </c:pt>
                <c:pt idx="4">
                  <c:v>698669.57950000011</c:v>
                </c:pt>
                <c:pt idx="5">
                  <c:v>714641.52200000035</c:v>
                </c:pt>
              </c:numCache>
            </c:numRef>
          </c:val>
          <c:extLst>
            <c:ext xmlns:c16="http://schemas.microsoft.com/office/drawing/2014/chart" uri="{C3380CC4-5D6E-409C-BE32-E72D297353CC}">
              <c16:uniqueId val="{00000000-030A-47B2-9F38-E863BE3C050B}"/>
            </c:ext>
          </c:extLst>
        </c:ser>
        <c:dLbls>
          <c:showLegendKey val="0"/>
          <c:showVal val="0"/>
          <c:showCatName val="0"/>
          <c:showSerName val="0"/>
          <c:showPercent val="0"/>
          <c:showBubbleSize val="0"/>
        </c:dLbls>
        <c:gapWidth val="150"/>
        <c:shape val="box"/>
        <c:axId val="2097267743"/>
        <c:axId val="2111528399"/>
        <c:axId val="0"/>
      </c:bar3DChart>
      <c:catAx>
        <c:axId val="2097267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111528399"/>
        <c:crosses val="autoZero"/>
        <c:auto val="1"/>
        <c:lblAlgn val="ctr"/>
        <c:lblOffset val="100"/>
        <c:noMultiLvlLbl val="0"/>
      </c:catAx>
      <c:valAx>
        <c:axId val="2111528399"/>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crossAx val="2097267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(2).xlsx]Analysis!PivotTable8</c:name>
    <c:fmtId val="3"/>
  </c:pivotSource>
  <c:chart>
    <c:title>
      <c:tx>
        <c:rich>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r>
              <a:rPr lang="en-US" sz="1800" b="1">
                <a:solidFill>
                  <a:srgbClr val="002060"/>
                </a:solidFill>
              </a:rPr>
              <a:t>Revenue by country</a:t>
            </a:r>
          </a:p>
        </c:rich>
      </c:tx>
      <c:layout>
        <c:manualLayout>
          <c:xMode val="edge"/>
          <c:yMode val="edge"/>
          <c:x val="8.1265790557754763E-2"/>
          <c:y val="2.08693725308001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c:f>
              <c:strCache>
                <c:ptCount val="1"/>
                <c:pt idx="0">
                  <c:v>Total</c:v>
                </c:pt>
              </c:strCache>
            </c:strRef>
          </c:tx>
          <c:spPr>
            <a:solidFill>
              <a:srgbClr val="002060"/>
            </a:solidFill>
            <a:ln>
              <a:noFill/>
            </a:ln>
            <a:effectLst/>
          </c:spPr>
          <c:invertIfNegative val="0"/>
          <c:cat>
            <c:strRef>
              <c:f>Analysis!$A$2:$A$7</c:f>
              <c:strCache>
                <c:ptCount val="5"/>
                <c:pt idx="0">
                  <c:v>DRC</c:v>
                </c:pt>
                <c:pt idx="1">
                  <c:v>Egypt</c:v>
                </c:pt>
                <c:pt idx="2">
                  <c:v>Kenya</c:v>
                </c:pt>
                <c:pt idx="3">
                  <c:v>Nigeria</c:v>
                </c:pt>
                <c:pt idx="4">
                  <c:v>South Africa</c:v>
                </c:pt>
              </c:strCache>
            </c:strRef>
          </c:cat>
          <c:val>
            <c:numRef>
              <c:f>Analysis!$B$2:$B$7</c:f>
              <c:numCache>
                <c:formatCode>"$"#,##0.00</c:formatCode>
                <c:ptCount val="5"/>
                <c:pt idx="0">
                  <c:v>847153.68450000032</c:v>
                </c:pt>
                <c:pt idx="1">
                  <c:v>967957.98000000068</c:v>
                </c:pt>
                <c:pt idx="2">
                  <c:v>883633.71800000104</c:v>
                </c:pt>
                <c:pt idx="3">
                  <c:v>853478.85900000017</c:v>
                </c:pt>
                <c:pt idx="4">
                  <c:v>827768.18699999992</c:v>
                </c:pt>
              </c:numCache>
            </c:numRef>
          </c:val>
          <c:extLst>
            <c:ext xmlns:c16="http://schemas.microsoft.com/office/drawing/2014/chart" uri="{C3380CC4-5D6E-409C-BE32-E72D297353CC}">
              <c16:uniqueId val="{00000000-80E1-490F-BC91-163BB2D81B68}"/>
            </c:ext>
          </c:extLst>
        </c:ser>
        <c:dLbls>
          <c:showLegendKey val="0"/>
          <c:showVal val="0"/>
          <c:showCatName val="0"/>
          <c:showSerName val="0"/>
          <c:showPercent val="0"/>
          <c:showBubbleSize val="0"/>
        </c:dLbls>
        <c:gapWidth val="219"/>
        <c:overlap val="-27"/>
        <c:axId val="2088414511"/>
        <c:axId val="2111484719"/>
      </c:barChart>
      <c:catAx>
        <c:axId val="2088414511"/>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11484719"/>
        <c:crosses val="autoZero"/>
        <c:auto val="1"/>
        <c:lblAlgn val="ctr"/>
        <c:lblOffset val="100"/>
        <c:noMultiLvlLbl val="0"/>
      </c:catAx>
      <c:valAx>
        <c:axId val="2111484719"/>
        <c:scaling>
          <c:orientation val="minMax"/>
          <c:min val="0"/>
        </c:scaling>
        <c:delete val="0"/>
        <c:axPos val="l"/>
        <c:majorGridlines>
          <c:spPr>
            <a:ln w="9525" cap="flat" cmpd="sng" algn="ctr">
              <a:no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88414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[Product-Sales-Region (2).xlsx]Analysis!PivotTable7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002060"/>
                </a:solidFill>
              </a:rPr>
              <a:t>Payment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3"/>
        <c:spPr>
          <a:solidFill>
            <a:schemeClr val="tx2">
              <a:lumMod val="50000"/>
            </a:schemeClr>
          </a:solidFill>
          <a:ln w="19050">
            <a:solidFill>
              <a:schemeClr val="lt1"/>
            </a:solidFill>
          </a:ln>
          <a:effectLst/>
        </c:spPr>
      </c:pivotFmt>
      <c:pivotFmt>
        <c:idx val="54"/>
        <c:spPr>
          <a:solidFill>
            <a:schemeClr val="tx2">
              <a:lumMod val="75000"/>
            </a:schemeClr>
          </a:solidFill>
          <a:ln w="19050">
            <a:solidFill>
              <a:schemeClr val="lt1"/>
            </a:solidFill>
          </a:ln>
          <a:effectLst/>
        </c:spPr>
      </c:pivotFmt>
      <c:pivotFmt>
        <c:idx val="55"/>
        <c:spPr>
          <a:solidFill>
            <a:schemeClr val="tx2">
              <a:lumMod val="60000"/>
              <a:lumOff val="40000"/>
            </a:schemeClr>
          </a:solidFill>
          <a:ln w="19050">
            <a:solidFill>
              <a:schemeClr val="lt1"/>
            </a:solidFill>
          </a:ln>
          <a:effectLst/>
        </c:spPr>
      </c:pivotFmt>
      <c:pivotFmt>
        <c:idx val="56"/>
        <c:spPr>
          <a:solidFill>
            <a:schemeClr val="tx2">
              <a:lumMod val="40000"/>
              <a:lumOff val="60000"/>
            </a:schemeClr>
          </a:solidFill>
          <a:ln w="19050">
            <a:solidFill>
              <a:schemeClr val="lt1"/>
            </a:solidFill>
          </a:ln>
          <a:effectLst/>
        </c:spPr>
      </c:pivotFmt>
      <c:pivotFmt>
        <c:idx val="57"/>
        <c:spPr>
          <a:solidFill>
            <a:schemeClr val="tx2">
              <a:lumMod val="20000"/>
              <a:lumOff val="80000"/>
            </a:schemeClr>
          </a:solidFill>
          <a:ln w="19050">
            <a:solidFill>
              <a:schemeClr val="lt1"/>
            </a:solidFill>
          </a:ln>
          <a:effectLst/>
        </c:spPr>
      </c:pivotFmt>
      <c:pivotFmt>
        <c:idx val="58"/>
        <c:spPr>
          <a:solidFill>
            <a:schemeClr val="accent1"/>
          </a:solidFill>
          <a:ln w="19050">
            <a:solidFill>
              <a:schemeClr val="lt1"/>
            </a:solidFill>
          </a:ln>
          <a:effectLst/>
        </c:spPr>
      </c:pivotFmt>
    </c:pivotFmts>
    <c:plotArea>
      <c:layout/>
      <c:pieChart>
        <c:varyColors val="1"/>
        <c:ser>
          <c:idx val="0"/>
          <c:order val="0"/>
          <c:tx>
            <c:strRef>
              <c:f>Analysis!$B$14</c:f>
              <c:strCache>
                <c:ptCount val="1"/>
                <c:pt idx="0">
                  <c:v>Total</c:v>
                </c:pt>
              </c:strCache>
            </c:strRef>
          </c:tx>
          <c:explosion val="6"/>
          <c:dPt>
            <c:idx val="0"/>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1-F97A-496B-BF4B-822BBD7870A7}"/>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3-F97A-496B-BF4B-822BBD7870A7}"/>
              </c:ext>
            </c:extLst>
          </c:dPt>
          <c:dPt>
            <c:idx val="2"/>
            <c:bubble3D val="0"/>
            <c:spPr>
              <a:solidFill>
                <a:schemeClr val="tx2">
                  <a:lumMod val="20000"/>
                  <a:lumOff val="80000"/>
                </a:schemeClr>
              </a:solidFill>
              <a:ln w="19050">
                <a:solidFill>
                  <a:schemeClr val="lt1"/>
                </a:solidFill>
              </a:ln>
              <a:effectLst/>
            </c:spPr>
            <c:extLst>
              <c:ext xmlns:c16="http://schemas.microsoft.com/office/drawing/2014/chart" uri="{C3380CC4-5D6E-409C-BE32-E72D297353CC}">
                <c16:uniqueId val="{00000005-F97A-496B-BF4B-822BBD7870A7}"/>
              </c:ext>
            </c:extLst>
          </c:dPt>
          <c:dPt>
            <c:idx val="3"/>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7-F97A-496B-BF4B-822BBD7870A7}"/>
              </c:ext>
            </c:extLst>
          </c:dPt>
          <c:dPt>
            <c:idx val="4"/>
            <c:bubble3D val="0"/>
            <c:spPr>
              <a:solidFill>
                <a:schemeClr val="tx2">
                  <a:lumMod val="75000"/>
                </a:schemeClr>
              </a:solidFill>
              <a:ln w="19050">
                <a:solidFill>
                  <a:schemeClr val="lt1"/>
                </a:solidFill>
              </a:ln>
              <a:effectLst/>
            </c:spPr>
            <c:extLst>
              <c:ext xmlns:c16="http://schemas.microsoft.com/office/drawing/2014/chart" uri="{C3380CC4-5D6E-409C-BE32-E72D297353CC}">
                <c16:uniqueId val="{00000009-F97A-496B-BF4B-822BBD7870A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FBC-40CF-9592-54BD1053109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1"/>
            <c:showSerName val="0"/>
            <c:showPercent val="0"/>
            <c:showBubbleSize val="0"/>
            <c:showLeaderLines val="0"/>
            <c:extLst>
              <c:ext xmlns:c15="http://schemas.microsoft.com/office/drawing/2012/chart" uri="{CE6537A1-D6FC-4f65-9D91-7224C49458BB}"/>
            </c:extLst>
          </c:dLbls>
          <c:cat>
            <c:strRef>
              <c:f>Analysis!$A$15:$A$20</c:f>
              <c:strCache>
                <c:ptCount val="5"/>
                <c:pt idx="0">
                  <c:v>Cash</c:v>
                </c:pt>
                <c:pt idx="1">
                  <c:v>Credit Card</c:v>
                </c:pt>
                <c:pt idx="2">
                  <c:v>Debit Card</c:v>
                </c:pt>
                <c:pt idx="3">
                  <c:v>Gift Card</c:v>
                </c:pt>
                <c:pt idx="4">
                  <c:v>Online</c:v>
                </c:pt>
              </c:strCache>
            </c:strRef>
          </c:cat>
          <c:val>
            <c:numRef>
              <c:f>Analysis!$B$15:$B$20</c:f>
              <c:numCache>
                <c:formatCode>"$"#,##0.00</c:formatCode>
                <c:ptCount val="5"/>
                <c:pt idx="0">
                  <c:v>950387.84900000016</c:v>
                </c:pt>
                <c:pt idx="1">
                  <c:v>866483.3745000005</c:v>
                </c:pt>
                <c:pt idx="2">
                  <c:v>770420.66400000046</c:v>
                </c:pt>
                <c:pt idx="3">
                  <c:v>821585.39100000053</c:v>
                </c:pt>
                <c:pt idx="4">
                  <c:v>971115.15000000049</c:v>
                </c:pt>
              </c:numCache>
            </c:numRef>
          </c:val>
          <c:extLst>
            <c:ext xmlns:c16="http://schemas.microsoft.com/office/drawing/2014/chart" uri="{C3380CC4-5D6E-409C-BE32-E72D297353CC}">
              <c16:uniqueId val="{0000000A-F97A-496B-BF4B-822BBD7870A7}"/>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algn="ctr" rtl="0">
              <a:defRPr sz="1600">
                <a:solidFill>
                  <a:schemeClr val="bg1"/>
                </a:solidFill>
              </a:defRPr>
            </a:pPr>
            <a:r>
              <a:rPr lang="en-US" sz="1600" b="1" i="0" u="none" strike="noStrike" baseline="0">
                <a:solidFill>
                  <a:schemeClr val="bg1"/>
                </a:solidFill>
                <a:latin typeface="Calibri"/>
                <a:ea typeface="Calibri" panose="020F0502020204030204" pitchFamily="34" charset="0"/>
                <a:cs typeface="Calibri" panose="020F0502020204030204" pitchFamily="34" charset="0"/>
              </a:rPr>
              <a:t>Regional Revenue Distribution</a:t>
            </a:r>
            <a:endParaRPr lang="en-US" sz="1600" b="1" i="0" u="none" strike="noStrike" baseline="0">
              <a:solidFill>
                <a:schemeClr val="bg1"/>
              </a:solidFill>
              <a:latin typeface="Calibri"/>
            </a:endParaRPr>
          </a:p>
        </cx:rich>
      </cx:tx>
      <cx:extLst>
        <cx:ext uri="ext:featex">
          <cx:featureExtension feature="mp" drop="onModelChange">
            <cx:offset top="0.10322834551334381" left="-0.028152886778116226"/>
          </cx:featureExtension>
        </cx:ext>
      </cx:extLst>
    </cx:title>
    <cx:plotArea>
      <cx:plotAreaRegion>
        <cx:series layoutId="regionMap" uniqueId="{00000000-B53B-4F61-A855-53AEEAE87371}">
          <cx:tx>
            <cx:txData>
              <cx:f>_xlchart.v5.2</cx:f>
              <cx:v>Revenue</cx:v>
            </cx:txData>
          </cx:tx>
          <cx:dataId val="0"/>
          <cx:layoutPr>
            <cx:regionLabelLayout val="showAll"/>
            <cx:geography cultureLanguage="en-US" cultureRegion="US" attribution="Powered by Bing">
              <cx:geoCache provider="{E9337A44-BEBE-4D9F-B70C-5C5E7DAFC167}">
                <cx:binary>7HrZjt06ku2vGOf5yoeaKLLRVUBT2kMOTjud6fFFSKfTEiVRHMVBX9+RdYYqu0/XgNtA34e7Dez0
FkWJigjGWrFC//4Y/+1xeXowL6JYVvtvj/FPP43OqX/7+Wf7OD6JB/tS8EcjrfzmXj5K8bP89o0/
Pv381TwEvg4/Fyivfn4cH4x7ij/9+d/hasOTvJaPD47L9XZ7Muntk90WZ//O2B8OvXiU2+qepw9w
pT/91L1tf3rxtDru0n1ST3/66bvxn178/ONV/ssdXyywKLd9hblZ8ZKSvCrhH/3lQ356sch1+HW8
KF+Soihw2eS/jv9275sHAfO7JyEfDVzu8cXbJ7V9WeA/8tsLNz69aOEq8rez/2ilf1nnw9ev5sna
F7/+/Weu+N3z/jMTuJXtLzZs5fNDt91frPTz9z7687//cADs9sORv3Hjj0b+R0M/evGGD0+GP/w9
+/xrnqQvMUKorHEDf54/9XeObF4++6/JyW/D1W+3/sWR/8R6/thfv0/8wS2/H//R+jen/33r38nN
jS/+45vhj/+DLsgKAlbGZYGa4jvjF/VLRJq8KugPVv9n1/HHpv9+9g/2/37wRyd8/o//fSdcPa3p
f9D6+cuqyikm5fe2L8nLqsxLiqvmlwzWfB/4/3AVf2z7X6f9YPRfj/5o7avD/761D0NS7rdH/6N0
/K+lmwK/rFFRIvqrVSn9PuLpS9JUOXwAT34Bq1/yzD9cxh+b+9dpP5j716M/mvvw/0CG+b8Bxn/N
E/8fwn+nWf8FsP8BhP/38P47Z+oe3MPhL2TrbxD+74/+JYKB/P0w9e9xtl92yMXXP/1UYICI3ync
8yW+2z6fufjy8CU8/bapfp/y9GDdn34qy5cIMiCkOtiZiBSo/OlFeHoeAQgqyqZCtKY5biryTA9W
adwIHDCvgTtQTGlR0QI3dQN71j4j5DM/LF5WRZUjUqMahmHL/05u38glDXL93Ri//n6xbuKN5Kuz
f/qJlHAp9ct5z0sFdgJEskE0bwjFqCDP6UE9PrwFBg2n5/9Hk5Uk6gNiucT1dk5y6916N6jV2/5V
3PcpO42GT/mrqbf4qPNSXmGam/u4SspsrydWNjg/cj3JVvQ8yAsakbniaqu71am4tRzlb1NDPtS0
vmpsEU9W8XDSpGa06TfBCNFTKzKzX63j4M9B7WzYaP1YrZXsGmXvGxnIcdvie4RC05oejdktmQZp
2dbo6Jmq0vpYom25SBXKzwZvqq3Gfb2YYPlnBafcqYoM2yGUklwVMsOnoq9ytvayaNehlgwPKLAF
5WMnK/Wxyt2XrR6vSixuwaWI+Y0YtpC5Z3JT4kyq3l/BTd9sU36kab1tDLnR5TS1JR+3qyYNU9Ol
NK/6tI9Fz7+VEaWViWEcZmZln58qGdGFRLt1lwbN+Jpvef2gfbBsikS2EVV3q86zi5DmcHL1ULRD
IPSwinU5jgs682bKBdvqrTmaPK1HExrbhdJ7lhWcH+PuHwVx4VYVSb3WadgYEhO9wVXAHZn37YDI
OrLZ9u+21aUWKzUp5mSNWSbHvl1G+2anTl24rIwXORrt61xzy6L18irLatxucdZtXrrhYsrc1ul1
yO896VfJlF/down5fgzc5h934aurhMfy82JodhKTEecR7HdB3CbAgdyhA+ZFOTLlVtW5qseM9lXR
oaa+3lxQbJzFHlnozXHOR64ZCiGdFUVqZG5SlWlnilxbK7/fBy5MS5y0l2lq6ltBxuzcKMO7WG71
QY1qviLJIoZcXZ2GZQMb4iLatrZL8yhJlB/JJMR5Jkm0u4rFRRXL6X7yTTyKXWo2Yz+xQczychwK
c0V7nF+UVEim4alvCCeE8akaehaUo+IQ8zk7bmNeXQeJsis80dx2YrABsyXV+ak3i3xIIfhTqjN0
0ttuJCv2gM+lJsi35eQaFqip2oX2w3Vp3H5RjDpAXJP5StpUUzbynfWVH1mZ+fJx9NmXPNFTs6a+
Z5MN2Xu65GsnHY2nfpP0AdKHfpdVY3UHgbNDpDRzZ+s53la5rI/RSsTGxtnHYa+ySzQN/q2Z96yt
Df+wiqo51Wu9MYmIbdEYFxZ2P14HncfW9qI8qmzPD5SW5lgPKDvEWuaOIWRHweZybL7poPWJ0rW6
aqZ0O4hhYMW68tu1jicfs9dmG+nJCHm2WS1uosGXyglzTSt0dkGvd81eqBOEwU1T47uJrg+yMJZx
bc4Bu6kzq3o2mP+cCpq92uXwtvLVl70earZNlTmNOi2ypeV8l2e0kazk+Q0x+ccmVvg9pfl0LFe0
nQtTnX0jHua+QMdilflNXJaynbL9sTSZ/xL88nru6b2U8qRSLjqCq470w+tx398Jak+9nW/Flh5C
MXxMvnnXC9PZNRNH4taaNdIcLLYHKBxPNTbfqqoeriSqP+aLf2yKfmCrDv0hLsOXvtCvCdrHz7xu
MJP70rC9iONTj9VbOjY3Vgp9tcTsg+T5cbdItusydhbzKxH5BR6zj5kPzZuiytKBc/3BD6TFvGKq
tGMr1fhmbPRlqZrsuK7oMttWdayK/BqT+uStt8yV6pjxYTroVEK6aJpWW1XdYVfY0zIlSI1NvvP7
qOv6m6r0csya4a6seskCTldkAfuNoV+ZWunN4KqMpTWubbPXO0tNqA9VHjFbSxoP+0YORHytylkd
S81NCznjFUmbZH1Gl8uEZXEpquKGDmPDVEZ65hXdz2apr5ss7szty+NE4xPfs1OdFYnhanxFJ33J
p2llscoUa+rxcXDT5a6He+LXM0amZGMVD5z0r0qpTTcGwBRnmqe+x44tK74dQ7gXC72KsDNY44vi
45bBftr49Fr4xp7jmBdtMxa3oSgPiIY3S47pt3kYc1bPDh9HR2cmTXYzcUDPCc9D28AFjrsWscWl
PDWcIjbsLj+4alesqrln2q+oK/bmaoret2bc3yHRKGYmtQHargJAy9m7UZutTeX+ebO5P/QTWZ7I
Ype3NAOnlQbmtoVcI7OTc6e8EPqRGBoZN7Fi/TKbr7v1eyfhSU+0yPRJNhlpusGHcboKjXb0dmsw
BPi+O9SOlaPhWDS0v5FpjyPrPa/zVi9h+bI5z++Uhu/OoHXZWjJuPpy3JKejbvDtNvbykG1UscGN
dbtRXbNxR+tlsdi+pVb7g/BTy6tivhaON6za+6ybacVbXOv1CM6ubyaiT0UGGy5b9d7mhZ6POJnm
kLsYHzQSmHeTK9EBGZMgR1utVoaTKuKldbTJOs+tj/cCAwxecjnM+lAI7PqJ4bhl6k2ceMH8vB+E
0qoNIRfHaS23A+/5efAz45t8qLfxoM3QFVR2gCxto+ZPSFvORo+GNs3Vhzht7gIM8wbZum301lGJ
tnas9SHw+dBvw01fzR1dJgN5GxCgVdGjtuL5FVrSF+XTNa6p6/qIbtWUZDsq/CbPeWglAmR1/RDa
3Wt4Rs2Z7GfxjaCUt43kM8P5GjtwIZohJ9PYbSnETi/Lw4RTxbYek7aSCwMydJii4Wxbi3uzPu9N
XGaQVeRyrEP2Jck4vcbSmpOg5UcpBWROS4e2qNehzcogWJL4Hdfp1bj07kx1KZlshqFdMkNZj4Q6
9AtEaTUPlIU57V1fJ38xE16eBUe+aVHdp26uhvBqzobxKidhPi/UzCefEoza9VNJaL+3TcAZYr3k
/KCC669lRfqbyixLR+pseh+02K+8p+7ON/XnZtT6qFeSXSfvvmkxH7WGpSAIyUwEfwE0DH+ebN4c
6FQ5y3YT7EmO9JgbebLNDmFEugrHD3Pq9XEJ83Awgx5bntwVzfDHuhL2gIY03QsBG95I1EMISMJq
XAEI1pp/2XTPL5PQaW5xY1WrZ+Mf9GQ61xQYyI2bDwBsak0HPBbrQpjnhaKsbsCpmdsFGEDKDZ/n
AfxxmLIsE4cixHkGOBhSpm9zDWxasHIRgDZVpXZzJV0scVemPBrPeNJLameXuN5ZOctIjiGOIh2L
Yfs4JJ62QzZmpenESDLximTr7JlHZT5cNDyhWzTlGWpFha05CrTz5U02pDL/bEsUL3RNS7t0hich
34+TnVBbOjGPN7lCiGNIsKl5UusQYt6WY9mrS7o0wZ30bMNX6YbGZx0ulolWDNE1fkAGD99iPpT7
wCI3mVhgF02aLUOx8Mty6y3tzFZYdWl7DJQwaxC+WhEa9RflyBa6mNVlft75Pk6tltnO3ykgt5cK
b7GdM8hnLJZ65Od+Km27I1tdmn5JbFti3K6s8X19WJMN/WcMN7jiiEQysCV4b25CJWZ7ZeZxvLdc
2a6CavRgq7BuVyl5Hi83vuQsmZKYczFmtbwYBBXwxFvFAfblmo1sh1s8kCbN2rcibXpgWOM5XOe7
mixwZNEXNzVOHiqTIjP+okS9uKdzXX+hkxgQoF9OVKd2PG2HMul5ZMue7LqxrdodXKza9+LN5Kdh
vPB+gigLURHArnG1n9eU4bqTmPCsnaLKq3PauCo+hsFmzeVqMIZ8tBZ868qcVrNlwU5GnYdoYvZ2
Hs0eWhE1sW9XjjX9kDcWEnbZJI6OaKGZO8EeQ44zvIVtaTWXbmETQJtjqhh41q3e6Oy0SrmuQAHc
gF81ueDlZcyLcTkMOXdLV2QzBhYMmcN8Lb0LgD5jFhoAplhfz2W/A+71dHhfuTV/cATSL5Nrb94R
viTRATSIcO5N/xa5HOFuTw2Pr0K92zOPcs+/ktITe0IxIT+0Ls+hZGE6belq95O8yRyA4Am2GA6X
0vUNQ5Fk06kaDfHvM+uQ6qYpxvUN0kEB2IoE5XE5caAETtmmrTIbWLJ5fdh8/1EKgt9yNIsLvoi6
dc+YYywXUM163hof5w6vEz1MU4pnWz6Xd0WxXZC9RG8ajeY3BTK+XQIFvxrVi4Y5VOhPNPT5Gxqr
6lM/ju+gboL4zDekWTau/dgWsPnaLafiY/B4ep1zv40tctkCFMs435Ec946NKaIHuuAqdYigklnV
OHrWwMU/QMXnss7o2NhLtUCXohv3tF3puGI2FFYfaR9d0WKd97Kde+PopadkXTqF/XyP4/Dg5gK/
4pKao+5z2m6kutkLvx0WcMA6bK+KqQlsGqdbO1TtSCY1XYpmiwvUsvny2gzTt6Qn2zWDnOkxqXFo
Q4nzg9ZVZN4Xk2SgZmwPWVVt0IADieZX9eg7GeRRqmT4MP7a5vv9559f/dY7/Mu0vx5/bhT+9ddr
9bTeOfP05F49qB/PfL7f76f+Vdl61oh+X8wPmtMvLcf/RpD6u4P/nFpV/V2x6p/VQJ+Voecr/aph
5S9LBEIRLYu8IBRh0PN/0bDy4iV0IUFwrkHjqQnoPr9rWPXLEhSlmuIaKpMc2lx/I2Hl5cuqpgha
AITkObTIin9FwsqLZ2n7bzQskhcYJDa4+/OnqKHv+72G5cnqsyzSETAwhr6jQ5oFsxtPSn6TyG4j
s0ktK5OlWDRLNOR9h0xRfFI4szPLcYBCFGj+5FiNyrnveoMhsTq6WgapfTFdL/adn0BBa95UA9cP
eNuGu3HOMnQoZw6AHfq47Wwyy8gZKFR5yXyp0EVdz1PTcoI1SDv5KHG7Q/FcdgMO/LoaJqeZp5sf
2JZi8SGrVihJjFyWdxa2xXCQJVJVi/sBZI7Sxz07pmw348UWvHNsG0WxtwPe8eM49vETGN2RKznj
OWMgzy1fe9PM7gi8Yny1oYkPzM14GRndG3MpywnqDZPwvrSGBJme8RB5Fozu3/GSr491Ve/b2deE
TyzBPs8Zsm65tzL0GcsqvpE22Gz9DJCUcBdtXpyQK9zOYlIgSUXXGEZrF+6yOarEHPBwzdYm6A+6
pEaByDtpkB0tquHbletwcH0eUgv1QUonKXa0tIWLamM60PARIKuZgVhCYcMI0JPPpJIi73xh4D7N
4qtvCc37a1GA8MYUMMy3ccn26uw4Vd+gtgE2KWbugcuoPVvPWY/4DuqdHlbgBxtxrKpAlmOTM3Vx
5DZbwCLFtN2huCLFELDRezXN9Wfe+EWxaXbkfe1H60+FnMr3srf2ca4I1I2oiehqN8v0VJrBv/dl
TAQio98tg6xc3I6yqr42m9c543xAG4u0mkZmap+7blNlmg67l2ZixbYRzHKf51CIul5bw0ATzfoL
EUit5nbmgbtXswXhklViaGgnpEbk4HuCjlggVZ68qLPP2sV0gybc7P0pV+sIpa9RQ2LA4KdLUw4U
M+5RQu4VGTIuYefsw8qqZQNonIrBG+abwM3C+jVacttbUF1H8MRq0DXUsW6d26hF3d8YV+j+4FEF
34TqxN+vhpryuPh6Dhe44HOFmOppqkGhqeA5aWVyfpAzBOPVPlHqr9HI+/2iN1A5HVWhsw1WrLf5
QJdVgvqg50JeKpJ5204el6R1cwbSJ4aCFr3K1lQXH8u1qoa7vVx53fZ4q+rWGrKHbutBOX3nlwXv
rV+Lsf+8FJSL95vGRbhBY8Lqapuzqf64Sk6XqxXI914wtWlFv+wDwNfbpVn9eIwUMtBbJIqo2zGo
XgPRiCHcKLU1oAvPa6G7OG8NBYPRLINMsJFQHoIFGnFX6dJDWE/TtLN16s3rCZwIt8mbbeKsd2X9
acnCPhw2oUEtXC3HX0Ql1Nihcl/xp2HhYwF0KyzvQ1ZgqB2oiZwNWW3a3YhErhMGdjI1rgYyH5bc
XeSrdU+VnwV5FZoZhOhBlFXVzkaC4kYzRHIo3FTljqYfy+0hjdV+10+8cS3k3QnE04Uq/irXouoP
2Gth36IVuGy7SFLdNkGS+TjS3t9i4DUL+H2EpFQXZZjgcepwzXscwreh2N2x6D3sZr5Ma2C8BJcy
6oLcWA+KzR28vDKJu3ri/C2fTQE0ft2Hc0ggVRugUYPPQfCt9/6Iiry+nW2yjzsn28dqHtUjCOJo
O4Y6hi/zQBCamAtGgKY98TF+0kVpHRuiFdO5nHFhu2eNMrANc1jJ4JYmO5jAF3tLV24UFMdxRmwB
bbxvoZ4CY2UbCvo49LkTsAd1eg0xYKsT36oBdHRdiVdjQRNUm3jcG+gpFM3a0W2Rrx2p6TyXUHjT
9K1QI9R500ZIbPnQR9J6sojlaCUn6uQ9Wi5nNemVgT2r/mZe3fwOqqbVHCIuIOnSHuE3y4xBulyX
WPJWg9iD2mHk/KPTvvy0NKmAMZyrTxWecH0IaVUDk3ix+q1Go7qud+yWNs8FjuDAYq3aPe0j7RbY
zu9zTbd0yP1oMrYVPHxaoZNxlzlsbDeWU55e5WqYb7gS/TdpQZNkKxn2ezk4Cw2dHALvjEsvDOvJ
OCBW55u474dm3Toet2iYAcyhoPzlEUh07lUA7c/LU6k36lgzPS91BgmLt+PkeDqCLtpAcKwUQqmu
i2Jtx14t/jD35bIcvCDpdhRL+qQtJOrDOE/10lEnSwiuKkPDJSn7ETMjrNLtUMbatuO4Ne9iOUKD
qEiN56Cal25sIXLLs8wsBXiOkM9YX25BHMYpOfjOJLoWCoEWX4HkTFsonSxuXbEbqNah7tIdV8iv
ndhDlreVt1h10SzNKdbwEkoHTQpyX8gZ/LeFRN8uFXI9WyY+fVkAmdc27BOkM9Hv8o0t8r5v05SX
77zaS8LmsNjXEBPo86RrazuieNqZBWt8AUZTZ8fQuPhpWYP4Am8aNSMgchHAxKUGuW1by+x+tNX4
cZ81/boUc1ifKcCMW1EOsIhaJ+nahgoEsDmSiwkbWM+8VLq+BpEJXLjlG6gEUHwLoA0k7BD3UYCm
WNBiPQgOhdUdgT0TOrTm486yQRnQn6O24rpZ1kG0RuTZ0zxYLI/Khak6Di5TF/tAQsFklQ+4JSGn
Hz2d5GtoKtWiJbPlkN2pNK+LYZlJOwFc80MB4tqbvum1O0VVSt5GB+SKTf2w0kMBpRdq5wFyk3Gy
14dylBso1lkudLeBnMoPlSrh9J7vxLer3CbQ9LQCnjLHOPbHYR6X60AJUWc7b0DQAgZDn/Zh79eb
nWfpkzel8Kfa+/1baZoSgsFyEg81SPXi2kaC43Ps7dfYlOprHXn2AdoHw/2QBoUZ9OLoF7XKuWKQ
I9OTQND57HYIzE99zKg4hj0rr02/Wc9cqkzF4CA/+2j3h9Js0CotlqxyUBOXGcQoQaBp24TU+y1v
wD+psM3N4jcFzVYQqnkblgBtmtGY6aqM2hUHzXV/iWqvS5Awvbtdgc5+DYNQOdu5FXfWLPoz9XH6
OrhI5w6UOuFZ9CX/rMMQFia4Wd9t45qeoOBSb6bAe9eSHdF709D5UofwXKmtPfgvD+YRUNncSoWj
ab3MGw/8R03vec3zb4VJ+x2Vej+HTEhYsc6Kzx5l4u2ztG6gD71UiaUR3mysrJPAy+xAv+jFDx9S
s9QPzTZQ8P5m1y+ggZml3eZEr12JgV/1Yz/OLbBL8klApLyKzZZXrRynZWJTGZwA5XzZDYuoWDbg
wYpchyYJ6EYMU9Qg12ZBtM9i+xesdYAmxKyaEjoCm7ofshjOYoxxBj0ukjemqoqNhcJsGgTrnd6l
dal529g9XeSQ8gc2kTl8gJyGMoCexSTIy40EFXUvGyBMJfRSD1O11OagnqOlmD0ZmcZ8mQ+NMJgz
S0wdjgbeInpShTWfq2yya4uD7KdDGLUElbVw2Yc+ivCIJUb3E2QM1cI7tBlnHEj+uzTNxjG7T5s8
Uof38773JZCFRYKkW4Ic1Le9izgd6tr5hs1q5Ir1PTLyrOq9oqwICbRdnpt5PazZDNqBm0wJhFlP
0LGF3iEHnWaaMeR6aJxPbZ8qIhjw4+y+t70LbZ5V6hKm9O81n0CcKIBnZR1Z1yRZPpOhPAxOp+pV
XPpVnA3dcc10tgSgl9jjDzivbM7K2ivOiAfG3nonVMFmsgK4ezHJpxg9poc+AN/tCmIqoKyJArJk
uJweHESJgG5XBPBRzqPPMQtQAfpRWQzZQdiakb5xpFUIbnrgIZYfwc/qTT7z+pMhWTm022bCTQZN
qI+9K7aCNdAZJ9CtIeP7UQyaHJs9G/crqC2l6KACq/Z2nfvwtKOpr2BJOZpaZbUbjrBdtnMvKfSi
+2IJie1rraDjO6DCAjYiBX2FWEEBqUA0X1ux5GRli17weKxiEKnzPbx/AclXWAgjtxTqTJAw0Mmr
QZBjeF6bjFXQNKdHWy+gphZ8iOCaccjGbqlzoU42RZOzHOTu4zRVKYKA7SJUHUOCPhWpMl2wpdg3
c5PVzurTQq141cTJF8dpILlsdcyguSdqSGWd21IT2eJjzo/bWgHfbHy+2MOM+3VgasEc3y3ltBRd
mQ1QkjZh58NZliD1tRHaTooFCQ31k9jnnrMoZa46Xwq8XjiykLUd1hlKhMknAHS01wtw8b2nW1cD
spSsLuN/snNmS5LiWpd+IpUJIQlxy+BTRHjMkcMNlpFRySiQGCTg6Xt59enT52+zbrO+/2+yKqsy
PAEX0t5rfWv3/RHFzPRGZDu0l0JS1UEeNxAieRsYmXXGYJd1pRDXeNehyqBPk5dVo7Q9TuMCgWmT
Sxs/wKna1jQoFW6t9XH81YzEuNRGt344oMwUB4Nuo4OTI6ft0haAIU4dn9277dqFHI00sUuGeGLs
wioal+80tuAaTN16Cxeq61DAVgKuz9YF9ZThfaliSMSbslm0jrxN4xLHUDLZOh6OtsPSOozS1QQP
VzUoO8MO65eHVRVkUxd0cLOCwBaZEwXUgXFxLkhd1S3qqIOpKy4V3F10PbprzamzUVOdWVSV0anE
wTxcC9+NzWlXpdEPDMROfcL5X5d4v2dZwbxn23w2FEg6LP0NrvNsb/8XNltfHVRQ42tmAiLpE8ps
0BlMxpZ9FWFkzMFI2utrWfK9TykpO3tdqxAnZdDpvTk2wuvqZJysghwX2A6HdizHMN+FRqM/L2Ie
83aaCpOVaBD/NNTvwTG6He/ZPJA4vFS4tJvROwj1uKBX764kquc9W3drNI5N6IDnWGx8yUq7rXVO
9o3VB+5d36eOYfU/T47ROmu7thAHo5ooyEhMi+HIaVFEcOt6FINJzeyoDi5cJn/26xD5x81AR752
87DoO7hxa/ccD6BK3orIdiad68L5H06UWI9JHex79OJ2NJv3cdgJnmy+ndaD27DFb8aNzQWuWNOl
nhkhDmFcF8XbYlwdKNTS4ImSfbH9drBocUe06VBOYCuXNk7WBvcPL6Hal/t2tsGcahvuQ96tHKY+
enjTZBaWZnViDTdBzqBVN0nc7ZXNpqoOwBvIPm4+WzOQ7yrS2l7MMO0qg+Y3rNmGRww+ARTZfD+G
0zbjRK03cpy3Mtzy3S7eHGWo0WUqvjdQo0C8BCkLorhEtV1Tmnsf4stgO2uqfJrBeEE7XqU5161e
pjMO+AUrTYyjfLEhr5qXJeoDi719N/oYtaENYEDWcG9cUPcsC3YH1XgI8SiP4APCe6LWZcsQo5BD
amRZb4lj4fjSyK755QFxkcRMBubztowofcdpJxq0FjSHTJpuuirZR090LTUcTNctP9UcjMcdQJM6
MrxRMl9H0DdZjyse8qEXKAmrAWvd93x7rQNaqKTYm5VnG+uAm8hdmTdJh3iFBBDMNIH8CGsPngJK
zbGNepXWQ6CGnNd79wR5AOK+6FZ5hvQ2+BTWuIRlPDX6h1rXoUgI5P9rvQ+w6wga3e/1qOKP2PWb
SXaJVZsC3ol+BjVvPzdwOySxjRrQZ5FN4IhwtbsEPKjHpGV4ztgtoSHiONfoZddq6coExulmMqbj
+GdH5qBN9kCiWglQbOEoaeRkkzEapi+8/GTM4mi028W5Kdi+jTX6g/MWl+vHsmg4GkaOIJJQwa8o
RVvnlwFqWNkuzQNepn7s8XzX2V87s9RLd6yHcUIhNVB0zmG6gPCTmSS67taEGIm+DVgS7MvTjFXi
r1C3mvJNFzcs6WkM5BBeJxLEjpTZojnQkBZG23ygchHQaokoJ/NK23jvEgFBSeaiaFr/e1E7A3ek
uBhKQB0jJSjci9qijeyXlfZvAXxtm6twlUDXZMvrrFTQi8xh2EZabMnEF5BCyVQxw8mBywJSZ+Vg
5xzcWJMFJwA8lVMXhUWXOTtIc0Ev6PYcZhqDShEuUMWPvA+EGo9guPbgl+sAWb50JdXqxKtCcHzZ
soxe+pZu69+T4wUq1LFb0FXe+ToSwxHCAEULo20pcPKgQa6wXbTGq+V3FVfOP1AzorMbw4i6AExR
QHkFnU6XLEy8Z6xtksXqzX4WzbgVP2cm2+WtLfQM8bKmBbqEZIFHuKMHH6a52ZKojwX/joK6mt5E
uasm3RlT1Reria9Egs17la+RiVF8A3mrTZeACQE1UdfcNY8llsbwggOpEDbRQFVMhmNyzvne2UsT
ltv7WAVrc3QqHOYmUUt0peNN4G0iBvWS8P2E1t/KzDKyiBRfnD4Xwy7tZSEAY7O5Wt2ewNDu/qbw
6P82IJ4+5qCB0lN7S/s8tBzlYW1lBX4DzaI5lnPbVFkc9Ds587bu+2wkc3QfmXkMLp2JV1BKRhVT
6gNeC/jFvVqPCkwYT8rSoE4O0IdjFyNme52IqjWMUuvnS7gv3ZgoPG/UsLaFoWdtf6PA4rhlaMuC
iaUmhpoEeYja73Fgqi/SdCKGltSSV1MN8QAzwGiWb1CY9jRu8WKf+3WonhzDJ6WFJ/MDZKLSJ956
gl8HWNAQNFfx1LOBlQnkf/iBYxkWa9JWvvsaVL9+THvsSVZ3ygAvINW6YF+ZgNOOESDUACoobgE+
a4svSKwQAcA+sgzuRQnneFDutw1nXiZQywyKwQK+ad5sfvw+9KHBDXeOvTR+Xl0WzFvwG21aeaij
rn1p+7XyqQcTk+yztO9qaBqdLruIXDYDFUPvwG7eSuB8ozJqVHnw01wA+fQK3fgaBnYFb7lHP4fV
C4BaJRv/dtEi58xS1z5vEZ3LXO0Rlpmjuzm1WP8vRR+pKd8gsb9wNChDhiav+ntGifgCOQRPx82j
f53jDTgKNrWixSOZxBNwNtPj4lYAkqTBm5yiemjqgxnVAmqsr6s26cjgv2lBJXoMw/eHOKqtTsZ1
R4FJTIFKFD4yukZfQfrLNI6/Nq/bDnJHC5/2F6ljv2LLM/rPUHbz3y4s66yASJRtFhvFPSkEju96
1AV6dAjROMrqrSeJ1qr9wVENb5kdSqj9nmz+rYD1Up3jjpQeNlS9qowFtvFwoSP/sIJOARnU8OZv
9FG1wNMd1L1uG0/yvqAia5ySAFZ6Q9Yzq7myYEm7+o/oqazTZu5h1wgjoK/wsEGd3PiA7lljaIQ9
pWt5k9VcWp4TqCRBPmL3qy7jUg4okWcISHBuOzSYtGVoXbE30mS3JHgry87RZGhqOh9iraYiibEt
ATskJSp9eGF9e1NoYAdJNaLlNCOB8IGmV74WPqQfai7iHchtWD2HI7VYRc3eNEkHpemrxeYOOcSr
2UDHgbueQMbg9DIaY3/Hq13fQUINPHFFMF3NoplNgbGR524v6xq6+LAtwMOAC6ZLx4q3kQfFAsE2
DLYUcCeaeRvDBLmiJFTPZh0Wnq1Dh58s5im2SQndNzrtUkuaLZ2tvsd2LUmqXShPe8G9OSgFZTiF
g28h5chNt+nsmkWf0fuxV3Ru0aUoUSIDKGnEmtHCwPAfV/hyCXNNsKeN7HeZhhYE349pH+Y/jXW6
Bb/dua+IgxN6kTOQtozRmwAMGQZGkFLD8jKbPQZkHPXhdY7FGiWWz813qTv67NF/zUdu+FjfT7i+
e6uaGKTsUuwfHLaTSXHUhRR6T2/+cDPsS0o9Q5UxETquYD+C6sXpafglQ2HbbAP19mHjoVwTarrh
93+b8/P2Ty6E/j/d+Rf/q//6d/7u3z/wLxOe/oXzg/I4EupmdIf/O0ii/sIrHColEQoJY3Uz7v8d
JPmLcvwH5OyQuAsF/u0/giR/4U9HIlZMSkkDAVv/f3EJ/4WgQHDmX7//zyAJEi3/xYQXUkWSC+RH
4L8jeh2z/8OEHxw2Mli8r3NbCTDZMRA3Whbx2Ro/fjA2Y8nHsrtWUg2QHzeYUYFYP2k/i9Q1RZhF
8Eaycgkn2Ihu/cHWwr9ujLI3MQBoXWCfnUXXNR/7FryRoNzfA19CSKim8hnI4X7HZypyqEuwh0NX
bgdp8fsePu05XHgEbWLu7pHPUBc9F9id5q4Oy0NDxoVmhokit9XsvrcKahSglcpEWd2DLBQ6WNFQ
8p3JtJPh9MhGZEggxo8SStmkL6CgYPSNVsIfWI3Z1UEjvN2lQKVaNO1wyLMNG8qJcopTFSTFsCVi
5uZZhz0gg5kuy8ckA1QXlm/8Wfs2OuJSpgddwLq0SIs8cQMycuaBz4ZNmLOEXCgSmEPBmFgK869v
ymw2wWUCe3aEwHflsqJ3DQ8yeMDrk4++x+HyNN9s/Ias2H/tHxv+FACunkvvL25Sn2O73Yf9lBf6
bh/qi3fzewRFXbTLmHvsJZSOr7QqvkgRu4sd/XczFPqMxpU9jhxoaQRCDW1jlLFGfmJrUvfTbC94
VI8KUYM1tibnbjkgvLDlW1GVn83NrKmM+i0YuslKROsvqucvKac2NToOfsCu+VHb+OwZuegRwZmq
LLoXH2zNUdh1+MIB9ip70PN78I5A/Wsh6GlzQd6O42EqVJv2BP9m2cRBa4fcJbzGR+/FMB5gyJjT
BgQvHwl/kUa/waWw9w3zv0S4bWhoi5N1aDbNsmQe+QfY6Dxkd+HNNViH+m1q/OaTkIkS9rynDPLj
SP8MHt8XgwIno6ZNUX7BqJVd2Ce2HY6C6AyM1hklFuBVXmyXNUL7VCFX5L7fTOnli9TL61gCwe5/
WAE9BAfHxJMJLX8ybGqCiG8qla6Ew2IpqjHCyS1G9KWChAGUh2JbLn1MIEqDfNTuHkXC9IvQqH+a
XCnR7SzlWVQMvd9ogq1N5rWHTNz0WV1N+oOUFnqhM1AL9ZzYcrmimsDvovgpaiA/+G06eT59Y4zn
cEJeQr8hysJeGzQQ4E55NjPzvMCdPogVCRuYntPdEq5h2vH6B92ag2RwJNRQaaAU8WXqcD/wK+77
qYIotNT34QJmR837lmqu7mHSqmRy8Fx5jwzBJKarbkd62UMYQi0rhyzE408GB6pjjXb8wndYMpDr
j5pNjzZAJ5astrjv6cpvUtg9GNs50f2o04lol0cEulKlUfI1Q/mqq1qdeyA4b0SL8pmKuEhNi0cZ
SrUd4sjfqBkMcOjq8huckDPp/qCWD946tdtcW0k+esmnM/zTU2XsN9NzdgCni+0JkGqro2yRajn6
Fc+DNsg9TI2B0CFHVHSTgp9HKgSOZooufFILDJ6Qn/haqEPQ++AYTjz6DOCjIkvkobebnf3Y1vil
bPtTQWiPAq45Vf36iWTS81B5nkgwkVWTNdUwv05ui1OUIXCJKIpioYvmCNc6VVPzu8CjyyYNgAJt
G8JD7RmoadZV1Udppt98W9rPtp9OzcghD3gGymNJC5S7GV/hsjDxWPPlijb3hRAQz2izw5Tx5bQq
+h3N3Wmj8XCqW+SFGL4DCGdZ6yCx9mN36vsb0x915gm3M6aANuurFgDum6ApToQvPh9UeCkhP+Wy
8KeoRNkFafyDSmQWZqBbaD3Bi/KoKt5mgAKXSQfVQdcMSpkEw+JAy793Rfetsfw40yrMQvkjUnAn
fKB4fzKsDoscmy3/VuH8fApDE74bv2BXV+VnUDO8u7zCg9uAqVpo6cMeuSOvSwFd3vHf3tkMWw8s
GzYLcjYxRJZwrchdSB1dfnXtrO94sMyfwyr9mqxMiN89Iz3PIpSJYQYhNYT50FIL39hGxxoE53Wo
x1Y9MCjh70sb2XTlEJSOmoor2LTlql0/VomECfgEFX9O53EMMuzc8aEk23j2o2juIpSzKrEhsAQI
0t117H118L3UKYGXjBdzollDSujtLhZJICD/7q3Yjqvi0TdTljnX+sqB9qPKPyLrOKyuOwWs6U/h
DocxcdgC5VS6sxv8KezkHwIrDyYjpRlMLukSWKEL0qCcnGB6NoeBtsUhwr1MsdvvRkAtTxNZAa15
PALcg1vlxwx6BhdUm5d9AgtWTL/cjo4MsEj0TpatOKyRnjJYHHOGtsifGj4VeaGs/ChpO/wiYbe/
lSqq87Vw+iG0bfNBal+dAYKRIw/r8uKbobq0CIVdCYy4ZwLc4ke9yZIkFUoRnJ6bKs4t1wwH9ixf
5pH094gr9FAYhv6zCuT+Wq8hoEG5gsnhBT0orYqnWNEOcC8tzlDK9v+ugzEh55/QMaLO//dEdYrs
9fir+9cwkP7fY2z+M2Et8An/sy5m0V9cSkZjHgSSBfjnv+FU/hcPUP3GsNjCfzDTf9fFQfAXpRRp
Jc6kiHhEMYLiX/lq9hdjgBeAtHLB0Ksp+f9TFTMe4KP+g02NGC4gZBHQS8gFQgkJRPY/89XL1CBL
Nd6EUK1LtIReTCE5zQbFFgB07PMjRQYhNEdq4uUnR1Qhs17Oj0bFA9h7t4KUNg3ykyTqbwBS/AG9
8jO0w1hku3Fg31wtj5GEmaELDEaCrkDF31HYbBfUrhKbFD5xtfWakaX73FoWZNs0o+4YIzV8q1Yk
rhCb7s2ZLmb9KIWZ760I2xeO7eReolCAWDcY/HRDoAjasXkcEEt4B5S+fayuQWG6TF98C/CJk2DV
eRJNdILXGj54pH7hHeNnoXH2eVx0/QMGPWVT0c2PVa3bx1osXw0E0mvU6TVDrcTOkB4o9pXpS5cF
+Vb3en4cZh2lTRAN38gK2bASZX9cKuLOequj6wIk/09N6k+nSXW+/STx+ETahuKNLP7LjsV2h6xg
d18qXLL3+MtXpEf+WFJHp7puo5Pam8+oxAPco7B9hEy2h+k/t1H1kTyh6Bq+/XOVCl7OIzr76Oo3
8+UB8ETtPmXQCoOsnpYpG1YhTz3C9llJZvGHN3T4hlTIuKcV8/PjEmh6ErC+HlFfVGdIxSvSQfiE
NRJ/8K2uNglG3ATFcQpVxQbBEZVV+x5SPOZGV4A6Z+cPNQzMa3m78JnhejfkIHLo1e2j5xDUkwEr
7rpLhjshuHwRGXq3LNBoECrpWpGMtwA57MI17wP8ACTMyGcgpdiXxqFz8khfhIlExkrAzcKXZzfY
G+MQtcfbw20qBaVj1cAazVbApou6T9t3+BtD/wXd93OcCEuZFQMSDs0nHLXoFHPccg/sK0NhCpSS
wo+DeJVFppR/lNrGPwJQ9RlQT3Tqtio6IbPzFcIivnLRbteNjPwnG0AVVspdWzCFT/1GfeomcCn4
ox+0oE9BVwwuhRjPzpGqCYBqb7vX0c7IUlU+eiS1be+CuaiPkfMgxdUSqA/aBmOGbAN9FDgBcoN0
xr2O4WWVMh5cEod+OASRJBnBa3u1EORzNFTFnQQl/tD2sc4itow/6nb1qeRI3CJaXKVChC5DiBrS
FAHG/bVDbT31Ub8WmWBDcYoWFX6FdIBeP28DaIZxmYdcF6PIwmGfHubSmFQNav4bpWKHxjUukWhc
4z3lIxAKFDHTo8eCV0OEji5eA5NAKhPHiLfy2VIffjMATl8aHg1IsSEwnnThVv0qHV6EfZcjQjki
OJV08y9bGTVXrPrl21iRIO9XjrxSu0BxA0hcXtGXmku0e3pAgMfj3B+mMCkD5IcG5tmVbLZ4iWHn
Y2nN8dNC6zazQKRTSS17QF2yX0sD59oXLMx468AvwShMN2wbVTqObkjLOXanioKtBOZXqmMd7k0e
+UZeZ7mEj7SHBkCHooIfutAUgnIJ4V7DKoEbKB/80oafGn/tYVs7cV4wGW2J5PQSYKtEQMet4oJE
jsgB7V1lHSKZVBY0Dez0FvT4blH9gaxE8irMEVhDOYffHkKHVwKzPETGasbPBPIsXCuNLpnwjwGi
11O1BMG1kUP93tJivLCe8M8JqWiwiwwUBoG5H8C2mduLnpg0eQxv6RyY4H2C5PoNsTjxbTESLgLM
4X321VtU90Muyayw4IjN9kBvp3r3iLH6vpovvJ+KD8EI0ogI950KIFFPi6yW06jhpSSFRpjah+2c
+gbzDWCJkAcJwf8FMHycQl90Nh3pwkF6ePitE1LsB7PsNYw8hKm+gEj8DWRuSCqynsIqwOAKudev
y1THJwRjN5oqvPszjp8G5O2K7CSrRvltanp2DuZepx7i5WlcqyifFjpe8fxvIbWpi9NON4/VVvcH
ZZV9Lz1iiXINxKUaaPlUlisBzonY5Sj4+mMNo/qu2gtoQdMS51N7w0dXxAPWFkxxxSxg3RE5XDqw
MUrKqPy1Lwz3NKKfhGE/Z3Qn39u92MNkHREHTPkKJGSH4/EAcgSZXaQ9zsB6ZTbWQHjHvkfuwwcu
zgGwxzmivaeSG7zexex+O748jI1ak2HG/SoiELGH84ty2p2p3OITLIAV9NsghrtO6zAfl218aC3Q
liT4B7kxLgzuqjUe7zZWacQbRoYFFQj7UmFuxQlFCTJ2iKelW1z480iBOo2O6px45X+TrVSoAczb
5Pr6PA5Gv0/Iun8gUKPutrWkt1civALpgNVn+MYuc9AjoidLeUvleSKe63raTmIn4gw4p78vtmE/
hbBjcsZgWUqY4dlCiihne9BdQV6ViaqA+2hcSE7AeaaODnghMNrrPLroMu02vEhXxI8MgFO+WhTO
0OyrM867BiMpePNMyvKlW5btWgof3wHLaL8WHyC1VwgEDYb+rUDbBG+f+dSETP9dYmzJg9QIpCOa
g1Xc8OEwLkBgdTe9asRVY1DLRXTQN5QKOQodJ2rdGoCh4TSd4kKzO9VL8ozkd1MkWKnRTYkLIO07
+xibln41SkZ30w3TYnL9QbaJ39ENQQSMy1j6Qyxq/dwBS73fSmxqcoD8YQvEBEYBHzOkDC3yGMBc
Z6YuHufBPq+YLXMEwf1AJbfPdTRA2CkIVjtSDyeBzz9A43layApFxfXutfeTztqG+GNR6UdTiY8W
vNQToYXLoHAiHGBLl1bQ4TkOXL6H+gHv6paWFot4UvzioxFYsDH6EXb80xTiAKg1e6sg2Ui9f6KC
3RAVr6vDEIufcRFgmc4qzA38bry0cDQDmM6pibrXsI6CwzjGCBSJlV70Bv0QZRpJaTxPH4WvIoQV
5z4PfBgcYHlAUjSt+9zdOvyElQSruFD1+LiLYD0T6JKPU0/CNOIQIWoYwkdEgkBTxtX+B3GPy+ip
ew3EVDxaeMdX0SuXc8vKgwNKkmmLc056FR4bCz5C3IZ3sIGMuSNdmFc+3A7NJjFKxC/8d1irPu+q
aLP5BoAb+cvpXeJwe9DANYEqbpiRAwwTlEQ/EObx1jCRKi1ttm09fVerlr+Rju4OPQrfVEQT0BSQ
MtkG0va4bLM91ArDXcJhnQ/KKeTPF0B8rl0BGwnEWhe80pdQzA/V7sPULZ3MJ0nFBTMl9BHp+IeO
g5uz422Ggpt6YILYJxTw8Heko781I/P5jlkF+RxxcpZ6NkchVljm1aZzhVhm2nThCPdIFImEGgs8
CyNIYrhNOBxuRBqGsxCLLa4cxH5CsHg77FwD9tpmniIWgRcNUMIdqF7Yb9wvJwWwDyNJmvpIuKVf
W9XKYzPFG5JboHhwT0VW1tDKBev2pxVFQd9a+7uUGtRrPf6cYrjeHMGc5x31yhHcDb8fNo5q2Kmr
EdUjwdiGNIDbi9kyPX3daPAIaKxKelbadFg2dcTBMINzi5jLXUwmOHI7/9HhdPtdVFt87o3D6sLk
o+Dc914FB+AWBvt4S8KHGYg8THchFIhBt/i7GIjLOeJd+IQ31pyDnYsHZUbggMCf6u80mtp7QSsg
ba5AUmPbxPrmZmJ/1Uh4QdQfqlO8Y0tZpiBIg8E1D7rz+x1EoL2ACFrLzNSw2JLFBfZF8LF/1sjr
/AhCICOYUyCLow9vlC5OFRC7nPXbkysteVnwiuqkGsLiU4DrP6EmnD5EQcH8yhv+S+qJv2N0LPSx
WM6HohH2iHxl08Go7WZEzIxSTz429BQR2nmcRrN9dlXcR9Abi7VJph5K8X7DkDGCKvrCQbGfMRjE
sWyWZfUEIGg/zgNWXhVAVuysjz782vhcVJhgklAQ1w9l3OlzX8TNUx32wOOYmyhCJypsHqpWPAQE
IjLmFOyXStuqQrsDzjlqWJWtaJVeCJJooJrqA/JTKqkMZuE0psz0NLk7Bd04j6oZqp2MkZ5xdQF8
Wnxfp3pLkYB4h/+h0j5yXyP+U15q5I7LYcMmjXP6filanq8E3YnezZTbSP0Cp7bfqPTlVI6VQyqS
dveunH+1iw7wTS/ksDpU4yVBsV5g0X65GcgkgJOXaDdH1SIvg2v9wPiIMWW+vZSL9LlbdIxBJJbA
gEZ4fHXiYW2m+oFjvtJnC7Du2lUb/xPEJnhG+rO+jxmiTksfoSjbwDuuIdUnlD/PGKX0cwvAboa1
K8EpY4ACeGqfb76QlygQ5aW3M8nbEDOr6sXerzeomKIpzcaSY3wK2OCrGZf2hLxJ8IGk05jIaJOY
JgRcULD53rXbF/ZOIFl9pU464odhrFpQf/rQkfijGPVbu26vehb6MN/skabe3vqhR4IVQnvv/Puq
IwV9teE/jL+RyLqJnsKt6N8JFPCEReHHvrgfiLD2T4sAfIvhAkUKAHl/wNwvnObLV23EkLc6+Fw1
wLF1iV22qB7lFmappV433aEJ9/GdkkHfN7i384B692D35hUSwzmqllsw07ffu7qBmbfuj1AQwmyt
x09MDfjsb7VUTcK3ccUpGRdthiBKdWk0Zoitov1J2r5J50DA/Cd/gJmC6BweB7r+GPzgDnL1T1oM
iMtF03aPyTzkImdVHHYZZl0IZngvYItMPTCKJSDfAJlggyH7vV9Uk7SujbDdWEQNp5Y9hI1xud35
cGlvU11masSFtAqCBTfdUZXNFWVpkDSU98jYrUVOK7rlwA0RWcFgCrD1yz1o9OE3uFBYKO0CQLgR
wQ50VIFSiNf1jZSRulO7i3/ClZ0yp0SZu668WMrQ7cfhb4qT6+LhjjIBGbEbHhB6EY+x7d2xQS0M
dGj5s83RguFvoQW5AjQLIBQ7FAWwoXXp7xoZ/xy4e91HDug7Zg91Hd8BAfyDzMfvsJSH3rYXFgmw
y6gp6lnE95idcFcPODeh5FwRLjt2kIEIQpeNhZLPqcawskkNBwh4H31H7kjcvGP2hX+A9UheDIYL
YeTO8Ee2zWEZ2Zcg+7mM1f8g70y241aWLPtFyOVo3TENRMMI9qREUppgiaKEvgcczdfnBiPeyntV
Vfe9HNdIS2Qw0LjDYW52zrZ4m5ns5Ho3uxuGetxiq8Iy0cV6h3TotRH+a0J8i1OqudKlizOS15wa
EIxWqjvliF+6nJpPMhres+YlmTEhqDwZ3zI1oeD0MxhtE75fgbXKQB+r2RaSN26R7VAONIbqEDry
vkIFuEGnBqIiLYZt3ucosQCnBI1Kerb0y28mOM6kdK55B4hDWEwvdeQWj7bvDAfDL0+AEWoSAPlX
YUaHIjdSjE0Ostjmxej9mxpkyMkSwy/yc5hi6xm3ldOROO7sL5YRvha2sUDrEd+A5rBcjd2bCayl
cs1f2DZfG99/x0PxO6WmpVF6RPbAbtz/HeXmUdXE3VZOpSFClUeyP35ahv5HXDXj9Yg/B/yPPeyx
7h0jHHhvtWFgkjPN7L4Xtk2sKMIbWVTpjvqf3OZRnBFowmjJcs/aGC2lKN549QYF/3xwoIL52MlE
M4CacI2DrovT1NmHtnJOBSjIjWV4V020fJQY4AJOp9tkzXKdhs03buZzX8ZXVVHdlSqednGu94Od
81odjknUoiOLDTICGWWdVW28x6nr3ZeDEeTs0zYoip59ywNe0ei9SMAyLUKgtEz8IJL1U0ZsHnl2
QM4Ta3AuH/o8PFR+cVLaO7YUcjx2FRsf9eHG99rTRAkox7duzDHW/CH64aU4mqSwifrGA8mm8Kvs
xzxwEFeHo4UXRcv6ijj+0ViMW54HPPztk7ek91bSdrtlcSl2pMd+ahHlKqpFUfekqc0lYXXtCgJp
H4pTlS5f6wXD9ByDN4kyshmY6h4L3lubJJtfILKdRB7eOyA4wsgWhxyBGqo+/wjwMQygl1x5Xh19
sUu/D4Q3fPPC7pr9MEYUmHqBV5mUQFnKDpMFO7DuJLM3jkkJV7UINwvUtx9ta7EHz1I0hFjZO4o5
Vv3U1TgQ0IocutwwQRLmIuiRJR6o2TX5LizT7gXrHESBIa5IYPg4eAjkU39TS1bFmIrobaUsdRwq
dFo6GVAElQ0lfLLIiH5IDe18yzVPkF38X7ml1TGULkFA3E3vfVX6mz4pqpPjd/qWSLX8mDMnf138
qKUasiSnXpIZJkcwIW1qpwJ4XxvHP5FMmN9IsTlXeTlYDziMu69tlw4YxBaDWloq2Jb34SnHqXyK
Kor3/qoqGJPqhcgEGUfF9sds2O51BKrI1vtfi2nk1zy27l7Lkhs8I/4I8eM9KCTm6zrRPVFgXZNG
vcdWLjbbPUw9vTNlu9xnSx3ezpbjIJj34eE17JSRz/tv2UAhNhGe9rELNS9Sx+WXLs6zH8AlGspl
VQ+Jk7cSrjLrJNrReMSwwdnH6NyRlA8m5lJYP9/SNg63mGwUdXcLrWinrXzvO2zDBE6dQ95KfcNu
nYRDh1q74YErfWARqgboskGOn2zdxA2fJbCorT824L6A81x1LrA9HUv3qkkL51HNyy8sbOEtlxQe
06rT+7DCh+uJiA2vGYnkiEmzP/FG6a6BT620t8HKNrK1zTcvHfUtm45yF68ejxkt8hZvOWkSO8qe
Yn+en+Oqio5U8fKPYejlU+x2bzYeVOAtg3FbsBncop4GK0dgfKpL65EaZRyU+Gq2Hown9LFkNFpO
6EeYqPm5pgiJGxQpPqmu6UAYM3xbyBtce5WasdcW7ZXTtEYw9JRrLWkCY4qM/GvTdOyHTVbsGuXM
TVzl4mbg/XfTeQZELF9SL87mY+qnZG4Gtzuqsh6O6EFU4PqOcR+L9PvotESrXgIfgG0LsLf7PhfR
TS1qChmq/JI4vfWEGdUi11xW8WboobZu8K+Q/BIuaDZrpIbupOUxL/xkW2dLdtN6FT7Usc+vJOXN
LbJzuKJFXGpsNHX1c8n0cB1WyH7wpBq7IVoHti3T9hRh3aGuwn1gZu4iaKK3q1w38J3xOSrsfjek
ouFtPoHynAv3WMoCPSZO2V3UzTmmrTbClGtidy6Gkpq8jqAd5uaPyWSP2FttuovWVcXqvfoW7FXM
iZOoNlUkdyU3Yx+WQ39IfKvFKc3rJppc9z6fNX6UeX7C/kEJOYL9Vc0l7pe4SgOZh4/97Kq9O7cZ
XpRsOTVYNLeYdYsdIAN2odVMSL4mV1OybQF+9zhY0jh5Yub2H2VuUlb3oGHlKTUTCjaorKzW3Mt8
eA5REz33lZftFoo3MGjH8jWj7I1vZZIn3FrxhpR1tc1kW29bGSO9t63mQK6FsolnuHcmHlEcsmnz
aGSGdxtOmDg4n9uqy5DtZJ59C9KvuLFU9t1pqYpjtM2PQ6ibA3JXEijsuQo3z1gdfefE82s9aHMc
7jW2usCqIbXELqy63oxB5UXDt8GrkY5nnroJSwQF6ByyA/yZd42FAKFWjhMisZboujcmcdfrTH9E
KaLPTVEs5mnWY3mIHQGHBaP1LaWodE+AuifHtdO6AZXgDCbxdomjJi/NrVng2DOgPOzKsa4gwoTi
MJGFuCZpKXZm7CT71M1+6aSwr/s0no72VI+7CKbbO/wStWtde9rGUecEpWviRvPIz9YiVnsELNNJ
1yA8vBEzUM/asJ/qpdy0RsO6Hg/qlhyM/KptJ7+NwtrajnHX7WpqQRTxsVvXeRY0Rdt9yca03/l9
YwQlxh/Uv6o9zbPto9sthvyI3usHxcYcf5sYbzWfDmyRG1hmpIXnWrhfkgXZep/n4b7y3Ju4cAjt
F3eAcJM1iLcjsFChV/CkS6PjIrXnbGBfiID3k/doKdtDS1WvrKkaZsOzxk4ARMaF6yz95BB7eOPA
HNbQmjOUcbZte19NTdXM7OCIGpg6f4p+qO8adxl/GQOVTNPQEjVJTlEspGJ4O9dLc+imnG0YOZWH
JUE/ZUppkPlNeAbM0j561WK/mcuaXu3y4kW5uiDv6uQvHjufbS7IP3Oa/sOcUOWaIIFAxKJauPha
f9WN/kiSIrorOmIZ8vre+FJrY7qrk3QJxNJ9+PFnFZcvGbzS2FqDxM2GhdJ5Q3ZfP4hZImJozfbN
yRMULQZ6hgAN+BDiE0ohI892Jl6xc1vUgz39rUDE1gQ1sjWgnM4YMSFSmN7WwLlFsfqNaXYk35pw
5qqALtmZdX/CTDe9IP7utikB4fcpTo3XGjfCFSSI/jR4Sn8Tk188mr10qVo5jndn1+r3WLookAxq
8d8KZXa30tfOvaxNcTKzATVK3XIzLV+wvknSHC1VyNs26qtXYDL5C8W53z7k3WM7zyHbTQqczsQd
gCe6UAID5RMskAc/HJfDpR5WuY0bpe+N8sfHxi5HpF0z6S/DAbKMw+kerBIIEBDsD1k7hscoiYFb
o+safq8gsXRbzBojyuQTXklYjZBgjXKbL2Q0YqaOpai6u3LI0YiZbKzbmR8Es+YWTfGcbkXR8ddp
GeFT6JuH2PWte+074dGU5FPRyNlHW7TOW2O12Y4njzu72PXE1ofr9TV17sUc2rcypCgKsHA9typH
RjphFWuwrODbXKyCbfLsLnATdZu/a6Q2W2pC4SqIKgIgGR9uxWSBXcXpZ7qqj5TZ61M1gnhMnSG6
imRh37Oo+g+ly7nAIyjgxbZt9Y7E1O4/Bq9oauORw/TXltuylkdAEl9MPFPor+SCNM5e8NGud6Xk
Wh8Qsk3zti74faJtMrt9Pi8PzqioydnvzbJKHSskzsNhzgR41BHPyxW5PixONsLG7TIpc1ettXJh
50hIEXUs28aexo+Q1G7glzm2SB9laPmNMnvrPiWijqbbNi9lTbgO/anQA2aOuY8bDJI9TIoQJRse
ORMPy50/1emvpeyLae+mGAXvMd4b21FV0rxO52Rxdgs7yfjJyqV1X4fC7tTGEKa5RahQ6V2Hub/j
bbLk7JdZF5xlvyzD9BKSRQmf2zHVw9ZQ0VOaKLy2G6qnXrUtRoM3kjW3H5Zp1lRkeYKQgg3F0t4N
aZyZG6vr2jeBjrJZM9/5y8Kuh7cp5sXXIlpG+YqsMC32GbqEkVhXZ9cwW4g25qL2mIh4+lNeV6n/
NrqZ1d5Spvk6WPwGEklY/wA1Xi53jsaHdpgqNZwUrEbebz18shdAidBKkEiJ5mj5ZjRvR7i0gcuw
fMViy5bZxMGzkzCH34TbuT+0q/s7Y9TGSnKNrJpyLO6XDbxqqNSJhjGWJE35qCLwldSazJASbMRC
eiWZUdcRMp2tyf402ipF2XO75vT2uEeuusa4XoQHND3Ht7iPB/ZFlCDxe8RRlRzmvFAPJLdZI9y5
A3ofjz31ZuIMdXKcespfxy6csoMzZqKAJhyn0BEof+TDgdRHSUG06psb7BgtyUrcok0SZBM4BSp3
poMEWaeJvVWoFsZNVcQF9LZy0LeAYpqe+BeixQ25EgVgPva8X6FGt0rGomIjl5P7jQIh/fw9d3GJ
BpVlNR8omT373soqsGKeFde/3SUy741GOOFGcrAnH7B1s7flAmazLtPmSRAoodYu7Dm7pnpae2R6
6uS+hmLl7IbRQHBdctZst8IGVbPoCVzTcCFR71fxo6MtuYXOnKBHBsSrgiKyjXzXWSzMYtO1vgi0
XCTynggoyLFo/AIUdkkPAL6rNnxQAROljt9T5acBbNB6J7Hh4i5RgR9iRDJCszjay4yRxxDePRmR
7mBUfXljwlDZY0qEr1nG9Dmo+y9EyTY3rU9/sT0BnTd14bDz5Qz5uPaw8OX5CzHa7ULeoIWaF24S
bz46uD+3BqaHALefDioAlI/cTSgV3fxmIHxGMDk/ygpQMuAoqma11YNjsn9SjyT8rfrXhjfxjUNB
PAZdtU894/tQLS61dfOxJ4Hx0Q4sFjVLZ+87xcEcO4QLKTsTstfXE0mQrR698Kb27OeiRR6MSeoI
w9/aZi47JBcw+qauQE7IOYjx8rKXxhEk1YbQeBs3fTCTSmshPA1RF28IVfZLPfjfZlnWQW4KP1gc
dteMn/1lcXnJFp76skROg1aFjHoVKTKjLGPUp3Zy0j2U4VK9KtvGtN6Y7AjTSZhBOgBUqGZr1yH3
XJiorIhlQhaorZbyLkna5LWmBEI6qe7ym7opmy+udoFSzdHXoiE4lHP94pOhHQFuu6MBfgkmz7yB
Mg1nHwSGQuBsufjdBCzPdK1X1/DeoYQsWQWmvTKnB5IG+rRUlCIJf5JD3+O2gGEF5Sm/lsP46BbF
tk7dBweDHhnjoyFEtWucFOmvMB5IjrXBWBFfFEX7GIY260AmRYGseqqCBFx1QIOIpzKnmtupcd/b
C2CtWd4IheHUiM37QZDP9UsPE7CzREGJx5eiV/a+pJ3cl+AJnvEKNpu6nqxgDGfrQLlPBGSCr/H8
ZocST+LGEWz8N15P6Nh0K3soXojI2QKhXp2R6w9RlD4A1Xqq47Y/RKJOH4vcu44aMw4iaz5GZr7D
vOwcqyR9dZxiO/ZNdEUakIwWaKr85KeKDJ85VC/USscfVlKRROtxT1oqeTXqOLsu7ey7rawYOqH1
bapgm/Wda+z8ETs3gLju4LXRzvb1vm4W6zgr19tYFW8nET615jjtRJONV52jl0Od2sMvWqh8mBny
ZkAn2AYLCoO5Xb9kFJCPY+eqO1SJJOEW8EZ5mQEE5rdbu4uOOa099o6gamEh+d/4prV8sDIhokWz
9MNrKvMGt7/Y56RfWpI8m6hJPNjV0xv0rZdhiqsbx8jJdEQ/2Ee9hV2fwqNFhuI641fXNWHj9Wii
l1ljIxNS3TsJBefemX+oiU0z5hc2AKnzy7YK/Kx2Vd4rk0YTCqz2nmH1dmGHsERPE0gElf6QBU5f
yrHUvKwBhY4799xTfwykopVFrD8AkBNUTFCvRZL2WzkvINlKdcQ7Q78LOfHCR0aIBodShLDVtyqz
5MHBAtTM7hXZDyOoJuc7JK74AI+a7cNvQH43ben/VANSFc9a0OmzSm+KqGy/pANFJdDsV75p7Mw2
2g+iJ+ttQAD3HgDEL9edpehHU9nW3RyHj4Wlsbw8V6B6M4PgqPGdLWm2ayHSO8eG14sz58GKauOq
6DEoDnbxLtt8O9fRbUfHmLdaV69Iyndzgh+vAbaE80duuzYMf+Iu3Cf4y7+0rkU9cn5qlSKtpeTJ
bNs7YHzVroTTbMjsOxvhrarj36JPTZrvkLZB+r4bW9JvilYlSTie5tx2CbZs/2A7LhG6V92nk5vu
UafMJ7OIKtKZUYiBQb1NTv2Wrjr0xM4cuN6pg7fDmW6mVnCO2t8jfO+DTloRdA7LvXXZlBTDNN5b
XnLvuflXFaljnGInMGr8kSSk2IZo9loaCDbdXfwi9neVkd7BsiFBLduvVR+f+jbbhln9wyb4yxoD
53JX/uxc86Cx2sIPx/4FLT++B9YT5Fb6EsnmYEc1KsL+0RfVdWeW9zIZrxblb8mWXNlJf5dCqrru
RAeeC4kJkY8GWZeaOVac5OQUCPWwQAcasexWtqQwYFt/jVV/ADUZPrY5qLhqNvYLkPF+yH6l2rrL
EMWzxTFXUhFGDANhvCiZ9XlM/l8JdDHp9G5OGVED6exdaFfudzsD1qPjOAnof4OshI4OQZqu1MsC
8xn1OmvfAicinSfHJ3+I7KMeTXLjZo/cETwjoiFY+OW2sZwbb+jNu87hvWUxA8IgcsMBtKrZu26c
4Gma+2Iv0ZAuFHQas6qurYIHzY8dtDBi9p0dJJCjGYf3LSKb+zHP2PEgEPFXTwyoagwjvGIW7T7l
bvaiCPeDGK3ulWIHgseBVznbOYgkj87S3LSNEyCp4hxbKGaBCY0rkGVIDjUejtQv9b3T2k5gs5V+
GAYQPl05UtnL6kAObnNTFkrdQDOC3peNj4kTHhZK4ewlsnYrssE5kMJRpwFP8WHspuvebu8S033h
1XYtShCFVkuslOTCQcRqeldZ1TMJRqd47O3RfsBcCybURjtKe6ebNII/DaeEzQmlSTJDWVgfaLQx
Yu17JzlNrSHtzUBUWN4WhdXebY+9HDEXtWSBolux2Edw6C+8idCrTVuYUF/rfEThO4xkbWDoRhs6
86gPjNguLnSvt4YdUhn314hP4Ra8YHpDddK/jSiHnuh2ZKcbTUy4DbXrfHhQdo440X9nPq9LlCfF
tigTIncJldUkOg7GGXgxulyfZhi1uhspmd0Uqir+/+NnkzgvMRr81VQgHcDW/29fwt+bk64+hs8/
ONsQXOe/XJILtvSJR0h9O9gAzoxsg0ZvKMPgZNuOUDSAMznKxZ9rY17Ah+D4DgxrPiP51cWHYNjO
fynXEpLWcI5p0+7N/98YEfBH/MWF4ErhKmmTP+HrSLkI9Yc5NwSwM8mEfPE8zdJvgyS13OY9wUqE
dtJwaDvSnufIuUXv/8UQ7P15RGzKlBTXP8WTjD35774HGWHG07RLHmcAgW0gJ5z474ZGPv/uj6Pw
DuxHOuP5LyPynxyUMEX5DILnCDatfx40m5AXVfn43ra23byDRO2NZy+fB+PZH9o1WVKgoPjfH9QC
c4SJhDZPApv8H1fqtUUKIk5y0IrDxYIU9i0WVzu7LX2APbciJyGfb/75Sv+PAcVVonwXZwnGblwv
fxw0U04GRMn5MbiJYghDwvTmvepGLjukLtr2238+3vp91Wc7wc+ZbgvbpYGhw0VKzzybzP9qY4lI
YGN1ITmjCtm8p3DbOMR5OGOovFwf8JpEICTlf2BQXFCN/3ZO/f2i1wksaf6yIhbWMzCF+Pucag1M
6FNCD5G4x8gtg/PQkmkXax5MFrQx+Dez+I/LdmyBOd50OSBTyjTddZb/pTti7tBbQ4KXD2AmVll2
Rd5c05jFbUc9V0cJsCFL2EWIiX9i1LNNusesAbX53BH1P3yalJCodGhA5inlWKaN0/7v5xETkNle
+d3kxtM+S5ZUb5h1gC6R1Mc6pwGL5J34z0P+9ycYMj8efuFLKsaWybMk/7j2yBCzA0gnX03C2niG
zOewZEBexPI7kwExnmdMgJ7Y/fNh/84RYCG0bJNuMgyvpH+A/ecgp2k8eCDC8cNj4jOem5woBQDg
rGcGmVILD3PFoOkep8s63ZMOh44Mcu4Jn/vnc/nzFthI1TgHydQTgnXsj6fMx6GSpQqvi12z2kE9
+7wHEwuY8YzbFTjTLg0Njwfwn4+7Duf/PG2kNrGKWRzSdaXrKarhfx/uFZTeNT4dUioLumVLY48U
RwD0gOXfP1TS+vOOS8rbJnbTtYfCepl/DHQxU0eQPaqRNBYWN3mSY8uV5SjxvWYfO95kPJeLZqu7
q+IB6+mdiQyfOU72oBKPtijB9EGBVsyS6HOuADfW5JtJIUTro+nNWTfqG8weNv8T5dIwa4puKfnG
0hCUh3dstRFSnTROrcla0UtjPebHQlihOd16YV3z927pr0f918FrGEYCAbHnpgMN8Ko+qa4y5S8Y
UxFtQzuf0zmd/K1MdMoEGUavXOdJQqlHHujgJJBAGjWSrA7ivQUudhvTdGT0MaCaipvu523H4Wpc
ChlCBor7nQFrmy0+35KrdY2NO2+Rz+Ocp0B+p4J3/8c4G+aQ3sQlXorkywy5VKl9hO4mAUKXA+2y
tlSAKr4DQl/G0ciohfOIwQI2gnd/+aE1Wet0b4eoNt9UM+X1K+Wemo83XcyTF/KF3DWsTUTjm3qO
ECivku6Q866aYb3pk9CS4Ts/RZcrO8/fsUzXF5LdQ5qnRenIMkB3ivOSfrm52F6Y5dvecFReH/JY
FUV/KLAA5gVAOnudHjCH8Sjvs26YuUuZRfJZn9KcImP7cj5O2xV2BWOSCoixDUnWNm1guJDGx2vD
q+Mxu0GM6cSQ3s+LStfElnfwqe9way9T53I/PJWMnLKLEJjrNc9vVAKqxnheqo51qaTLI7cA7mk5
yEM62p9rwtTpDFEovIPV4NFQrqkCMxnYzwSNiziCfKOYUh8iGjq37sVffDV/u3xVTo2YUZpBjPKP
rquKix5CAZPwJMvW4k5fhiTKMLGtGITPlaqfXKyT2BqiovzlA5Pl7rgki8X7TKMPZ/Xar31I/vVx
364HpvHEVoEPQmYrOBqbQl6z+xpOLr8DBdkodncFpWT6GHg2QYUaYWkplBX4KJ29s5gLPakun7ez
gjVpfx6EfAVs9FsYoesUkSUJL/JYvFCyW8ho3Lm+IQh892wL2NSm7yOKuSRY2YBTxt1YDYXr6Wvm
oUeQr/6SjMr42dAxeFr2VeSuBC6nmWzHfl+dLJV7QpVmZe1LxVHY5sztXJjRMzw6VGhfWeuADp9s
Kk7z8ATEaH3mbMQqpvWDFA69tY7n6AlZYMcoXiZyAfF4DXH6YX0qOxqb1UDqZ3BMP10SoTRP8ePU
tOvd3FK0BmZ7ftDPE19lLi+My29I+LvZrSaDvL5XPm/x7DkJSwvV4pzbHxWe0bYv9KBA3wxIoCuc
+bGJAekwc32zWEcoGtbIblxH9imUFGmG60s4YnuiX4cyRaETkc1dI15FErXp9hNBUW2RkbHKKDqo
cHSp0Q/xghh/T+UGP09glbViYZLAPJjio5WaxFmzqBg1OHvrE+dquVqdkLwkS//NwW6f35Uo+Kxm
dY65+R0Wm/X9AASPa057B73S3sVPUNa3oSQCLrc9pGBQmXPRun12A4vC97572JHyO9e1ZyKbPBGU
MZBLRPCpAjodex7EyJT67LZdW1a3rIDMw+cK83R+By8KziY5SYXNdp/2AH9I/UjLksyLtm5kcTUk
a9S8Rc/Vdc4uFfXkz1Rh3YLHSOcEIejIF1jbMHYzpgVeYNrE2AKlZYu8Y0MZJMTd4AGb4lt8Krz8
0MCYxLeEqbV+UtURiQSFwJeTRMw08LPQzFzvuzsb68fpXOfyTyLmJIUR4bSVjqEVOHolwH1+Rdtn
NNXaTt3QqNvQrCV9B6KscAt/dcqatYccKG35+kI5PV/fGLHDbZxSVaJIEb7Bfn1btpSjqisBO5Mr
1dT9C+MKyA6T9IoiJA0gDuf7CT55/WsMxG2DLtOtB/2QJKM0aad6uXh8NMZzAgdzwWvBs7He5XKB
tneno25d5HMEFHxhRJ8l0iutakMIDR4l+3eHbaj+MmKhUkB0wzh972gjQ4a3MWkZmDbxgu15yseG
vIHM5RBE2Djjfn+eBtPY26wdKYKM/G6Gp82BYUGX69jN3sAYLILZU27LZuATXaFYeNE1t6QhqYtM
Cxdrd7T9/H4eAma2Xq8hK0bJOI70n+Etl7DPmOrrecnjz9XUXCeFQ7GZRY+q33q0BGAIN2lxUIdl
Nw0ee4awQa6Y353vIuU+/ElXbomW/F63Jqg9zJH0aHQDw6PPBPcIdxtnOhV0E5wP/pKKASqFj53B
2flwIhnI9UFYv/d8h+n+uE62KOzrHA9U0yvS6Vo2vGF2mM/KcWGXQUYbCqxHoDIfqPCu8zhjxc8c
qvppxzIvcmD78tEc4/XLCvZuPXOVbjz1nQOShTMysRmp6bWDEswFzyGJhRjqYbr+8DIAHul8roTG
zTQ1IfuJpmB99uosJhuJiYCN9DZFB2/vnHpkql+u/DxuBmEHhzn/piPDwNezukR9dKsNymzJlUu5
QZlE0G2IuRjyzfq0n+9umRJ+amCkkYvKPoIj2W5p8Gzxgakk1vrX50Ko4zy1lxk7VspkuKisF/yQ
jrqO911S7+Y0eJ+wiJRxO/GBNB/WR3Lo23XkYbKWjG5aWfAFv5yvxwixrVhH9bmipZPW3OeQ8hF/
laKM5TuAgK4jQqPVdQiHJLH4oWBLwR0yOqz3R4g1JXfW9LLObH9EfdPxwcyA69MGlFXXd7fSU+h8
xUinlfmzs+bS9h4iM0k4q9i01sN4juGV+GBoRg/BsJkTYHg/ukXGXFMPJzHx9jyWwumocxf0+7nz
0h5LNI3EwqJ2ISSfF7BqWBdUPc2fI49WxoCvleBB/yYaFF3Nrsa6vt6mtF64uUthYimmFOTVpAwz
1ZmIJWwtaK97Kgphag8XJQ0lravc6xpeXdCyc9465iJz3hFjHAsiZsxVtNE48AIrCdcTKNrk47XP
7KsfLxsXzC0l0jlGeclyoEhInrEm8RjNqLNBZhEmsL+v+OrGiSNeSUqlJl8NeHV9HdJ6c31jJkih
eGu5jl7DB2FbVuls6LyJyvCodeeWMT11XICst9zcmbNWFagpBgMjyjjs6B8W8uc8G9jZDmaewhG+
7vy24HjxYq9PcZH0Ixj+OI0ttF32yNaQPrYaFn5PSdmCVnoTLipcNeQF3Us1ioRCI8coDZ/eSMHl
7a2JSPhOluv170RpEWleblkem2xcQoPdxNoyiVOiXzK9s7mezpsHQWSvnI7Cit0zX4k+Q90TnZCA
WaNoF0cSP4yIcwizziEVbZGJS05CChOZnFd2kuLn5dDY4ulEcTKMeqKdmdKzYrkdyBgQ9jmJ73J2
l3ONkbr64S51naWyURTa6+2LtKXSdMsbZx7yfZjxzNRBK6lorc0c4YL6m9yhcZcMANn2ZrNFD0kJ
YlfBSgt/CII0eEx0curFR3EOmc25XS/AsjtiI8PM1jCa5Uxy+TDB1+1FXGUlE41Ys+cM0vUk3xvX
WbMc+nziLErr8tTXuNB8xCCs1e+s/+tX0aXGXIf9nH+Tn+FYSF95EgrnoWQ9XUd0tNHPuEefzllt
hcu3Wr/wvMOnF9r6tXU31sxGluY1ITBD3EiXfavboX2kfUG1BoyfCYEuSteVwP9MiWXIKzLrxqLv
B50ourpeL8FLaQyT05fbW3eg2FXXjdJlh0vIZ/PIiBbd+XBN76X17PHYx4n1vtAu0Im/TWpe52dG
4xhGqw7luoFtWtom+V+gPpDrv0EMG67NOD06GYUWaJRRl7kFhO0z2L9MTQhEPl/gnO/DZZuqz18e
prrlYg2naqziBm9rM3jXWPHhDhEOfu6jdSTlTCvxglZrNGJo3FyN84dF0YMn6l9ZER9pDYvDkCfc
n/6cLKzIy/K/mpTmOtv8sOVZR9Cfrh+J6emSYEaDVc/4+rXPFuCmX/VrNE9RRqUqGrIA3WHxTgZG
MdEdGdX6M9O56DDmOxwsOSyjdEKnCBokcB2L+FC5noGWPmWVYi6VhLoc+5IaPY+bc04Zth5Cc27r
bK0Jh1IiYp2PKp61DAMjEstQbKZlMpjhoRrWlwhCPTMzj1aK9tM5SCeGZn1s2IWrZBdXzIZ5N1r9
uru6TFoX1jdvB7TWLvBJyoym5W08y+twNJHN0XznCHuP4TcGZPOM9Hm3b4a+4rCXtSEmbM3inTXU
QokrouuaxdHOMddNt5cpdYmYERmuO8kVUVelR8eLyBPuztd8mfx0OzWb98tzX3jLeqdyny1gTzOE
Xq+t03pDpw3QgFwznjMUaG4Ob+X10ZkHrJQ2DV28ViMp+XwIvFmmXMfA5psv6T7z4avblOEZSNaj
HDp/jga3RPPwL9cNxmUZEple/8iekzXBBfSy4x/MW+sO/JJ11OeZpOt8TeVYazVhFccv6yfBl663
Vy9tNw0HrGvt2nGPdYffXeac57RWyCl4CFIGqmdkEoZrBxzzgNe8ZxOIyD+RUIuQsNSj14MXbIt8
qr9hSScwPLhE99zmy/liObNh7ko3XzrrllaAiuYLdRUjCMbM1iv/WA9uMcT73K6qNnp2KSka2c8S
NXmH+rOzpG4f1NQXs/3oxNLh8bcSsf7j1W3PmV0u8zKF63N+pQMLzKiKzhJEtENN+P9RlYmx9Nuy
kGsu8pLCuDzfzjk74/Oe4V5dRtCH5j8VKwcldB/Dz+rIP2cS/54yVxZVAkXamErBCrqS5p+5PUA2
nlXQykedt8/hOYV4WQFn4gIG9Z8Paa4Vrb+mLy2eArLlJFAshH7Csf84aC4sQ48hN+eSdaiEgV72
v6k7k+W6lSzL/kvOEeboHI5BTm7fsSdFihMYJVHoG0cPfH0tSKoKSS9Mz16Z5SBHaZERIi4Ahzfn
7L32efg+WpatKu8Qdd7SNhgbcmzmh+57NcBxSQSPDqoBHZDcmTTu7a+cpyUMnq5Kxx4zU2WnKSut
bKeGAd4EDo78rYIQyX8ybJZmhtCsmb2pTdVkSrInrNygEXsCFG31pQ56E1OrSHH/g8r8XgrzK2Op
r1LvNvlj9vel8HtXrOTExOUML3c9XlsvK9mwpf3WcnDneKnuoOVcdpuhqZZx/6M2hNZ6Oae130fJ
jwoBEfLQfXaB4WUAX+0xXRb/QA7Ll7XsHvlP38sG0JSWtg4JCqbcD0a1LGjzz5uWGasJ/+j7/y/1
KFzwELq+Lr6i7JqoWA+E/vC7f+zd2PPRcuNA25nogUs5w7H7UVSenGq5VIilg3EMgGiZYH78pqKt
qA1lBNAwCxa2uewrfmwtR1QfPLL4+8rfZ/g7vP2PVlBpNyM/DoipGsN9gaOb2MMpGJa7iGJ/Wdh+
TOE/dgy5ky3/oIfwSCwSBQZAQye/GSvdbMfvv493v0wgP6ZUduaCH63QtvEjku8r8Y+/OWT0wtpN
4hbLz3WIx1y+RQ0eyEfDHmaZs426bpnXOwG5vNkYWYFlYoXycCmRkYjz7W7DehlYP1aAH3c7zday
VbC+b/1KC7uIT82RgmLyUhRMBBRf2H0arz++8m8f1v9AbPX+vbx+y9+b/wWJ1Za0f5pelrjsH0nX
yw3893+9vuWf4l+h2Ms/+N51t+1/eUIpVzl0BX1mG/ok37vulrUQ/ujFLsxsT7nLvPej6W6of9E1
XRpLy/+A1p5LV+f/dt1N9S/hSTiCgp6XBx3wH+H/6FstLcl/d3Jo3tiIAVxb0mMh6dr0fmtZttSV
O3CmmP/SAGp7lKPYOPlWDpTLamLE+WakkAivzFqGXznljs+6DagZUB0ywyXMYfCGLyOHsXZPsSnU
Jz8XYsTe1cfq3S1gtSwJl2Ee4dDKU0HpwyvLD7EfqMUKHPrjEXK+NF8tNtYZPnqUKjtyLbABqBi6
wRykdnj0jYITfxDMUXEVYtSvN45GIbzNu+HFWYrKHHSBe+xUmOVQnKDJ5tO6Zs9S96uiHW25CStf
1GcL5q2zqZDYjjjgmIb0XZAjzIGobBjf6oQyVNuuJJfn4EUeih05Czg1tg5f2Sfg2ydOCsd6Hz3O
htmfI1c0D2ON+tqp4vFFN1l1mrDa88Oa7oGMnwrNWvnRqUAWY4H7khFZsLEmE/80Dxe6mkM12PD0
myd4xJ4rSBb28+zAMa7eu2OZXAnRgYbD7Z9ZHREoeY5J3I/IMItG54A2qTs3TQrQR9gfp5awu4DN
3rmA4n9r5YKzmQPdAIfyJhC6OxRw/LZTZD/73tyfbVdSSnBE8TUa3fYUaOKYU+o268qH/6obqEcl
++hVpL32xQUnijB/csERBziDwSYz9fYr6jROi0dRpqSfJm2lcWUaKrHTp1Eir8AZ0PCiVnUlyvrO
aObZ/8heE/ayn2InK1YF1Rz0nzVpxCONLT8nII9QbbtIOuIOwv4m6clfwFB/doS0hkOd5ppa8FTe
FloEhG7Irgq2xP0uOY4d+jg4l3T3TQqx88oqtCWfiEeLVs3YPqYS/bBKQCIIhXtzNBzI1RhSt/j6
oxUbzG3hY20jLMjhX5Bk3RtbVffKv6eCk8mdNPzuqkmMfjNis7ybnQLj3dQrbT/g44AH3bldTw5n
oJyDXRG7dcJZCM+kCTXIcl546l3MzPsUAW2A3GYHXXpyMbmRM2fDtqGdSeMYRdgunMYh3GehsqoD
VAxC0lRxZ801kGNk7O8zp4IjG0znA0JjGmPVZGKSsQGYTMWBNjx0Pr8w8zObSLW2RA0+2S3tQm+y
gdDaLkRpuZpJp2s+N8oW2IDTqEnW2Uj49sC+cLGPzPh4MhbczYQv0T8qIDjWLRVJUshj00LcZsn5
4vThvW3hSOvmbO8k7bvdVNa6F1hm2P3bzwZ/rnyBH63Lc9WQM78xTJGeDDxSxadQJ3hfOg69cBYR
6BLQnhauPmdYDOoNhWRA8Es8c/K5z9IUUBz1K6MsjXSNtAFM4arrhmLtkHet19J1XilGIhwsJ+9z
DGIx7ZvqwgRleqAHG95ppLTEUYhGmE6pK9xnZ8xPDvdZ7Nj4i0/9Ul8jLnPJT+K7tMcvQsuK5Auq
Vmqj2hrqekLwndyF+cjWiDIHqkpjtvvmFPuxThgTzbzBExrVn/qsJ0YksAuKZ9SBEvoCBhBjCnbC
LTesGIF/wL0YJQSWGJTeKuh3BKS5l7YwzTs+XmJbp7y88qTX7aswTvZFmM0fyV2d0LXLwVh7PZhk
YYdfnASjZGd33bohX+iIuRtmQz/MT5PIbgyyrVaxXTV7KzXnHQWZ96LypnPJpL8jr9k7q6TFj5lH
zsnRsYGSOHaZOLG1sGmQWhxNp5v0roZsZO883bhUUzvSclN/QwDl9Krb4rkxehfkpzedMl0ijW58
77zEpE5zyX2nbrsubPfLMBrxFQkHajXj4d8yNJznQdQtpd14Psk4AuNPuZwk93Ik2x0efnqREvo3
utAGK7549+Myume+DS6+mqu1DkbobeEEOLpWArikzOXRzYljbSs5vyZtWO6Ay8+vjvTibJMEQXJJ
MJsdHVemd/QNilMy5jema8HfyIlk9FSgTpKIxUve4hIfxq7dAYez7pEqdy9alsOemVYRF4eNWfVV
8GSPGT2vZQdKfd4ZjrT8hpuYJYbE1MGcbJzi7htHVf+jPZEBTFdsuO11ktxNjt47KkDhamr7MGZx
cYCzbVwqAyMwfU1/ZQ+Sh9hzeOOXePIy9u2ZbR/Np6F5JMTWAMXJEcIhvsr9CvPi3qVls7Bp+32d
BBeKERtUpzyLsjyUlfVGY5myQHNr5ADEXdbLXIPHsupioTDc0Q48hwpgmkcS4Ix282wBuiSGACdv
ZLfw1Tu9Q9AeLqneAAxid9daJQhTXtuudqZ7cg+71ZQCL3R0h87IwzUzN1uev/MBszh/aqAKOLG/
3kexB6UoUAIjjMlsEZEHKfHdrkPHCD9BJO9O8zxjjpjQgkeYDa/MzDx4GGXXuY/JKnOnz2EfDneE
PcPfiB7rhkCMwrBu3Co8gOobHrsYhAErukRQjO6AxInua9mXd2kFkY1uzaq1X5u63oRJdGpKRCBo
RtiiK7A+0XOoh03fiZu4Nk8eyKVVK9XOjuPwCmcCho46uacncvGT4RQBkN2KOjRXNn4Ka3APEdl/
bkNW2MrVyUl6Ke0sfzqOtFZxZTXFtLfK+SmJKxNm8ZTvOJzegprjXsadj+lz4044M/ltHylq5Pwm
3HaQX5ck1smNtrGMUuYlR9xH5EI9pr6mHE8000tm6PCD0hzu17bTTPOOGHRA80WfLO38EYrCzq/i
NjqiTDY0UrjIztYcH7I3y55vKlJeMU5AOMb7i9esbzgWdjOfIRCA6DNEgeyosamJ9spMcY9oYDrW
qrczAkfx2O9iCipM1qlYAJn5sxrUtPEFCLMJSWPHWdfLIUDzBVU7c8rto4IOx5Le5TfN3IFJKfGI
nxZPwseaI8qO5rufgcHENYPS2LgjXBswTWMSt7kiMSiXe6jY41s/TSqnSWkZbCTnhPbLOpkol65Q
vNlXoW313jO5EtrfmgQcFVvqgOGtsNr2hiKMPLRhjL+0drHi6nBC9jwQLSBBifXJcfDpg62czCuP
jW3Ot34yOddVpMdNn9rY/0e4UH1InZpKqnuwQD6swkJOCzja2bZDLG6qsBVXcCftFZDRejM4ffeh
ZDd9hwD6rq4s4waA6IzhmbGLT0jse6uazlii6qvJ7e5xXH3UrmJgsAVfOyUkaqcYLw7d34wyWupu
xqwtdqBmH8KFTdK2RCTRACZ9ALMaQr2LJeZoD7En3zalIzbF4IU37FrEyvaK66ERw03IB70uS3EQ
sc3TD+b3UBpvGVFKp8jrw23kxYepNo4NHes3l5jXjdukmDHE3B7HkuYsOooOGMo4FI+8VuzaUddc
jND/TB2R6pqu0kPZuM+V0dTXHIHs49C5JfjZ4oHWFEvY5E3RNq2aGvsWsytVECJv6KfG+ZavNroo
l/Vk3S/hEdnY27c1ioiHAZ3CyY5sezNZ6iozJ3fvypFWjs1a4sbT9JiPUfFskvO3H6SXrx2C7DaI
nPzdiBpsizqSxdVvv9CFv4vLsXrJBd0l3DuvdmsqIAMix/1lVFszH8PPgDaAU6lZvLhRu6fzy94P
69FLPM+C/N9Q3c8jvi6sBS9tTELKKI6ZAjnlU7H+KKCcJNC+DlmYO5/KtClPrlF1921n1lu6HeGn
qvW8T6XtdjcYt50nP61x9VLEIJA5DFwInXxioSQkoxNzdibjjIgcp4e/hXBg2oHz7PepiSVrKVDe
Kasx9hL69+tkxd0NZexiFUoBcK+MtbGFj/CIIZtzVVaOWNGGIyV3C6q7Y37O6MivLWUZH6lzFNhw
dIRjBL8zvYLkpq9wCTaWk99kahIf4zy3dkJmNUbz4rm3R7hANuJObEP7cog8wuJCkkYzWR87x+/W
lWdlVB0weZSYSk+Z8Mr93JhUu/uYcCDRWR4zkl8H5zEw+33Vdvmd31E7IfAODVq9YGIAMt6mEkTJ
5HTxyYiN9AnDdr+OQ0mQZQbxpUqb04QPeDVVwV00CRpSEZqHMQEdPHiRex7ZyG9KQjDB4Oij8NJt
0iXVCzR6866ty0d4evo82uEVpSrKMRIcieKsebBblQLxst1tVQNeInHbf3MbQhyV6j4qZ4xu6azJ
cwVH88Fs7OjisHSsU/J4NhL61LYMpicytU+kWwwHICE2NmufPb4haDaA/tzQ+KqgONQFjX0XZssE
Ke6xB0HtbNPOJHeuKyZnZzoc+CYWmi8J2dZbtrbxbQka8Z5jOqdL5DPNtUz15wTz8LpL6OOsXBWF
Z02P7FIQw0Ivu2lWHGFQWswOZ47JqJhBnPk2Rtl0NnDVXjpT31OIs9a0jzn7hC5lAAJnrlOdhVcq
gSYUcshifcRuGDiafGo79g/ISXgaQx3CSmkbpBmVe18s+x8SVWjGWNVn3Pt8obBn4tS3YQgJUsID
Ps/jMLCmWpUWO7tuPsBMJeEQZfo+bZc437kqD1PmxCxE8eiv3dF512HxkojIepqjukMB4XSrlAr1
J94XpLz220E5fmk49L8wnEnoDIm8R8Wxg0Ik9wbyTbRIxOMdnSrJtjmFgho/+xSOHAeDZIPFk5BO
6AslOUNjRibAaJ+cdEHN2zhhhUwuYa/UPnCDK8cS95aVhOtEkMfXReqpjImepDdwrHx1ZU99RyAN
wKAhTXlShX9HDd1fQ2QIyCuO36iT5Kz6WbtHfuqczT46dAXErkTPmKGz1z53CITVbdPc9ML/YGSx
tZ7NyLuZ2MaeAz+o8EvNKhuyzxgJw0NEOfNKNSD1YbZ1r4v0C0eygRs4n/fG5J8rWkAPSE+IIlhW
59Yet3CJ04cmnC6Z9KpLYBrpLnS8/FF76SOFo+YDEtvhpmMd2CAOtL9wPnhTlXFdmsVnkpGKt2Fs
6ks2pVAZ7WQQhzJEi2TS4lsZBp4s25rVyauqrSF94zkSdbz3lCXfElMC5BzgXRiWvmQ414B7+A4Z
gzOtdAR/9YEOl3ngEP5ql5jIOqd9gWD/hSES8FnY5U3VWMaeDDZxAU9+8XBKboHhJjtAec5XJ3CG
R0lRZ+UnvVrDi4SyOIX1iuBrnKIA8Q+tYX+mtwAJRiGb21iaMMrC7POnsU9b5u2ovoXD0B45ssEz
0bSvIQ3U2Hch+DpmqE4ZVRRg1FOJYzlDnpS7i/FKGBvX0bi7odSuEGXrJ01m6toAMwumY5jv0Dpn
J7KbOAGLr/PoRTvfFCE5NHwP+JON5qGa5i/J0pRVkyJfqxD1VWHkrJWKkM+xtIptbbjjyqMNgExY
1xsFSv5szb7Yw7e6pttyGSbvme0Rm3InJ2USRPexzWrnkkFkX5dFRu/cawPvtYCIwNYw+jqiI8D4
55HFDWD+0ibkeiPW9S6wm7O1QtAoIvdDRkN5RaOcZFQS01d+BxzajYHWpU0xvmWtOV43uswObmnm
yEHnl27W885GNXeJ5yTn0pbzTsYmYOfccO6yjlzVRJBbY4ZtflWiVsaRRgIl5ijrIS5EuaN5RQaP
WM51NgiVdac4EwL+qPc6ViDPyYre0Db0to7y7nQ1RJuyFtaK2JP8MAWzPmroX0ez9U2MCNZXKlCK
I0Ty0FjpjFEQxL3Q1kI+KMY7pLjmhurmV6tP/HPRE5mZW157sEjxZeNPcT/361tpJR6VFovobUme
qaXI2BvYP137qrVo0TSJtcrBoLKNpNC4QUjHiWlo9Zrvh9D7sejuDEm4PHyugnJd7VMezWDvjIrd
UTD4pKbYk7fpmxEnhQv0sXLKtWFMM3mpRPg5AVQnn+7CmkSEV1Y8Y2tVgzgrLyyPoTXY+C7cm6nI
j7gOkrMZjhUQxQhGZ0Don838wNm+VclmcoZiq1IVH5KRyhKiPJK8dEMGFnLkLSyHZpu7zRO6xg9T
SGWR8qL1Gmb1pwx6okUaBLlQ7vChRR6+jK3maCFc3lMEvxnnWmxS6bwLVlkaTMBih1qmu8qA099l
0wjeadAnK2jjS4DTAMZM4t2mWULlNez3TTgOxzkEPt+3ExVEJ3obe3RvJ87sbXC2pohczx6ZeblP
JblhF/hh44OOCpCKMK66+TYAPO/QCQ4gc3q9FYIrh20/3TSkN1xiW/BkZWCLiTRc3RCzy/QQfdBE
0qzSAGPUCgVMUryMTSo5QRNjOq4qmauXYW5KeEQUcZ8zc6ge457xttLfomvR5/PtkIRTQgr0R86E
KjIFwrjGbnoWy2/puD36h37nQXW7ZI3IOKUQovBQiSY0342Wct2dR6vNOCV1SRIX/SybDF8u31p3
LUonKlDa7uaN6cOruLKH2rJOmkg3jo0+1K9zNbl2v3XNJWuYSdOcTwSnW/0GqWVWn0h6ZPs/RzIf
LzTjiO6ejcC6aRNv+tpLKVC49EKjRvyWfBxTWr6l8u8fPLDJB1mQej4D1OgnyTYtvwo67ykzyYZu
Mgpw4ZDV92Tcn7RjfgqsYkKRYLZbcmGblRg9gMjm/IGBMDxRv032EmA0nDXaFM8moLhViidjnRv+
uGvGmfw+C2UrWnFVXflJA29iXcZzsWzLlz4gyJrkwxjour2zGmiz4GtGIlxyCsmkSfTFfUwBCbIc
epb8oaiH6iwoCK3J2yP7qw7z5/RbbnU+VN3VUM20JSITQgI8AIJvgI9as7Fl6QTn2PfPWZk/5toL
3mqVOvcduZb3aPWLtRVNlxEQ1UpqWXxsnYS9Res+jGHFsYBJMmJSsvK9put+m7dRdUx9w6PcScn8
w9wE3hE9mbvTSVy/WHM0fbWDQu89WsoTTh5ZrF0s9VnSTtuwHclr70PzSAHAPQ5mkHz1686A9cGM
oegZlI15pca6alB6DeaX0ZIWU8hcudNbLqccbRDme2vLVly7B7tDKrdn0PvJBzIYfOi2bTk2RzQw
Jq3rsNK1fV6klPFWumagUXzpmgOEReOHI7IsKeKSHcjPXQEh3PoxE8KqGPum3KUl9D+4hmVXPKaO
S+oGQNCYVZVAzRRbPXGVeppnDborLxq2RbjEh4vSwxutoACOIu9m184+MSLEZGznbn6G4XBLafoU
TmLCJ257Kw+R4gF+GRIxkZCISEuJI3tRUVWcyA1QQYz3Ll4kQMhu9xI56M4OKWO7zHYra0jndReq
K7+HakC/YzVwXPkY1vUNoSfOWvdjvrcGwNGg2eRBlKNxU7tduakoSoKNVoI+QsJMspZmr494flSz
qhqSHgpCv1/nPPJeCLHxLtp0YvSO9vAaaRXBsTX6khIhVVk4j1R587ncIdpUB0U48wmNUN7thqqt
K94PwHdA5Kz2FWxWY5MxZNZp7dj51sP8lKDCF+bKDdJ7T/mvM3lbDzQGLrlpHocpqrqdO0bD17mu
x71ZL5mHqE3WbMGLbW/JYJ01beOhWJysNetnddO7fLornOJkX1Op2hFCa1OPB29DDZ+Sz/PcIP9e
wfVryUCM+49SN+9NSY05QzR7qQhiXzOaEuge7GGSyiqv2nFuP/WVumkHDlxJF7c7duj+MRHjCOAp
qjK0iNYddPprFHTGvkZ8rPr4WqfNoa6kfzZl0BFMKxJ94yuQ5g7dgfXQgNKoUx+EcRZW5rrsidgr
4OitDJboR8MLrul2sChymL7THqNSUAS8t53kSuoYrY97imnn1UhDoXpGJJgapab47L25wHM2jkOX
CedUeG9OkTxQBYjuMg+QJYwEay9Hi+ptxI/2/XI7WX76CSnskcTAt4JIQtYLKpRY9YYV1QDUI5B3
xfiZ+TZ/7mtypBj1wU6K6cYh4H0Teq0i7ZAKwaZGKgKoTJjDATS1+2BLHyQDFhtCSwbTPtgJfpoJ
u+ojVdn3QQLLcQXtL767iwualNjJYd5M8KqAUfjX5JGEtyEKXpu0VfYKmdvVxz7K1VGP9JrqhkU7
0ySqE0M4ER5jG9ed6dYb06zy82joYRs5zM980Mp4yFSpH/o+vY9zNrEBQO8dtpoCpH8KmruyIGyD
KFuZIJ6PWJqeiwQJs5hUtTaQi1xhfOEQGNT7zHKaT0hPObN24bW3PNTarL0tB7gFRUfiRsxursqN
l1pa9qEPOrZvSfkhwmODvBjYT2IOb8MSPa7IhaQlFSVqhWaVPqdd5JAIKkLkQvmZNGSaNJ4tHgvF
WmCn/ZV0I85aZj4f7TDYcYOUo2XyrVR2XYiU2nExbeG3G6+eg6a5YtI6QeLPN6DFckAVaRQ99g6r
2Dkd+r6+xjfxLaO0CeQ5p9ofvNZ1H7ig5MCXnnWQTSsURQ7rrt2sg2EIx70x2mcxVBw9/IrdLqAw
eZJBbsVPND6iZJ2ieAX6gNSrJQ1ZROhSPSHPdSADSaXVaqrT/5RI46Z6Lx7a+v29vXqr/hcoNTjY
/EmpcVXOi1ZDd+8/QxW+/aPvag2HCHPbwyAvkaUxTpz/x0iwxb8s00IPKh2P/4Nl4N9qDVP8y6Fl
J+AnSJd9pf2TWsOSRJ/jGBaQBkAoOI77/89I4M/g88VxCyjU8h2bayHl+MnrLbzENcAlw/oQpsGc
XLqXnAyBO40wtPgbjdyigPu3LOT7tcA9AEcAsaQwtP96rbQHgImaYVgpvw+QFdSqJ7totKPP0H7Q
Dqg0rP7mkr97irk9xCgYqpSDLsZanuPPt+emKk9wOw2UiAdUv7i9KJJG8fGnd377/RZ+zoH/DzdG
AjxccJT+nk1p/derZJ7t6MDl/BuFfhEdPZQ5aymUS/Y3NCZ3NQBUK/7GpP+bxnF5cWoxLrsOh3uP
4fDrNaMsqzw0z0i3uolWgUO0N/jgOSFt0yPF9p/foI89CYyiz0NcBvHPj5Gkem1aqRpW5P1U1yDd
3S9OOeiDNvrq1MW17//Ne1vey89DBQklTm9c2y7DhO9ncW//NCwZkKIvU7wZ/RCdRTN9QuxWnbvO
/dAkRDvkhTxHHCb/fJe/D5blosoTXNHhmq747VuI2mAs4ahCq0xM0oNyOXISKbO/GSx/vQredpqU
aCmwb2Gq/vXW6GHkJAplSO/Mqr+OvSq+0o336c+38vvosF2CvpTEwLpgFKzfSRnjVNDPritgdxzd
nvwhnW5TS9J6Mrv88I8v5VkuH7Rvee5f76dxaHkmg0umeJjSfspy2LpUNqfhxR6ibv6bd7SMtF8H
hlKS+Uos0l4mkd+eHkh8jWe4WLItVHCgyho8017rnmudhFc5G60KTeko/uZj+/0D53EqCeLGx2on
JTCZX99Z2EqtK7h5K5Sp7R19h/GcKL+42NUS/kHqlvs34/8/DBJUfBZpvMIUTPHLf//T+MdjqRUF
KqIWAq04EtnBQXlg4//86v7zVVxfEqLnQDL57bOOXcdAd1LB87dovsJHCzejbwf//OFBL7FNVjHX
Zq2zfr2XIMM9Rh4vgY016PIydQ3OSbF3shAOf426Qt/++a7+OndA4bEgOrC02jA8fnt2Ez3ovAQk
uEJWjfPR71dq9jVb0+6lys2bRKEQbunE//mq/+GLAx1iY3BFR8lC8NtKgwzHyutinNGcT94W/Ga5
Kz3pE1Y/d09/vtRfXtsyR1nu4k1VwJW85af8NDjQEJFqvHR5Wfuaq2EO0fIUOvmnQ5AQZyFNG127
yR/yf3uMM/jWBLOXDZAynhDg5ca4qWgKP/zDm1lmKUSijPJvytXfbiYhsYYiJyjRSSIOlIOvWKGt
5p/ejM/Gw/PZcLFASza7vz4yOLx0Mx0Gua8TIOJYdvDUF97mz/fylzHAF4sfXEAoYifF0/v1KpOL
jI2gNV6Mo4xTnc7zrSIwcJ3IJtn9+VJ/GQPfLoWNVrGhskAp/3opMYbxNCTYDms3shd1aof8b6pi
z9r++ULLhPrLhOu7HhsWd5lrqf47vy2KSBW7srVmytOVDEzm9KnFSk0HwFhb2OVmMhcmiH6S8zE5
sA5OtpWC0jD+4/vFi8SXBZZI8Ap/5/LwvdpJGHveol+hvjEFaG/3lp1X5d/c71/fobQ8wGWS67lc
57fvmIZdHtYuPYgMTukuwmVGf2cmps2urMc/P9q/vkPYadJx0XBD7bCt36ZfOZONWuejWjX9XN14
BoEKJTaev5l+/8NVYK1xyACiYDLXLzf802wxFaGEsj2p1SKlJrEI8kvRDdHfPDbf/P3B4bjxaKdx
R5DWLE/9NiJd4NVz7wH7TcKoHbcAH/NmK4ZIf/FUG9QfjSWsjfQVzf5008ZVID0aIPDe92GTRsWD
rBsv31mj1kyfKKfLVW2RS7bB2ZrSj0vz+Yvn9jZZSsmU1u9BkBHOQU8OTRO2SFE/hFTFvV3Aalxv
5wRjA0WZ0EzrkxgRCtD0imxoJScqLLSpVpPZT4ASBzoJjn/NJB1OlDSsxI/v8EVQmBgaFZK2xnqm
+zt3DCZSz/ivodIWRWfeeV4MVtyskq5feVXqQ2FP3MnbTzb6pnNHm++DS+jv3gZgnq81d1fdBA4V
249RDTvnSjS5N68c2/eI/+0lNH8xla1/SFE+Fbez75ZovJBdpXdGQMF0ZzZINS7styeiUwqvG118
vUnl40Yd8pGQLpNuwclK3dLbttCE3PuyGQmRjmjM4CCeXXpjlMDrmF5MoO8ofaAwwkjCnOhiMp1X
0IpInupSVbk7gmSs4oVgplCcSqLO7CeLhGcAxCRbx9lbBh6JYqKimbCawyVUxhRul2/agmL6oXZ6
D5AVgE2krnIIlzRVFa6BuFrpBuJm/CSIlJqBV1QGVbIpcQjGBgcS3yLekU8qsrLpUC5N6COVLvsr
5pxRwMasiFki16IkCxkQGVq7Js6RTIxBF92FpLiX69yj5LwhmSYr2Ify1+8ioydY1EB9kaxsgk6I
U8+ozaxkl2ftdRoJ6Z+KyspuO93Z8nFyVDMdYXYUpLYRJTH4+RZ7YeKEG7SvYdtt6E1HxidkUR0J
oTNtn+a6Tpy8Pg/U8cmhNbCwfolzsitre1LB2q6yJlsVMudg5jBXl0izYmpSuzFHAPxQ4ceKP021
W9lIOws05OQyo/O2mwMaacMK0X+VYtG040okyjjUmT8QDaVD0X/xbeRzF6iaWfPe6aSuCvy/rT+H
O2eycfPmisDBBlDIuMVXa+oDP6L5nApVuHvasPGtyoWmfSkbKKhl3Brkc/ne2EFIKPLyVpuG2Toc
+Wy7/zwnQcJb7WoM5viVZ9l/EkNuFXtqzlm7sXyNQt4g1U8Cik1A3ftJjcKhxoOg1jU81ZFQZcSm
azzFOrwjUpKeIS3U3r8a6WU06KDy8ovio+oxVPENf87RvRD4amhw9nMokBOMgZHtBlX16mhHaJS2
Ex8P1NTI7a8Xu3x4HjvVZveIkaSzg1BoWeRfaG1tSTcNx81SHaQdik1kQhCV9hXpe9IhDRt2kNpH
CQQDYojkNw1exWNA30BQqiwDeTOmg/lhykq0sB5/Eo0s6VpU7r2IRiSCnb48tOhb4cLbYC7WTlNp
MtASBH2oQ730fW69mA1wlFlLm7t0zAP+qWL46KaObo4RJx7/QMmSIBtq/6FzS2DgIJ/xjHTx/SB8
gmClytSM1HOAKTtblEl3ftH6z9pt4ytRYY0nyysp34XZNSH+UT3xaSJdibfQXMtqO4RArR50rTKO
TqKkiYzzeXhD+EVNN0/L6LEcFtl3AbiSAiKf/3U6FkMN3hrPDDXh0k7WZuNYmDUkB/7DkEYm4gaC
D9H+8DW+lJ7RLM8sy+8aqDuCxIHMuE4JDntg4vcAE2PXD/doKJk1iCKHNRTlVfpYpZrauxXSbyL6
MCBxYga6UN1MKAsj3l8rm10T1y6Qetzyalu5SRXD38cis3NMmkswrJM6eAnZ1XB0L8EwXGxAffW1
OfjxEfOr5xxK002S9UQ3jM5a2KGSLzpsIzJj4VzjJh3kV62nCK6OaRbtmcxkXD4BkANrozskoReE
6zGiiCLL5GkezMZdhYPo/DWL+ESJuoUMs3Wsrp12gmoton1q5f0ahzLJmiZ6DmTlomxJnuVrMUEa
w1VbK0IQ2pPuwzoGu1S5+VZh70yOWlCtX+HZS6yntq0hto2eE/onwVI+rcYh5/g7UhRij0IwO8yr
gsLNlha794lpTYsrSSgCngw0I2s+lorcsThw03XklY732idZ76NMQqN4mmC/Q5yPTFRwIiL0Eara
zJ0MIX6lTUXLJlmT/OnOW792wpcpMCmlYSTBc4WsDuX0XHmofinOA3IPaRP+H+rOY0lyI93SrzIP
cL0NDjgcwCzuIgKhUsvKzNrAKhWEQ2vg6ecLdo81ybbpNi5mcY0rkkVGCsD9F+d8Z0FNVFMU1iQO
fhFwHSHETJd8QupXamr8wJmObPZaMgpBzzebajJuvO+5A36mSzs9ZiRx9KxtNa9inrfitiax/azm
ysZpk+deXId2xpbwIje2aMMlEOnM2aXabE/QRGOHI9meKmTUmH3DWCfZAJXGBAJ9KJZ3H2fluM0U
NtOdafFG7vCf+ch9Ldn5IaG43bCzrdzOj1ZRY59IbWDI1Vh3QIvtKbe3HLpIKbpo1C8+ARDlKUUI
As8jkegJq5JwXKL60uWeqR/7XN3VLMBbW9Q+4U5ZftkTQokaVHfqB16pEklHJ2lMOzIMs3P48wKJ
g+T3NfTqqr9P1tUQVo9Eht0carF00+BHIHSthIRMKtlKbEc3GTpOy9XVq83Vxytfrg5r1Kb1bKaO
jfOZeOeQITGx9aHMLDvoG9wEJDsUI6FV7cplELZ+VqKmXE35a2kVkoCaTf8T0saYqwDYyEVrtehP
gQFO+U6jq9h5MaSAG4fIQ3TsgT/7FEh5s2VIEkc4TF3bsnc1eq9sbyOdbO5irGLx7ZLkNVmOsV+w
TGqzcZwuG8RpDpYXwvq2nkX43LUx+WxvEJpmM1vIYgQHRLgcwPhMrShTEWvPxxV6J8iZBOzAJZzC
wFzW1BL9U5lhMuRNg5edXmgHjqC3EUmHUHhTudFsrftCoPA5Vc1a9fGVjdnf/WgnSgXuV7vx4pA1
eJNpgEdMgcy2Fo6qf1K22FXYrl0HjKeZoiiEDzUcUy7E7jBq1KLHNBZnZVZeRHgOaA5r9JUDZjxd
leOMG9esr41Y4uGizf0Ef0rRSqbCxOne445pYLIPARblQCSp2bOlGZZwRSdahQx+yH2j6MIVlzSZ
zY+/4Uew4zfjXvTIQAh0V31+T0bxuG50664vFekkoETiZmhCttDqAazMeIHM2km3NifUVRyxwIR/
1er+TE84x2NWuAN2Ux8F4+uAzOV1obflcbOD4ZxV3hPRHWBmPsdl4tdAxhOs9tYjhxcLo/5k1n9m
diL2Ig/Kcsh+AqgbMXxp8YzVKI7QZw+lAC6CCZVHvoz48qqFETlQWa4tVLvZa0SiORm3ImKHSA4A
WHanQwqzKWQ2/MILyQkyNMIGDG4XJOG0eTS9NBlsXo5hG01yLWv91GVrnu+wOw3EauWm1xukFqlF
gkncjqxY8d0dQfMRipnj0Xpyhe3AHBrZQ+8p+7w72IgaMXuezzEgmSR7tclLzba+O84OIKC8RLJS
R3iZcpYz7NFm/0FOmShCRfRHAyMsZs+ZJM34lffn8FegQryGWZNhPhvgjPBPHK9H/rgkHyTHMjJd
fYnShp5t+i79pX7RaaaPKoqopSwj6ZboBSoy55A9XpH0zbvqQsM/3zeEtyJGYgi6GUFkFhtNO/Rr
QrN9uZbY0HZ2jFh6N+duckcUcFE/n2l6ejsnHuLfZFiMFzbshfcY/C2xbxNt9N4yLCih1LsTeqOq
JHJmtBtuPbNk6z0y0piNMJfplSfGOL5IslI8Nzr2rOfatwk+alsz3q6Ncu5Ayp3DaRMlHtIsSMRO
W6PeBxjQrxoLKv6md5fG51Srq3dVxtUd6ZD9TIkNcwRZlW7WLbGyZFsXssyd83UQRQdbDdl8yjSN
xj0zj+krbsryO69H1yVUseP2TM95UGEg5/LXjKsO/5ul2rnbltG4EP5tYpdMtQ34GBhA7GVLjmke
nyrrLj1Om+ANPVzR3htLxCtfYmIGtAupb5lnVsKEaG1qGxgRNbbT2v1tUoqct1KgtMK5SgHEv/Gs
yPtRtPP6PHm8Xrs8L11ig8+5gYSmuO4rxorxSdEKnlFcXu+Eci0rn0cJqzPYM8Q3e0iq4+UMD2JG
Y7zShvC2pjx01qCTZd7Zqk++WiIgEFfgIfg1N93wmTU9unX4IUvJcyoAn9WiGTo6nhixFEdGeenq
KAEDCO2330ZloaMd8joq4LWwHVwkjvUD0kodc9jmFnnBZFMesxJe5q7JSXIslZMX/B5qjbmVSv0z
HpCfI7tNzGvt5g45R32Z702tUmdLakjw6s7IgO9so6eIzks7bv2ODGWcn/KCJdlPfrYLTgBQrETU
kacXARYa9HOCdNEgqBewaQQW4TSMHLhW6IfXVV0W3uA+KW0P82GmFMRHDqauD+4F44zssiQj2Avx
RwnEXuMZfYHh/AMzh+Jsw2+Sbrx+iFwaZZAaO4ZNFORVr2JIUk1Np4A40j260wpXuqHeRNYu5/Vp
xQT+Mwbq42wqY8lXf3H1Ndp5iUYl7bkq0kmPPyYU/x0vh9W4O544agfGp4TQ+piaKkJHmKFBs2tr
0BRtFhMH2dX4ZXU+lh9FADOGkECP/BBAc5PcDr135oVWw4yvOiDojQK0kJsJFdQvMSVtejWhhcVS
vPhee2D9idqQUmN4aLsiBfUq/PmmlF0R7HDMioBLvpkf1j6V5rCWI2lB0ygEOBkGRmc1gO/VPIbo
BTxvckdmEQyege1ZsrmpCFmn7PYRchPkLePXsvWrKExxA+NtdAv7SVS6KDlDKXaxQ+tz7Uag2iXZ
rPMceqvIflDyLRSgCXfoto1cXv5m8sgQQ3j5Gy1DFnDR/GCAmzKo9sOr4qnboKgZmfN40uSHmbu6
DnkuOQ6rOSCsQsRFEBP+nVlma4Y0/9lAlQRJsSjK7BVXy7No/PUW4Nb81eLd5y2f07a/mACoffJc
xs7OAaqefq8kwTUHi9pYXEQy7eVm6M/cRn9sZX7026EvD74XcHM20h+cPV2vZf0EuLYahJSZaSBz
9Os7yB7OHahD8i6P0qk6GbG2b4CnW4qmMW39Fp2xIbHxWiz+bBePyTIo3q9mWLLDBIXFH26s2l9I
3yL+SIYVAMz2g8FBVvy0Mj3KbdzKrkfEWjOm2jQZvTrGc9k0XHyTrcVrrqw0eWSp6JHsFNWr4T2F
I5B3D7kDkn7r6pmFCyFKaX0NNW76nmaD3G8pZ0JnObzplqERYX3xdHqFNzX6cskI+aa4Hd5qCHr2
yxjVQ/6dIeMb9xphPIksurJREHZ1VmFVj+vmYOd+nzzpnmU1U4Ame+nj/qE0ADVpIhCTwmpuL52y
ptjNkKLKwAU9Vbv2kZ/zz66QV03Z3paV+qbfxadZe2Tn2vNbFgDcLfw4OGhvukBsvXdELQ9+gW3U
SEDOH7GP6/7yv2pepciUZz1RK2SJ3DkVd3jDnG7n2lgDNxrZc7ZFDt8TveyTkrp4jGAPdje5t//l
V3PUtrR/NOglauC4yqyRRVE23AaDIx/pzIi3hr5FebpMfndXB4QnkRA1mOd/Pxf+l0mqB3+eYa2y
pLQc1/rTXBhggMuTqQUNSIZMghHldq6JN+ksMf/F4TCNIXsXdkhoCXTA3uyPw2H3LARe6ynaSJEa
pMPZHKp+mf/iyptPYSVisfJmLYI45k97kQ4vPULdTOC48NoLmqDyCmGL8x8+5TeZxe9XFXwMuHpG
6WzGHGXLP+2Gu7hvFWYh/BlkUEZ78ukoxKNR4Q2HGLHcpL0iHsaz6ClM3Ihnnwvv29IOpc9f/wVK
SzNwPy88lfenL2R0IyWF4BdIoTxsp94LtsLqLN4J8Y91xf8HPM7/NOWVfd7t/7+TaR6roU/+17/m
0/z2n/2DlAPXxnIchDKaLbqnzpvnv5NypP6b0pIFMRtB/7w//b+YHBA6ElUG9bvr4PhFqfRPTI7S
f0MewjrsLN9w6JXsvyK8AgBxXnz/83lF/0G15UtkSWftEGiePz0mKu1ceouzi1vLwg5ja2o2rp13
ZAgoapU3e1bMe0YBSvMqcawVh7DTYO4hct7tkOGgWSb0qhiaImyRGVb4tNUiSJhDB3SjVDb491Pj
BHGwcdc+jh6MUi0UwszKm53DzLA9roXODsZVlPP2VMseMk85JPSjWk3jI5wali+4zDhBt2jP14Hw
YYx5vyBYexNNOiF2Eod7JOJ72t11xjPQLvqn1ZmeRj/gu44PBhO8i3WpiZb51gmI6OaOJkJsxL9B
T0mlXGvSvmwVYJfzgSPfFlWRtwduZj97tGzhmgfQ33Xx3onOu3cxRVv37qAVYIXqbC1xCKYsQ1vO
xbgvxrqpjvnI1vJpWLzK7cJ09CsTBuNU5u8Fus7s2JOgt6rQ7qOqoJ9IGUGPVU9EAdBm4JLXbMTd
bA37Ajmfi4lyneIb6VMopVhwyWB9c3vQG8Acmr7+cnxWhPmmH0EtshepTBMGazFhY1QsWKJ64y5l
ZxOK3EhzXxMD1v4kLTXtblItGD0BVpnEqaidzP/2h64fjtD61+6L/gwoLT4NkyoSTUdAoeDEsdMQ
JZvrvnRIGoTxlcxhr9dqPZLhJb3v2cq1G6blKsU+qiREMvCwnP/zppd1EN+WExoNjUM805pvcAT/
iiGVLzblB5HmUDH4823e3ebDiJR6BMW6vooh6Knq8QkPM47LXMvup5plF72udjI3P5qehMs7ryl3
Ux6QrNClTw6qNdStjvkBu7k/sVUA5268V7Xo+lNWJsLyOo6vyF4J+YpZ/5wf3PsES+NWYbwOk2pi
IcXGQ9DkxjEugXme87ssrjznhXzaaHhrbJNPl659dmhbTjpZbIMskZ0rbjUQnzqMpXuWbwXF03mR
i+BXZRUOvHW9j0Rf7/mlCro3QmzgjwuXx9gJknwDDpYvhx0VFWpAM/6GbVBmp8Bl5F3+BouwmIub
1rqbRBDFZMz5mjmkpdNUn7eBahmu0iVNrUMq7Hl910oSUbpzZ3JVb0wGj+AW8p+xXzw4nm8mJ920
USIdaP6gGByqIB/3vGERRU9lH7J6cOpNz7CLbiPmr+sgT1p9Ycm0gl5jtWP/IP5R7fWszbKNVSEq
fuxNpcQrFtxufF+KIJg+YfkG/snSQD6OgnA2NGdgLezvFhhctZdiACyEf4oY4cRaBvgKszPk/S2d
atUfV9EVD4o+FOMV2HTJo9dQN67Y0ujTu9baAZNF5qA8zDnbYRHVmwChk4SZcWomIgNHx02NEOaC
qxszxRrwQ91MaOsJ6zbGPxLQAKEoUJ7Atl8wpgi8vgp2sV+5W4ZQTBZxp2RXZiGrfSOBPDmX0Yrj
4YibADJ4HFX4nEnG9u2dPVXF6wjDC9M2veQlXK/xDiyGyCk6Mzwebq3ybkPgY/mKJWL9QoQOFkWn
0DrB432C+GfLRsLPQ5H4ryuqzoeoc6lVwJI0JBsmkdhPdmcOhRHEdZKsamPI5fzkCxGAaDyLhKQm
lYe1GifgGilfGdOJ7m0OZo0ujgHkRxxN4gUSVHzb8//E1daluxxsw4Nb+vmhpiI5NKg6r0rQYk9x
Vkz34MQc+yLyum9taRYnUVqqfSPW+o2laPUMIhzvi0Xh/T3aMq8RhTBsp9k4s4ZSb6J67uVT7KwY
Fd1ypOjpHe/Vy22db+eBpi1dZr1re8ZYpNm3QGZT3/2hiLJcDyszfxY1+ZwBYLINVFy2rOHIDvk2
YZu9o8H3keFbbcSas3Pmr6Edn/tWj0wKprF8VTALnzgBbGT9SrAPKAphTgOZT58+i4ibFAFh6Ltl
HDqlvVwzlYh+wvNe5VVe9dNuHHI2Mb49Zbdek3n3/Jjnky4Ccj1rHOMbWfnDfvT5pjZlzLiH9Mp4
TLez5RAW3GBCONa2bl8mLvuYQaqtsUSNSj3kwtecil7yWlreeI0BW9AISvWkk659a61p2EuUS/tp
9tKHWtFCnAchx9Ej7dRP0k3i1E+WmZsb+DNTdLt0whxxX0gWvsxbt4ShLJdQXjR/3x+xsOPitKCB
HcFpWRfOZLnPrUzfVVOXF7igrkwSMObHO9r/kHXNSgrC37Wnhlu6p/yphl4TIlhgG4dPlsSBitFc
Gl31ILO27tC390M+VJfBei4F0KkUbylbxwtw3+Jh6hbDYr6qbq3IJKFtRPwWpCNe14J9MlYq8Z2v
tjVvUUaRQ1mLSt3PVtWYU72gv2UjrjUO0zGGfJSlV/k6fAOPumV9fCqbJnqLpH3nwV1/VA1ACMxn
6qURackAtb5BEnTdymY4ZUkNAktUhfXN3rVgVJhcMgazthJU5w8hLNSHMYGRZaFOQTxSLnTdBZHE
Fpas8wDdUVa1beaW7WmwTtHTHFTggvT6iWsMGyn4P5SuBU5Rk4EFm8p9WbbARVCbu/WptltD8gwc
I+BC/S05C/MlRY5/5EBFSrxm4lAUsfuDMkjon03Fwv9z1gvyCCsvmweTW+eBWt6sjONFWW6iLOpf
srRycI9idHty/aorwlFgoKxDL26DfgPd0LBujylKHuRqTd5bHsjxnUQhXYfdkizHNBtKZoLawvYi
v+t4gKLGIVd8AYNJb/xBYxMU2VvRkgws2VfQmpP0jtE8bi6dekxJfQhkOFpsbTazm3C+DHiES89q
rvMZoJmr03rvBX2/mcGtXRX14r/yZgggGmAnDnzxWGKqJMckTqn5Y84hWJxyeDRJOJC1qtn7psCq
vHZZPuYzAWwTjKRN3ZJM0hzitiaGZi7tXZW255XfBFkA4VS+7S09hpEeMUS1wg72WUcoCqQb0l7r
+tbOMj/e4aqOtiqp4hBs0LJsWqmKK3y7fD1xxhh0Wq/ALjfxvoDCeLVE2NLPk80DsWBVvdXCk3tQ
X+MuMkJA5SvsHKdxx3mKejCe9jM9164bnenKiZg8wFCsUcnFZvoMMlM+loYVMAE55nURo3pFItM/
zKhtcCJAbtuPuI1e/Lbrj9iUyv0MG4PIHOuIvIJk3Mzyr2uJQajSU7f3/DX/LCbbOQxGWcfETMzT
YGJzUDrFLdTDJHQ1CSFd3KUP46RK3KBC7kFKF882CQQXru3Kl8SrnwmgwTGH5PdQIaL6st0GXUvu
faHWMocxgKdPahxeooQdAtlED5QJHZcpMjx2bgHewa7x72zSXE7ZCgqrRclHYTfH3LVWdG2q7ivF
oC62PP9B6CrVPCDGqJyLDqls2A1D8YIZUIRVaeWHscqT94lK8pgsRHafbc7mmUwDcHwEK9wgQFA/
J+z+rFsKNW/oROZ8I2CTH/q5pjz1yiW5VVNLZq7MgFREHgKibdkbum6aN9zTwzxOWzezv8vUHU45
I1YszTN++8ljZbs1qQc6yTVgym0AJ+xkoWGfarNSNJRIbDHo2wp5TdGyxS982QFbaiNx4YPOqrfR
7A8H7Mb2c5ElMP7YR/dMDxlYb2AVqVdht+63q5f83W6G6ToNeqrFVbUAbkpyXgr0Nts2A8qx6fE6
/HIw/V9IgP8bvUbDvF1Itt/FTlSHjWgRhhU5EpBw0mtMSdfd5fakbsYCKQNUwmBX5EX/gHnDvekt
ybONNQzhQF4x3GRFOW0Ge0CnnANcv2BqbrWb3Gp5Ep3WQ5s699lgrtn6DduhxrdGtjrW91aMAh94
Aa9J2XkeRoirrxTDXOu64tnOw3KxW76lBQcJHAKHTpAndrphwmqe5nWyolAQzl1fEnDtHfGSOg8N
oYfHpjIquwBV6EVh76rueapJxtwwEZJbLGqLux3AONmo6Ay81qFbrtl4VOfBkckR0+ZWclwI2NpR
wrh3TjSKQxMr/eHakwWwylTDnc8xfFKLya6Ah8TvHjE63Sm22JfuDCqN3aRc2JnwmDm0DMDFbRpk
MzPfLG/XS7dy0+a3peA+8AbzxuaLIhAe0FM8d7yKFXXjJsHU8U3yTLFjYZSdBKfcC5tS2CSM7nZV
n42vLdqmW3zLaAN1S9SXo5HTtX0ibhF5xrdTT5bXlqF9/iNCyMe60Tkv/JCG3CgTDLskg3YKFZKl
TS8d6wYetHeD/mD6JSkpd0uj1cdYkcu3LTPXijZ5FmEE5lA8tVGjrnyly6cS58Cb58eU07Xq2VfP
dV8/1Aha9w36ksvF6q2f2sTdrswifbL6VtQsxNfoUyEXC2URTY++0073azkE6WbBM4hMAQNjaLm9
hF+QfgTog3+YkWHnwjboumcSgZyywFO7NE73IFW5HhlMDxnNvZddYdv1WSdDI6wFsvIJ1MpFo/11
CfF9vCRSRqe2H5fHJRLZl+6JsmaqjzeRRQ046T76cGNNJjkEoxtIAOZBcihy8aQD6Y10S+ghgpwH
bO5+VUEd4J+wIoSeQbfT0j+5cANAxRTxBbYiA+OAbx8pXN48+qqIfvZ9U1zbdUvDPQ3pVcJC99y3
Mc7Dh4nEzz3mZOdwgBDeMm/TwnV+shApLrWA1pk552xrp3rsVoqWzSxltQ+cjBAbzm92gU0G/HJi
aH9B4E2+ZXHstlS0bf4DCOrkbOOVC9orcwCbBT0h53ch74PY7l7KxusweVXLRAE/xEZtZRSv/BeT
Du5j+Fo1F22NbNrBT37KmJ5QVLPS38y+BSiOqqnckA+vSGps5/EXhnj1Oszd9FzLFSyhml3XRu0n
/R/ndJWRx2kOTv3g1gEBUk2ava+VFwTsEKjxUSka56SUaea9RY/XHSiVP3PUsCB6O/iQJG9h3Wr8
bwtJ2luX5lbHitEHw4UuinkSqMDV2vQ52ISsNe+d287zUwaXDhE0iik44lP8EkSLPnaz6h4ZfESg
UmYttpMdW+7JcRtDKEAbL8dpbl34J4ULja2wMEaHNjzNnZ8tbXkhXFWVm6kJpqtyILp0tzKBw0C9
OrAEIzQ4uHvcTx1bzYFs32zawVGAG+hRTW0nLxKhEbn1pdeFIQiqyN0ceAXSIjkas6c9Xacdz7hU
p1pPYx/Ovr1cMdjpYf3GTfFUcV3mWzayJMcvlkTZaNXN89yq1AfoXDL1CuIKHHJafAw9SeRI20CL
eJpIsmEM22ESH1ZXJPS9DqOA1ZkfkyxVVxSoTsh8iqyLwrZuBDGg9zJfS1z/CN38tvSuB3Txj15f
mhu+UxoxURikZ1YLRxEdBtBEmFHsJR1D+JhIdkW71jvu1YxgYUQ4u9Vdluumb9DTIsvmfKqyNN27
JMQ8IE6EbdCVebBLAPnDjwFRcacZ5ncIYyvXupYerjb2JOQ8UAzMjncxrNhxHlpCfZm7Nf2SXzLt
iP3QpDbe4XSGOMzK0hHOIwCIKr4TrH7o23iyJiRHNmFc+ksB7ijfBwQP8FHctunzsPfbOkXwi7bm
B/HM2j8OxiQZdoDIzNFr7w5+a/EU6kgc7GJMhiCs6dthEmcE5NxhbF/VCUyd6beIvWhkSAELosvE
HsHU+FbKpya96125c+1/T1mfBT9nIA8u2ao9hxPZIo5ur8ao8O7oHFT2bAJCNDboi9PupCo/8/fJ
UEVE3dHXRvdu5EQAc+gaAMNMHJX7tTd8ahoX7mdJr4ygg9ChTSW5mfGzlYhnt9Kjs0UkhyA4CBeX
nNZd5Hn8ezA8lnOfEGeVHzOSlZDQcY2xKVsDuYsHSKtqIg5hPxVcMw9sQMd1nxq7iA4Wb5N7PXZ+
v162xizq6Boi1I7MhwrvMkcqOhyceWUiefYhyOhB+C4f3glLwBDmG43Jho2X8RQHMNvuFpgv8D58
kyyw08/aDkTOZXHsO1uIOyihQXFAsh05G710dnUM1Kyjq9yaz1YS2ijrmVm65tgFlo1ME20z3DqP
LvEuWGc+d4WmMW//q/MWv4HCEsH6WJYrMa0l1bH6FSSSwCFCIOBQJkG8hn7UAdKShPptC9Iu/b22
6a1QDLI/AU1X6Duw6dNVNGhGzBF654R8sA3dSX5cVXTQk2gpkHoN0KVbi4MDPHyL4ou6oyg0Mcjo
kcbWip4ZY4D7sFqPgMlqOhXGlpd6WdtTNEQGrCRdPNRcsUvs9kMj1UV8OSAZDcCIp3ZzzfzVe3IL
v70dSQc0G4gbZ8Ehrdvt3JefgIGfZ2RrfJb/2i4FaNc1uCAH4wL2Z7QZgeRt3GCE4yChxI5n2m5j
IeKBspBtk56JVpInL+1KxTFmiNIyBBzshUS779Va7JokTg4JSI+jN7a0wooSDHHvxhj4wI6nd73f
FNvaXad9VIAtkUE/7BiMyzu3Q2d8phGhfhkJ7T253QiuNLUtw1Dl7KpSCJz9Uqa/kFP7e2L1eNFN
Bzxji2DSsa7Xds2OSe5dClimRyKoip0SybJvIF10vvsr1blXbgqO+PvYj+RhtGJz0pNCtbzgiOmN
rr+J80puOpoyWGh1kd/lq8/d1aCy8WEXXcthaN5YdsKs6mzyje3WQizHx/0E1kbf5JZOWPBOXcZp
M3/7ZVBtSpdQ242Gi3yIaqnfk4y40nXOf+RjH7+MtdAh3Yb34SDCe7eKlJElP9hXr6PuGLskfVzg
S23kLMcbKfNl17Ii2jIvK3dEFzJqGpHAokZu9xbqwr1VJy+6CtjG9xKd76ZFfbgFyRE/iEHXx06n
X8qU+pQ2y63DQHGDvvRZlgnCCQPV020QmakBXGUwR99qnLKTBJDxXkE43RYMxxu7+FxqEgNw2dWQ
O9yXQQOGkp6S0L2p1gV5tJej19Z3XjH/oqQX2zIfGXnw4iFdNPFdCrct1JJxbEhO5z012HvBS7th
L8ztM2d3Oesb9FLptJckGryuCMzKXa4gJtVp3TyaPkUml2Zz/rBWyz0sCgwO82DtVjHVpwKAe6jy
ct5UkSXDJU8lhG3zmCWF2ERNgNki4pU9AHWvf43GQk7iPCz98gxQGVEc0GwWvK/QiKpLWLrHFPjc
sTE8V5kzvZXoaK7TYbmIZkiZ2lHRRiW1OkRnpTV47uq6KP35giRF2g3qWlw4gr6nTuaNTF1JhmUZ
36RTT6C0L7+aoKecw6p+HgGjrNCNHk6e036g8GDKw5Drwmu8ZusTk1nl7EnsPsj3VkO9RULagbZR
hR1pMSHKzWlrd/qVM3R8G+rpQoFYB8XdjltnQHaxGxogDXBDumMfVBdLboPhS0hi46J3gJFH0p1w
v43Ore95iI4Tp3cLOigo4HRuZRJK3pfpkEc6vXSiSN84mse2XtMZoH6BxHPMX2or405tI/ls5RJR
tFiKkPVSeYGThSqlIFO5ccvnNtavccuTaVJ0crlTcnx78qWwV7Xll3Xu2DK4YGm+MA1LOzLA6GBf
gFx/VDppQlNoWjSliwO1QLEb09K9UuUgPkFRio20q3Rbg9XHm1E914Zf6YwdxkdJRO2HucS+ICbb
Z8bSxC/EJlL7zUO3Tz2HTR60M8LOdPE2sj/ctWKZw3gs/G2Nja6ncczce1Sq06HH3YDPOK7PF8ES
f9KIUmvY5DfPhrORc7DmOYb0eDEx+91ESAQGEzU/ZIs5wIsZXGfRzEsJkProyRRAjuNB3bViVx+H
eDjQzSDOSHpSs1gQLtOuPKNHCz1cMBzkDE/gZpZ5d7+QuH7J77D8UlhaGDDghdsgnnlWA6RhLBDm
CdcWSwoBtJZvLSvYLzAc/hY95XTVDdWzvVhpOCjjMzRhdRQWeTJtV8sZ+H6lmNR1W/PIniAA/JyZ
IZ8EsVyAoBROrN0Mq4bkZgT8qIvsR83yMCzk/J7YIljDAcF8tosQ1jvhQHJnTdqE0tVh8mznApND
/xIxSb2sFi7L1E/qe7bb5daI1KNEZ5QGRX2C84676hcDDIpoYQ60PPLaJvb8eY2yZe+sJQ9tk34i
ZItDhlL3EohoLwyMYCpFvUXbtIbgQuMQfQqDbNxxG8jVPeGokympQRDZI1b6SLNewCS0UBJ2qW5i
qqXW1JtG5RmxzmeBGPEGDITB5WzxBmqq2sK+RVQOCmpQHVrigakQkF948pqk3qWtpz1RQ5xBWW6P
+3qB05dYuXUslc8mD4H017AC2PfmnMm7tVymnRS3nNf6sCxczRSrpEH6kfWklYM8bZnG698JDO7+
vpn/Pebjj7ocF/GKR4QObH/ShJWEEfFHsUxTkE3jkOS7MfZ4pEPbm2VAm78s3l90K/uOhSpAov5R
wJlIV/rjBxGUPRkPYNO2dUrVXBQ6tedLOMvSCv/9d/QnqzzfBgZvTyrXkZaLbOZPZleMUFgICefZ
OWxTvV01en22YbsSvY0VtSNy+BrfPgTh5AkesTv+B/6APP/E/qmA8M+fj1HfsfG+ushl9Nm7+jtv
6tT4QUTmZbpLSwGoNWIMS9pKinCBSDqn3PvCC+pX9BPZeG0RC3ZnrTWTBlioEfG8RiQEwdZWcC37
gcDY3342f0lZ8wSKryr+jCn6mP/3R1UvbRon/X9fpx/MjKrv/t/+qf9B2VSgE373EP1LNtXlV7n8
IZrqtz//D9iR/BsyMl4SgCCOkl6Acu3vghtCq5B7QBHQgMeQabk8Cf/Q3Lh/sxC/gNagEvUsD+Hb
7yQ3f/OUhU7mDDzAwRyo4C9Jbv74uEHhwUZnoalxbLAQtM5/EtZFiYBkUMp3VhcMYF5nmc065bzs
++k1mPPafQiiHj2GGIfsK1gW4ICoCWdxFVUimjjz/VUEB4AMwxJvTST75e13P8r/eML8/QsEbxIA
b4FRwCHzx/fBjr2qjszwOSdaVjsH52+xdYsckqWch9r7D6/fn53hZ6Hc/2HvzHbrRtIt/S7nnglG
BMdb7kGTNdqWJd8Qmsx5CDI4Pn1/dHZV20ofuwt91cBBAoVKpC1qc3OIWP9a35KeUgGePILbwbu7
n/U0+ZChyKMsgfzh9Gt531Ircfv7z/Sro0B2sF0eaaFCT/r5M6XpUiic9jlxCM1Zq/L+rKz98er3
R3n3JPtu+gMxEsJ38DEy+pvX6ocnSWA3YeJLIBitqCCKtpN9Fc4p9VSem1wUqRXCGm7fHLDUf/h4
P78U/nYbQv3ALuZJjGHvaSOMX8Z+wlaKJxRj9yKW6axjGHwUS6f/fiLxOEneml9cHdtj/4en5d+f
0aH4zQMyQobq3Zlc67l19drlkStyImkGQl+66qfJWr/ZCof478/oPz4YFswNo8ILD0gKHJCfz2hY
ZcxvbEbsxZJ8MY6matHBmOTBzPv9gbZf+6ePFbAKCnB3UD4nsOttv8gPXx0ubliUmpl6LARsjpyu
htqZnAMUVMZE9lRfwPFfrn9/0H9clVuyxgYkRGMnBthwe1T8cNDYGbe9ENnwYur86rBO7fBN0GlZ
/OEs/vI4EEHc7S3rC/sdpmvEgAgdkOOsTDwfEJ22eFqbP//+04h/XBp8HOGRo+AfXGDvCWSEWxc8
BgEFI7kZoJeiQuRgJk+yhIBt51yWSbMvc+ek72I0v+6Uy4WA+Xi22s3lsuH7RdewP1n/gOL51acH
wAPHSNobNuzdNURZPZE+Ym3IJW59RgYXiO8I4Pf3n/4XVyr+SeBdgk8O8efdd2lDAQ9Gh3NcTd0E
UF9svmy3x7tE5nghzv37w/3qXOP+BFvjb68T9e5wTsjgOchpc6NBDjOQE3wVY3CBVnKeuM1/Sl7j
I4EV8iABYjnFn/3uDEJzQCXQHGxyqvq0Wm1zi/nLYQ1qKXmIpdZ/upT+eTtK7kJ4JLwoRcBB390Z
LhuNSXA7juGkr3JcUL0IzkMsebuCwIgN9988ZCFB5J55KWGDvYL/4o9bf59hkusk/LZLnd+nVIX9
4dT/83piqQilEH83+C+xuXN/vGvx0/g+v3MaseXDLjBN9k6ylT77/Rf8z+uJo+Af33iNWHPfc+BE
nKXgwJiL6N72losZai4tPTmZw5Mkzkia/P5w31k9Pz8AOZ7HrCuEB8n3/O4BqCbSsbWLXtUyEkBB
GD18Wc2aFt8cxkITUcokecjdhAS71fWUSWqS9F/sNHeCfUc84A/bnF+dZCCG24IL97T3HnZmBipo
qo6PXzHx7E+ncR3m03lRifzDB//Tgd69z5p8SF1gyemWFSlB36j0IET3p6fDdr2+P7u8nIHFETuB
pfnumpGGhIg3cnZrev3EvqsVSSsDI/5+miEJb9yGaTkjV9zRN6Wb9E+Pi19dTfiaCVngKefh9O7b
bUTpL7A1eI/6Fi4unofHClwvefPROv39laTeWcp5/G1vAb4zIR2Oyb/8fIPY8AZg5qbgdpOp16el
AH0Ld4TRAA9HDHL7IQvCT5KEqLfFfon8yHkrqlodV4SvIhbB56yKa5yMaqrJ7PAqaVawCo2FjfqZ
9b2uX7o0GRh6d0yFMhpNUuzFrLfI0RU5Lu9H07IrPrfKHiNDa9N1vusnyRAY/ZAM4dCVC1Vjc8aL
p570RgJIzBrXJ3bXgrqMkmCCUE1qj0ZxyCfrVdpiY9kNhE0DBNyxM8cQ0wRK/OwZMPTdrE4qxiDW
jiaN7DWhK4oq8t5KvAvVgELZB6IyiF+TKYqTPmxRBkxVNx6T/0XRhZc18IuNPZvqpAuDTp9zn7tf
WRCp6kPRlZ08qej6g6esScoukaPGiYAg3hwEJdAXbCkSqJ+ZnOJLzLJ+Um7IGZynF6D1oRI85m2N
nYriSzjwIZOBagyp3CGjaqXYaLtN1d10aCTMJjZPjlbmBgU9u/WD1scv0le0Q+W4dMELZU677GHg
rx9JvOvkxKaaz8caUhdfR1NVrx0+gTGC/kw5FXHmvNrRRx7eFKsf06+UC97+zL9o2ONuozo0bb3g
TJRA6A+gNzJvn0FizfbORHEBNGGVPY6WZ3fkiVlEpVQ1LIo+VNaB3YM9OZqO0KS0HnsFlsSn3424
MfplSDMF0VlEi3hK2NNHTG2dmyTMauJnVUeCuKxZZtFrPufeHoRjebKCVWmhGpiljRTl508aSDPV
Ek5MPrApLJESdy+z9iKFfXTvMKQZjngpKtoI59g5TUgoxwSrm0qRXgBKyi1eVMIGYtDSIDcEHqHA
nDa+uxQSAoxssQQwAHV4W8G6cY8r0MrC8HrFR7LvJtmWzIAnXGOXud9YbhhhT+oQ2kmhJT0HpieH
K86fOpwlgnRkbUx7azXlaOGrZwAJPIi+pS1h4n+q1TrbdxNtbT0TFDyHJ60j1jKMQpOM9f1MUnTf
UlNifyyCmYbHQNYWevdM3jI5d5zGquFRj15vZWc5r6rsjB1N7Z1WcL6hl8PrqE4gRdo3lJXkzxMG
o/Symaka39djmTExs8rgKhV9STELmwTi5yDvoL0Loctdn6wg7oHWxuTMlj59c5eSsAcK/xweypo9
FqZ7l0ZQoFewCSh8XsOoCUcqYXk+eDGMDTr+dqE0NphbvQKz8uqa7i2QGtuPFA6W17zJOXWDFgzJ
pJodCILAqhgZBEaSwKDG9UNuzRQj6XALA45OCDkcS3N/zV4OB3jrI0RCC+jwhWh/636nuqEk81Jv
XUN1wjQlbkvCgn2tKHIpqkwsuzjFArUj8Ui+osrM+iRCJi7lIpzpMKdjeZYlcHz3I0HEYi9sq31M
p2kKHwt6ZfovTpyXxJllXLzoMhDcBWvngWtPnDq8aLrGVedB57f+Qfh+RVPl1soSdWWlcECaUhx1
i9UkUuGsLYyQdv6SBrj1TirgMqeSXUd9aPMuoYPJL/CDc5aoKO4xq+ojqwB8lynCikdUuaJtmk0J
jqgg7yu1a71MX/X43R/KcMi/NcaLg93UM07eMWrzFR5tUT0UdCRW0VTJNt0xpOApoVLVp4cB1Pj3
JpK52FmmqQyGocK9S4a69HYlETg8hCsjuBnDV6N245Kk5UVdkvb5aDzBMHXH9FM7J1KmNVgHy6Sd
OPbkILrDMMIdiqZpzq6tFeceYdUaV+o9RpgkKE5Z9G9IMp0NXcu3CNBrMObNz2O3o92vdY2OMDaL
dOFa7LjDBtbyww1+Y3lGsU7zdUpysXkZ3Drf+/hMivO0cZ2aJ045L4c6Q6wnwe2FTAOQS6uJAAwb
EXBHJyFCfaH/Xhv+R6rg/53k9/9b3i5g+fXfx+1Onp6b+kfG+fbH/1b9hPOXix9dwMfdMuOhZNHx
t+oX/OXbkuQWC/YQiCTrkX+rfvIvxQac8a5n21BTt1XRv+rokQrZkyMeBhtwGmFF/Cei38/LL1bw
6PUeRiNg0qiS/LSfV0TO1j8Fao9IsM5vCYjjucm89sDmRf1Bgvr5SIENHROZcnPgsKkHWf1u7WVa
fwFfguVHwKciD4XhdFzh4KSYZ3449b8Qgt4tnP8+EmRAj4/mILci2P64DaLwQlezS5tGqmMEE0gs
HS7v/e8P8ouPQwie72wjjKKsvVMuEpfVUOeTHcx8+lXCJrnuF1ZfWIIRu/5wqGDbM/+wSLd9GDFU
8wZgRiXqnf9uKxCrNoVXVRxULGn6hjiq48tQVxn8ibkMeMq7cESiZO29Q5mMeA8ho2L60xll2dEQ
80LYreNs5L6tEzA9ATlFiqlYHVKRUJhm/RgOma0O8QJOgvdJLeVVkvbFdTEp2Z0YWq9ftIjxWrnu
MOMXa/zmS+jGS4Whb67FFTUP/EeZaO8b8TrAdr3NUu4I3NH9lq2ZhfuNXFp+u1SaA4vMEq8bWxmz
u5JNAX9pcrE/t2UYnONY8GA6SCbdVzaugs+DGfnZW76zxd9VYSPoOuO/+GFNuRZBG9oq5iKEzVYU
/vI49/b4kMI0ynch5tKUd8+Ykzjg3cvKy1fsH1NXYxTx7f6tLqYK0oc9L8+0Xc1fZqzn31heupfY
fSe4UCod7uYZ4/SxSGSCsXKLMe3CPnMfAjB17Q4+ifXcD9r/jBZdfKY9vesi+EoiiCRBASwHYZUP
DzilgOLssT2YhyqYhus1aDjTdVC0Xx1f1nc08ZQJ9S9T/qGyRICfz/FXipD70Dx0blk8Y7HOnrlr
hqd0CV3yemvjqV3cSNa0hHn6J18gUGPn5puB0IIZmAbUivU9Cg81PEZPj5L70mU3gCN2t/oqeEwY
lF9J1Ye3XZeMOSdT0TcNz7P4MstgwU9czNfE31NG34MpPtZDJ/WuLirnXoyzxWicpvLnLAzNlzku
p3tdWHEQZd6SvbiKyEuPJlyCuDLTZVdMM5LIjK0vKiga+xCQ92KGOpZVzyZqtt/saeudh1LHCmwT
DCmT6ZJbmWBDZ7LAloXUVjAWJ5Rni3OdNcz4CV5aH+CRAQcltcAgfA4Jre6nyq1vjR1S0F6uHU13
Q7dIn8VvUm+s67VabzF6Jzd1JcavxeSnVKXMiX8XMNF6GLxsUzZMSiNBpwNwswv8FBPpwZ5YZNHB
TZsprcUEDQz4to2F3770umfdN2X+8ECtC3Vk0p/US9EYFFrtpTAFvXjWKddfw3zbzq0Coqo9OgBW
PFZ35bxWdzVR2Q8x8Uq5Y7HnNJjUyBNApS0WmHQZ8Y0Su6si8+oS12njkrus5IjlgcYXYqNpTxrX
+l6ujHVhwm+xDePBiK2fCx774b6zvfR1cEpG4GlPB1OltHcrO6YGu6b0wdDwy1DQV3dhd2tDgpEX
ZEuoijaFKNoD6S6uf7tlUsIKVMEIDZ3KfexZfL8ExCRuFjaYDfv3lusm7BOWG1luQ3Fx2SrSDANf
B/dTM48PxH9pFoQz0L/MXEB3KpcPDfVqw64ww8Qabl7eKCfiShp0XEzberUpCULGUOlYoQ97iH2w
bTDADtYe55lzz87U/0rEIUALGtSkabfxu+os9OL6CdZoYkW9p0Db2LhJ82PS9BDAsPgBfktTjBgQ
QeC6RT1i6CU2eUb5tmNN1/y96rOycv6AsPO52p5pc7WHCAhzFYvFwxzOuJTChnTJfs5iCz9gGab9
AZtJeStXF9iWpAbiLuEDFEdsQbTptOR/PABZxd6JE+0fe8+BLkGSM5+Pys3cdlcvFASejD2OFfqv
JCQRItjs1j0xPYrapQ5XVNguaJoNpnKHkUDyMCub4salStQ5lURcAeK3doBhacawa7tddW7K0m6i
rMEuss8yNJwZDqBB/uX57ENsoyj2bMGAqg6j8Osp6qeZqlyxaPemG6uG2cPaZS8OVyuYIImtHqpo
UFYkWAdUApg0SOQ4VtPHsgW8fT4j172x13CdQ+Lm441DI/eIAbJs5Q7/+vxx8Bz2kYxy4BtVOerU
KVyScI4Iq4cZIMsFTaIQ0FhjBBqUABvo2V6Rv7J2vWXEaVgnMoQtRJfmvvXJ1NVwstj9+P64x95h
v8Ff0g4QY8dm1+17pyqAnYspSFY2yXOjTq1V6rPCIWyw08JLP4xd6oJWi52LZXA3B0UZPsMo6r6K
YCYQS4sUAbypM8klO+z+ygAIUCehSJrx0ASZVjuUnizbEw/PPlt+az9PTTbfOXj+KlhwYOROmt5k
N1UdE35wyKC8tDBTvySYPpHbJrjau3gkYIznfuxICXu+ft5Yi4dyCFS9p+uweaaberptOnqWnarD
3FgSroCVZdPjPcujBJL0MvHzMUDizZY7LLZDd0otSXC9QHjiOk86XjJwmNnZTn7df4rxa9+FlTsT
rqNQ5bVwYhKToiXEju9errx2fZ5feK/bjgZoROddAuU62S2TzdunkwbriRFpd4Zj33rWnA1DUaag
mXZU/noKT5QBMsDwbF+HvXs9CzYkh3To7VOXoioXwSfUH5PR958yTcvHLl7H6bJ1PCQLy5HGPSiT
V2e8e3t0Jrb/CFI5HXV2KIhKkAwniC14geQA28yJEiOXE25eEr5BmwOxWYqE7qol4wmQdSOqSY2f
9xo0H4m6Bg2Nd4qErblrdagfXS6+4uivTXm7MB3/ltqqvRp4UXAdcfcReEcl/SrNdn8AyRw8NscJ
YWDfU/UXeN/ZVy8n4YEI51qnTpu4x0xVcb+3OjU5O7bbtLDZmGAHot2h9xkBkmSxDaqaktrF2TCz
HUPso78MsooYWPG5JlaTYQTet/uwwDhsiEqrrOFJhAmZc2oMb+XDiOU4JZ432eNtXbpNcUtqtBwv
eqGJoZ9pOKe30tcTPi6JPLAjyN9D/HGTEsJR7OrnsYAbba2QWIOgo9llXvFWol+k2bybbBkUWy8r
EbMOPG/BhdMIdTBTNgIckLI5GQJU1Yt5CRkOEsGiejXQyQoAyfe7T23GuhOdg/npxrMzNwY8a3oI
sBKftjW65wGptSeMzoiujjoQV7gfIZA91xbkpj0JO/s8tzSD6ylFvtg5BdV910RUtOJFAsFaYmkl
pDkSoCAk5+fyxkiPNVFPJokizFUGHzp0wPGYGW+T1BL8FFdkCstlv8w9C7thFl55Rap+fgJ/DPrT
5b1YEqVQ5LgJZI6vnXRiVpAg+DD5GWVklEI0hLrqb78zXoeAVrtwxEOYrGY8d+amfx3WcUH9BXDZ
RUViiWonMD5mUdJ3PaV6oT2iEvQeRrXZ8Ay2cZaf0TwPK6GafCh/Vuq2+nZFAusvzajy8BD2sQoJ
E9gjAA/C9xCs0DOLfTnSrREJdO9nH/AuSNS1K5xDXIYSb1Ln9rm6zkwpjwO5wPWsWsaCGwOg4d5Z
M1OfK1JkVncoCCpVxyyOM8EjR47OaewlhhxfT2fTsPNVslZ72oIH70mkLP/ptmUTwnuZrlDvGWlX
EXNMKcoAkZYUoXOpAwfDqojL9oECTXJGi93n9j3zmLl9yhgT6ZsCy6R/00pGv6wsEt7BrOu84u37
7ul/JIn/Ehua57/XJK6y5K3Lnn5UJb7/jX/LEts0kOWXHYJs+W6X+FuWkH95fE+MVBmdsnl2hfy3
LCHUX0Hgeux6NyOTou7n37qE8xcIK0aw2Ia2PTE2pv9ElvC+1978ny0vwgQio+NirmDMakP8erfl
9fHVgughIsjit51PFnvO6TuXjR2erSUp5CumCdxQ85gV6SVMQGP2uDjpRAZrx/6po9IVnqf0uk8+
+VFkjYL08zXBeMqGLcKSkptx0HZw3hoBGDeCZyTLhr9R8H4VfUvhtq5omT8W0u/yU39xcneHH7nx
LtmNMFldkmYrYcjswY0qYy0iajyYTLtxzlnkU81AlstjdQ1YmOUZUSm4HJeOS4P0amVom8RrSTWj
GS2XTh9uNQBE9HYslhc2hgCe+XmVAzfUmYitwgBM/PbUQVmsIodt67qjrjzP2MTnCNqLNyMUkr5k
p2KQP9RRjV7jHTzUP5qs2a8sW697+RD6hbxyUqehbpod53W3mvApFYH70CQmeG1jGXa7fnFBxKZd
PxYRtBPhPcQkjasviSCLw7tvmqvLRcKOOZ/Gohwh2tOtsB8IQwZnuOSX5iOlz54h9bVO8lAQ8iG8
0hIHB4SSMv3OyTrdIzUp8dFloLheAr4bPrBcB3iijFXSYZGh3J6XOtb9dd/HdnkGoC4wUevJ4gLP
Fnv5hjUqkX1yQEcdBilAkxHb2j1Bz9E5TpgqqtOePQcFu57OFQJrr5+7pWbqthIKfEk94uA7Wy7O
PftF82gzg3QPAiwuLzTdwg+iDPmFtHPT7YFjTj0xvAJDuy3Y90e01rGQDIKku8hd19pof8PiHrvc
82m4hlzFq37xRvxxQ6VIvgl+rRO392bEC8ijp6axrNd0tMg4z1OWXYi4T+8sk/XfKDT8bDK4QGzS
hA0V3gQt8dY8yD4OxMozTlChj2UpZsW8j5kWwWupvshmRj0mZk+6yV9c925w2DwQ+hh442fsQNsI
NBEZ+VhOPRGauZofZpDj9g78bf0ijZXBXFUGk/3queuthpTE7yZERueIaoKawdRIzBDycfeWEsx6
IaZfX2PZE88ZDpPyyKaKTeGARMEOh4LOgv/Npq9IAFJH9mCjI5FrHVqmKRQzRMNcr0+O5dKHq9yN
2qjhwuJ+aQKzB5bCYClINQVfKQXNDTGiTuHftzcrPnAvNkV2TPtwBPlKrA9lkcQv1YQlmU7TRkJz
DWBbc+lWbf+RnYKT7v04xAAzGlnciNyVd/HSFh+EtZp4n3aF/ar1KNdjknnbPg83/+Yn8G6NZ8KH
xvdLmOEtPIEzEhOmOUtBYl9rIpZFVJXQIbnlfKL1ROWTN9kvNul8pAPgHOUECRr2AP1Qrmrofonh
NH2eiDNhQ5fpOnzOmzJ5HPLt+wlLdvnRYkRg771l2gL5WSmhnngz6+lUMZNjabRBjoK8+myz9k5I
1+XL/bpMKr0eq77zuA69objrZtZRe2VTer+PgzU5dZBC6WZGTjaHhIheeQClCppi0A14GWWRw48a
7RFArDOnzKIwrpI+KgYqoyILvGO7d2oSZft2zFP7mNUJW8ikKbZPB/Sj2VtOM0Ich5Jx2YONRtjA
UgnwaQ3aeM+2MvaOC1jkR8v2m8fK0ZJF8LSNYy0tk4msUkZJEzsdKOHlkBhQr8SHr8u+np5J/nUX
DLlXOoxDtyb7vrQzyxJsa3dcsDMLCyahW8Wjk0IUImJe7jM3RG1rueFqsnKrQURwBlKpixeQmvX9
tk2v49ROz7piQPJYpZ/cZboiz0oVznCspeaZrB2+gmApLbwBCRr5Zbx6dXNhILhS37LkCY0GvIMG
9Cw3r45BXJmQYH1VfyXeyUUxZMlckyUI/bs+tmL61lov9fal4X3HZT1nj3CwQFtRiMtmPeRW++Q4
numjFRfceVxJ0SN4BC4wcqdlAcrT1CYBZJcQNBYtXSL2VoVeN4vS0uBem6wHBiCr+6xPYzASxgaZ
Q0KKkR8Ur/ZeAsUCaT/A0onGzK7TXVmj4KSQnJNd2cTZvvPyNT3Qu0hLIKt353UOM1tHvOvzx8Bl
WlefOVPvTtM9ijI3dOQx5nqdMAywT1qzIpJi9c9gqVfE0jJZbDxUmpNnz/0srWx9ZF3ZvWB7IkZL
44P3KvrBommose37uaGrMFJ913xzEjc9mVe/uWCWv37NhBwuQyhLTZTGjQqjFtZIs0dHJnCe6UYQ
tFrFF9jACZYcvynCiLi2/xBrNZG7CuV6V1Cn860goXKOJzvLdh0lCsTac2aDKaWr146knTvKmV6w
I0XiBJal04bkRTqKM3fwuWaGqWB+v3LToIUwLUTrQZX5xNJ+g+x2xCGjMnaMPjp50g57Z+4mhAe3
sC/TUlPgCnOGgbFulbNDF1qCWxK0gilzhl3lqmdGnuwsvB0LW6i8rkLBO37M1BPzSpPyF1cjhgvC
5NV8g35JxDeS3jQE2PsJd3/wYLXRn8MDNK4/eSXFS/spyBkCAq2dY3LGFhpBFCaVDZDWckv7toMv
Tm7IYTC7BzsPdaTwFOzbRgfMNU3qdZG/5uIFDMM0vQrSgvpDU8Yl/lNgeDyZGLJm+2Uiirv9zYVe
yyVVzzge8mmnbPauJFA9tk17DTot3q+zseOzflgGkoSrAUENrbDOP5llrHFexrmdnwL8SFALPJ7y
Yle5CycmpDyNr33tx/jr4Di9OmB3xSBC433AFgTyy+jQXUDpj66PneuO9psueIxFFsY9+2TxcpK3
e1wXjkEapHku+BBmJl6+mXC2i6ueBwQRU8Vm9JKMd9NdxjYQurM0LMTqHirWFnSBrzbYl2PKsNm/
SAqQCWSAkoZ6hNEpk+ems7pwz97Q5mvK3QpYmBPzi8p0iOnyiIcNL1jNiXJeh9kM5XlSjEtxs1kn
113Hcto6qXtt7HNEyFHv7IVr97TUlvaOmpFHueMyZeKsVi8T9z372ewE3ZClMBeyO3/GWFITz3fd
CcU/x+7oP4aTEHB7kITQ+of4m42A5J3UdPksPCWKhV6N2CZhKlcu5j28MjhGgR59c1qXXbGcbYV1
w26xx6zfeUzezXXOg6e8SCGtvFksoy+DOfa/wrGxfSBgS5EdRdf38kQFY7gc0ORqyXxB4GNtXC9x
CXSCieekjc1VG/SWOmCAsttdg/U8+WDxwcqdbymEh4Cl9hx1uBqeeSZkw9El982lLgic7RI1jcG1
obwXqllQquZAQq3UrNaGhBoyrJ7DgQSP/U0ru2AFj6eG9TemBXXwBsm+njB9EZMRJSDFGmQ0uNGH
yuki7c7cbzEGizZqeW9+xqAS8n+Voz81DqvpI6hMYDvdRKp3B0ABFlzrZ/ld2y3pt1p6gErYhKOA
hrMD1ayNQa3gCXXh6tQU00RNhxKPIOGhvHchOta5SBNOcefb6RdLtBvC3EvojDGqw5VUu0PBUkUX
dnqjhi4ZzmoXLZHl7QLEzJlKxBAINQtDmcnK69Nwalp/V9AUArJhGIr6EhIYol1TBlpeFGGzlJy8
DnDCOPiw3xBjJmtvwTEUkY8O4B6cZmXOUfDDyr096DTeGTo5kNXaha0/QtXi76c8nSjB6cPpZbRW
colrnzZvSZuBVtAxDsVnjCbO0u2hUrK5WPoM5+vqib5Zd5AZqEmkTcN4HcCa0QyzjkAatmI8su0I
3RLrQiLdOCLwZsUHkiVGMs6rff864Jkfn681/sMrRP05/+K70zzENDEBnN7g9CRnPrH0zPE3JV1b
mf9tkPwf/eC/4Kf8Vj94qrLnn/WD73/jb/1Aun8x92afjs0YvfWHMJMQf5FVQ1Gw2bpvWUCm2f8C
CEMWDtGj2LlsnlOEbywP/zI2yID/tgVtYLcgMvw/NrdjgeYfghP4hkMbMPHPJoBW8ktj+k8iD/vM
bT+br71wm4NXBPL4w1n5hd2AIMvP43lBOA/wMcQo5TGgd97n9HqNbNptM1cbvyB1LpM+TjaHzstq
tujiimc3cssJfKwzeFf2WNIOSM3eRx8v6VNrFNgwe2IPNMDCCSq3OB0dJmes5ZaoTOVbaDEgadv5
Cys4oGRDb91kgzR70pHyhsCx86gQIT82QYOdzcKSMLvhoXfHt6VDM8bXql6YuONRipMH0BNwUL1W
cWKYWCfsXWImdo4VZB4TCG+83jAZo9TmDQJIAZXS9Z8D5oAnWeiwBeO9HTkzBVPjso2fNSn81a9o
URg6REewNa8LFD+EDxpOqrEjtYz+rj922l9yGrOcELPVAqmTGKVJ3takAIusaGulCr5HdFauAXaY
VSqxOvOxok2vEAe/SgDbfAxTTyFVnFJaQ+fcXg2uU+pze5M16d6ZmwX8vT8H1vSAOEEMKJ1yRpb0
ASr3ugtVeDMWYnhhKObTw8ajP9uVdq2e+lmL+ZDYg3NGfIkiJwfYLI09vbEeN6jP7VrFzevgNdkd
48qQ7DZMRWc/ip5hRz4t7lezai+EDlixa6UMgHMuJvJW59Sw+A9LU7PtBla2IpRM9nxOitlLeGV6
8ekaj/1nuFICWb3zMu8crJLGdKftHC9tCueGSjATlAyy7Iw9fp+bcwtUuw0kbeRyS4BUhudNi8kn
AmFfFLgdhsE9JBUaBFTAkK1Z3blaY+pVNC63OknP/aG11h2FTGhLxdrV96jUiznyGcyn3HZ5STnh
Ao0dYcv7RndVQxS/HIEIJoY6rZ0IUiq0cDuguLDc99DrbaS6SC12Sj9K4asvtLhgGQgFu+JooALs
bYw3IzPVmPI1aGl/OAn9PvwCZBV3cCHJe0cqJwezG1kOjWAXu5ASuQylqPKBGUeKoEy/Y0TBldsg
Ab7ktBRdO3as0Wb6YNZHHzSeJoHdiO1PG/1KxQPRrNGHk3SwaoZY+6lg47SXRKnG49iFNDXd9mZa
eC7wUFra/q3oAoQC1tvTo1Na3zslrfmcqFCxHtSWRI+YczOCSq1S6APdD7RHakx5zSnaY/Xk5Qpm
YpfCQSyVmM1xEdSW4v9Qtj4EBTL6RvphHW552Rzv2TIkt8rNgxeuiQwmEyoXJ7fcCkhsHw4kDwxs
KV1qpc4B2QIjBSv6jr7CIeBpwuVT4ci0rY8SPFCwJ2bjXK+CRjpuUTzHOyefV3kSorIxOlmS6bYa
M8+P4DADVEAnZQG4OMrc53Qofu7rWvpnBpUST0EXuODCfItC13lyMyKCNCxQLbL5ZSBsQFTLsuFQ
1+GwnJpq9PTminE3ZPoo8xtwT9Orz0Zu3rGFQvZMmzpGzKKx9gb9MHugbXZIHphoqNdZuMOLKE15
18VppfbNxJKOteBI9QwzmxhBa6Tt8ahdlWKDZbUCirXKD5qA/01Mj54X9e2Q6oNwq2xlV5B0d8SF
gi3lGPIYKUIKDApafuA9VJbTngOYaef9EMPuAudLL8/BruZmuLadBbNNSGOGH411DKo6UNmQHrs0
65qDnHRKS1Y8+pKcz+q2Z1oJLgoGZIpRtHEbqHM5LoahDKTaTTIcaWp0qKujnHO7kaRjJx8WvWQs
uMIJ3NdaMwRHdrC19QmjU/Ji6LWTEVo4mz1vDseLIqvgYjcseh+YLlO5R1HvyA4joMEDLoQF4AGv
Uh986QsXF5ZN9OeDO2zBJxClgBIBZo73NaairZVPLOayDN0q+drMiWvemPLV1Tc91uv83KAiV3Te
au1CrBfMq+8YCDnBbd+41gpiErLlskTpGGz8vrK1p4+hNSXZ1VJnAs8s3DGc03XVS1xWLl4NBlsB
0bBiqwlqLHWC+SafrjnPApB7YDUZu2tvBPKj+PnxKdP6YrhIoHPxkWanLBFN4RzF6hsumRYwk/K2
xtHejBaMvsZ3F//YaGVBa8kh72e7yhoEMKrEEEFm4Ieb8fMU2qw/d1jXq+DeX5YtUtsmub5rtTOp
PU0ycj0FNdkAWYEfVB4mpUceJVAxefjhr8/Ok4zGtFO3lI5/Y0GT0fTRyYZ3KC/a4aESadGc2LV0
1Ek85AUNNHFGtcyifZIIHs4UJhMV+Q3nrui5O07rohv8M2S2EBZMtRQif1WT0OGXpfeMTaM7ZroS
3len85cVldJ8agdvlJdL5aO1u24rsJhULK8xHE2Nn35oQbfTUju2VfwZktI6MohzxvRE4iau+O37
bj0U/4u9M9uxU9m69LvUPUe0AUhVJdWC1WbfOu0blE476SEIep6+Pnx2qexl/06d+/9yy95m0QUx
5xzjG1o53owjw+stYo00uWL9Hcfv3aKXWcjQt3TuRoYdl4i+U+diXJpxAP2SWCZXSEzVPaHNWndK
kki8ScMGCaPVhKJuaW5D3+zY//e3/WyZXx2DPMx3WgpR8mrbRtlf2TDJ40tCHV3zmDOQz/QNcxtm
IyPLqO5if6NNt+dRmbJhK5WtwGcmdrzYJ32Zv01OaSMVowXuY3a9FprGdoFdSmmGapZ+xpq6OIce
NUgfZGVb2GE9E8SJkA1EwpSx44ic+ODYMPpMUX0e8wbkU1Q6cpsuRbrFf1dcs2eY3p1aL7Zzx7JF
E01rd7C4F95kj2A1LA03+CSSnQnQg5w+UtQ2hibtLamMzRG1JsFLuoWgIGocWm2zPA5DvTxTZTOK
7w0TlXXXJIHZEoI9k0FLxpLtaFewfry9MhH9ixTSh+851x6N4kq67sGSMHkNox13Q+t+k3M+HJKu
IzJTZyWhwy13ZBbGu6ybvi291tHNLUy0neBhNmPdf2qwEtz6BPEGmZsYByXs7KUak+jzlJdUXZwr
zUdI4D43uWDKg6TH5CNnzmwytYJmf+y6zU5kzoG2hrm1XdHNYVv2Jg+01C2d4XwsQiK6oQW5i/bm
R+Irj0l7OxHmElidS/9B2f2VsvqRKZpmtqxWhdomVr/cznVBT2oW8tSIxtkbTqe90bC99JKJFpGW
lyHAQO0mEmaCGKPJwZjM6oGiumZ64faaziqmsr3XJu99Zfchu7ma72RlZyHmGfCxk9IC0y6e8SQh
xJswaI3M6O6h6g8hU0732Ci0UFlSlQ8ymuYrBJrNVUdReUQywean1NEGzLEOUsVnyCPYPnV1JE9z
yxODiJo5EtLF9NLozIepQ4/KREeGVpw4QaSBzcKp1ZDRVsUvvLwKzHXPSMkk5TelD3MF9FG+V/Uc
3UVz666tBWQGhnWb+NWTKSvawZmmHYoOOtbslAdyeYcNO+OQfzlVoHDqfu+m+vxcwIlrdolvf3HY
4lLti+lI+kjM/l0vCJWm1V86YQe7/bX3I/fWmvisuyhvrhgSlXtpjM/upMrP8wB7bES7dSISi2ZD
2dTfGt8E7NR2DFuIiTxWSfHgN/SOk5EfHnaM0jYo96ptZmEMonGJRC6AoP7kp02XbmxJN4CJp8i2
VibUO7IMpiW2if66d2o/pI+oV5s2J6J8sq0Ud59GWjjqDtCUdpV13xd6VSGxx9q2ob/AJ8R4yXLH
pcYpnFDLc+cI9wnIfmeN+tbs5v49a5IhDn6Ucv9d6/+Pv1b6/6f4TSnA3/9HJwC0BNMtvgVQ9o5r
mgzi/60T0Lx/0VBDX++h6Bc8r4I/+qfQt9x/USwBJFmJQJAtVpPwP3W+sZb5wBMozDFQ64Jq+X//
z18gD+3Zf/8CHfpBkPhJKGC6vhC4CnBR8CJ7joda4We1PxSaiKSc9FSPWoOdX+mtbV8N+uTkA/Ss
2cR5g2Q0MqhAdGvtVO1jf6GQIZrEcamWpT9qHTpof9Y/l1AqLAgBcOj7NnSH1orLdTI++e7Wt9OZ
aYhOB7hUr1jmDP3OddldUab0czqaX2gksqn6TAnwQwtFwsnILi9xEvvJTQEIhQXQ+OnBaiunRKXc
O0OIENkZtt6C124jvaq56JI1KxRL2ZDsmIwsD/Oa5xEi2oqvRd5hnTDsvKSbCZeCTI56SL7Flkcf
tM4yBlrUr5q8JK9DJz/WNtfAPxhjOEYnRAcH16vQ+TYMDbqrudK0Qgtsu3Ka7LMNLnBCwETNSdKh
2Yvs2a7NRm+3bMhG40GTM1+uNret+Krpy/GxgFTcrnqE3L9twGrp24TMcXqgwCz03dj1Aju+J1dl
9tDlO7hV/JYiYccPtAsP2KZhkFaGfW05NqXuLA+ThCWzQVVKIOG6EzL2xmyvqRSQjoa9baGWQufY
kX2987xJ9MOuo0mpDDqrZLH02xIkSLycSFcgjG+TddLWT4WTTkdPMPNA6Weor5g/gZFRNbdQJdMy
6VG5YnBeElLCCxHPRUi+KN3sE0NjuNqBja1tepgpRuLbUvFnuygGVss2nrWeNXxB0IjVqmrKa91P
SSTqpEKPS98CowvsGHawmDZ7XTuUlA/EKA/l4AWlSereZiStXR5IpYZdieK9yXe5mFyixGvKEyh1
kFNCMmSa8RQvor1uHHrne72fbJD3/DvTYeyE490Z7IZmolTxMhMWtGIG2oFIrQBErGPgP5yrJyHo
YgBfyD7LnHZCkCClfBKLPplBlrvydsEIyfQ2rrtLEkjUFaMcz9u4aQTgx4dtThXP7LIPFxMW0QaN
RPXceUNCvyShwKKHnFWQXWi9QOqLbf0yykz4ukU2TXWoJy2ofIHpoCD0nbCdsK2FdiM0UMaY6UZI
itg1Ifo5skhepkyiGOnSktAceow0jQncpmxyqrGNdhQR7RvT1tjAzaLVOY9rqd0amOQqYqVjcN1F
pfvtbso0AwwqO/gvWFAJem1E7OsIU0dGArGGIyLwvKgZCFyESLFx47RHzFEmKPjqjH0aWkOXaKUF
p+FryzFfhqnU3nMv6wSNCiNOmZmZuEaTckSCHYNHUhvV4lPeNXGV3ft12fdh7pEgcFlPE6Joul/G
xm/WQTTFPrYXS/b+qwbtDvhglVjNTlOsmNAla7V3dCKgty7JLs+IOV2D1n5LncPbulxUaM1fceea
iJ0rQyf9lAPz4I7ge8Bgn/J0AUSTV6tOYAOLX7CjM7Hx75ce9uZG92XnvSbeUPr0kZZywEGs15gw
EBbM2D8he7fikXCrTL+hvm6LOzB4DoJ4cGtVGfo+Rup6q7yij17HYRwmAp6iTgMIm7IVSr5NDasE
LxZO0QAUJipwwpsh9zk3ZMLkkx06NB6sQ0yKdv6pRULO9EIzEWpredeqh0mblbOl0I7SC3fp6/xL
ksOxJ7sEBDyMTtppRaiwUq9Lrj0AnDvyfrJ6/8j6nb3t5Jt1GU4tA8vxVHKQlUyuWkr5gIaTndKg
tDX3JJEayWe6AMLek/yTkLIDa5OMEhTH+bxJMfXPL+XoWNUdDmx/2Bidn480DSPPlsfJNDr3k5sC
lDmsSy8Oot7TUmjU2cC89BtxzGtUwbiQNQeiEpc4ak5zsnYYrNkpErAODDzD5ZqH1lhSseskjMlj
V1Xea5elJqhIWMQPAymXJHsYvX1nE3k+3s5TabwmC4PkEBxPnuIsnQZja+WGmbwYWLrbHW7lHt23
OeI4STS9T8Kkd8bi2oNbP+57It/tR9/rlcfIRwBqHu0xfhBmbzwWNAnQ6Xpz6xF5NFFTcAQ8VK7H
MIkenRXTA+hcUMgRgiX0SBreImThJHo30hyxTGBNaHghawllkBr6TqI5AUislvFpQHSndkzHmvSY
Yx/GND4OvGAIrdJoaxIZ2oa2mQ9rfIPCNhwaDtP7I64G3+ZBUjpCEaSoxudIFZV3yIgk19YpKBhT
fNyN2rfs3At6rDkhS6RFrFoLQSTyZqQ8rnd9pCFjSSqc+Bg+6uI+KdLMCR07hW+LmC1GC8CnIyBe
NY4PFe785ujmtfHIdMOw6cZqlrgyWhuhtjFIz9pbVrG8s19tCAKOlPGF5xjthdem8JmrMk7im34w
SGhL6e9nJzAx8gq4w/wEMxOFecF1hGQ+gARDv+P5SbcCNhF7JAmygQ2Dz4L2Z6k8gK5NDSc9zRTu
36pICD2JwdLYhLSYQG8pZ3QCYUVn64EobZA0hT4MD5nIuo7l3zbee48JxCbVCroe9IhbDMG9nGwK
tdi9LbJh7ZSVpArsmikeHpnaM0lFpVw9DJkSX8jkQ43dOIKs7S4jJodJfMU9cidpRNvYFpa57m5E
ss3ZA97LStHuK0xcZ1vLU9PXxYwqD1tCZN0Zk6TYgMXg1VtsHXQkBrN1oeyz71E3frnwIQ/pYhj2
CSn+RFSg37Rtvu08I/Ii1PCiHJ8m1BfEMRp19LaAHqgxA7TxY2f4s3FBOE1aXXeDbPq3enLHdyx4
3NIhWTO8igIUYlj0wsEMaRNLuNHZyPhB5jTOAS6uI/dtqTrgsxng2oAAb6O4i4ji0A65k6buzhtq
dn5LJUR9YwCTHnZAAyZ3I9qq2VHLNm0YpbQneIfxboAGmXTkPzPc0bIukP3n5dg3Qe2J+BUDo05T
PldKHWJVa7RdfTv/LM1l7m7IJnPlPWOfTj1oidYSk2LV6p2Am6XZ2pVJknU69rN+ykcvLXayNCs3
oEc5ii3ZCXDDZ78tslNKnID/mlYTMR6dNRv17UJz2tymGv6wF8DFbXFrenrWP6yimQhh3FiqgQTm
rVZKtgLAtj0l66nfi5rTaHl3Naun3bfpoOqkxNUMMNLbS+yV2XusOSC3if5x6T7NBuSFBQ3NgrKr
7q4xpywWjFwyXcBBufDQsdOg1AcYzF9hlL3QYLLwnrBDJ2HxoJB1XfGFTeCjtw2lPPKA5NNS5Pkd
uytEUG5sMbYmWdDTj4yKrbXLOM8yGIRpE1uEgSGYHOSoQa4LGkiTz+45aHvpvcooAW7i1Z1NBjjS
3YzNVcm0gQ/ceOUOg7rpib6iURQZwyu7lnnapUlSOMEy280XF4vYI7QFpvQRXZg7eKDmFNY4zPD2
GeUCGyOrl8+siA2EbT/Ry23mqmhH0Atf4tLiuu6sNHFf0rHQEb8xCcM61o7aajrSs3fgD4PcS0R8
JSIuWz1PZFt2uEZqIiiTAl77DrFp+s6UhIWhbwgA38Cg8LwD8zkJXZZx7FfmlCPWl56BXqDian6o
yxombZH11jfS7FwKIMpwiWNFKoZfNao2GqYp33eMQXUZJIlYDnE5xCoQlT0U+1zXjJRvSK4YY5k4
IhFgwhfVFPkjAY13+7VLsW5mUYQKuKZRo7ZZkbFNtTWUCJuiFoNgDKVB9/nvOr2bj9/+1/9Ya+j/
WtK/jWfZ/SzoX//6v+t0S/zLY7ax5uUCUkLeRMX9j57f/hdEUehyrGmQy/DO/v8y3UDrbziOR5rv
/+OO/lOmm2vdb+PLgaD2T3F/Vpb/rUz/lTLl0iYXfHJhmK78MdM5N7B72oz30BZxMHo2yVvWgYXx
JFHaZQ1pvkW7a9LHny7MH6byNCx+ssz/c0R/jQnnvOlNIDT4uS0gV4uMIu0ryF3vwtLrfRml/+4W
/dKL+Ln38CMx++fWw4+z8oUDuxM9K0yDX49B8gUhsYBvAhlmR9SEhRmK9+iUHtLNzbT5zpluevGm
NifEwf8GbfzXx/5Vc/Dj/Oi9oM3j7tk63Zdfjz0X2PRUFaEpRlNJJG0E4kTICynkJl5p9fp1adZB
Ob///bKepYhzXChWPGUOPVBXuLZ3ds5ECcxJrnPcqkP7F9V7TRnXdexdCGsLiW1LCXdnFs7eE1/+
fmSe7F9vKGDPFcdMY4PS7wdW9+cb2jE7iufZzIPaJldrGhRTYxdj8jA8EmQFNhtD4Qc3+LenlkOy
iJpcYtNA2HH2DKUDmkFIenxB5Py1nabhxGSWkWav3Q66+6Toft23ZfYRFPMPh/U5JmHtDiRTwzw7
rD4NjVunKBHqBbrLZjTMrznhw9toyo9jPtIMOtkY7d7+fn1/e2Ho15kkeoMBpqf2241tDA+fyBxn
DNpRWgY9cdef5sIrp4/kMr/fRx4gc0XrrsIZa73PP6FFRUwqWdtU+F2Z16Df3WG5oQytLhhTfwTO
+O1Qjg5RTugueiLWxLNnVcS4UJ2GjJHK7Tbpcj2ZLDbLBwf5/bqtB2G8BigYDLN/dj6SbnltaOSK
g9jHZUh4I86UYfv3m8MSffbwcxAHr4RFKDu6prODlBOQrB4fYEDgZbTTBhTA00L8Hj2/8D8/0goD
pN/gghsxzo4UZz46z37mMWDozboddDW5lZ72wQn96arBm+ZTZZs8B87Z8uXWmWebkgS22EweXUc9
NIX84BDGH4/BW4RAlFtjnV80iHq91CfuzNAa5CZGlnlbgDA8DKp+YAhKFu7o4w82iK+yNJ+AWp+0
KbPqdXAcAx2kqcMuMaG0/OCH/eF38ZJxedduNa3ws0s8pVDjdRp+QU49Rc+QxLpdWXvR/X98J2nI
8Vya2Png3p4tI3BErBgcZhYsDrlUyGZbjUYPI+S/H+b3ryDEcPYJfN4x/wns3b++0J0uja5FdB5A
hfhKtua0i7vsUfcZ3Og5mUIgCb77bi0+o0DApFYLZlqoddtT6uj5JSmz6QG1inNs4Kn0bm+9d71F
/wR5BtrrXv/295+7Xtxfvtn8WsSHwE7AqsNbP3vwQMfZBbBlrsr8UEzf3Oi6CMy72Xr6+2F+fH9/
O47toHI3XAQP4mztAao20CS2iJodBJXvMO7oyE7XXh0RNFrhrWOP3uKy2MyMCegrTgqhPtGsCm3H
ftZy3Ht60Xyw9v7+ZWFriD9z3fR5AJ/ObhV+KBPdLyVRrcWBRwLFLWKT17w79M6xK0ftUDUMc/9+
JZw/XHCLERKvIHtM/7dFWCsrvioGEe02EQojarYkrU5R3Z3+fpzzt0qwCeJ1MtcvJ63P8w1RZmim
QSZYFkjIHTd+soJfRrP94Cji7GzOj7L+ip++XkteRxYOdt5dvOJk2sQuhdQiLsi5abZFqfoP7tj5
1Ts/3vrnPx2PcXQaDwNn5agr27hYmmcyzv5+4f54COBcPggyD2LW2ZMqar1Xnc8hfNCB1LOll25q
4sL+fhRjfbZ+fiE4E5u0At4HMjtQ+J49e2aO1yqrsMuAHhgvYQYIsn/k9HkgaOta11X72rYt5rKl
2eBOvEWtCxW87pf2gx9yvgD8+B2Grrvre4Bg9+x0J0iHVYttIYjbhEmKw4Cdkn6T0I7rTH3YZoQZ
fXDqfz6kxSbdQ3emny/4njNadPWZ6tiE++5tupJ3JQbITSQQrS/pkD1Ere+Ecx7ZYWPhn7Q0c0fw
z21uwI3Vs+ulag6We2cYonnEdv8fkdncFaeEs8xj/aY8W5ndvz5jzkKQaIrNOMBu3L7hncl3tU+w
JP2mSXxw9f/wsP1yrPX9+ul5bjyrdky6UcHcpJhMrG9i9ne0OT44pfUm/vaw/XRKZ59YnX5hgvkS
jlbsY5OqJKORCCKKfTP76f1sJnhg6/6VRK4i/PvN/sMyhIp5rZzZq7F3PzsyNrjO0SzagI7Q4Owo
kV8o0/tosfv9beKzslIFKYbW0zzPwOHjiMA8XeOgy2RCMF0eZsq+VeYTMKvDiRw/YTg9+FF1Gvpk
z0T6g4Xpt0KQrTtPjtBNDP/488+THaAjYTjzbBpucfzN7ezrwioedHiTaH6TG0N1j3pvhuTObkwV
Hf9+kX97is6OffbEdvXg63k7kA1qvY2Mr7AXojbyPnhWV9DBr0/R2WHOHlZDjnUz0kYImnHekit3
cLX0taPFshGmPAka3Zi5jk3RHy1Xw31Tralm7UcxQL+tHuuvACDjOWvx7ZwXGDmSRjrd3Oouz24R
vZzo4241I3uwimgb1XBi/n5x/3S8dR1A1sHKIOyzi0v8PJEkk0MjHCEsS8Z+mqpQ8EwJZzchbv/7
0f54kZGVcHbYNEwKqV9XhEQbhraNuZfN6B8SmZ4SZ7jDVnwi2+nOyPwrKRR+1MW9lGlkbiRMGNKw
Plqjz3dG69Ps2jrUCeiKtnm+M2LYNYJ5MxpC3hCYPXatyRq1aK17o+UN/dgKWZt8KGyrbnZTMUjn
/u+X4bdlg0LYo9dG827VzZyHZ1U4RJeuY1OYL+MlVxm+nEj+ww7KWmzzAQIpQUODduDZF5hYXNzx
k64CIuk/Q3IMYpncep1/L/T6BVvkBxu/P57ST4db366flvqRee2SxJkKMg1C+JI3p2noH/5+2dY3
8Jd1/uyUznbzE5J9mg0LSg23dzZiVOFYudsBqva6JnxwQgaf6vPjURgTsMB6Sx+Kz+bZuxE5mkc3
PgEcJRrYCe1sGqHTG5p67xdBPjRebE/DnK7l0XaFET7UlJ7OphO9Y20kcRAzPncUOQIFQiZvvBi8
2acEl3dxnWYGFHBcoBm84A461YO5uNN1MRray1zp7oW1YAj90hJpmoQM/eqbEccPEyEZoc8nuA9T
qNF6/SFXjbr13LmU3ysvNW8ifVD5k28sQHg0ki0vx8m/h13kbVtXc59cTy/vRjMZvcvUbEfvMEPP
+Ix/sq337djWd0rHgIowFTeDWIbpWR/NgS3J4s14MMryOAmk4XpjRu8pH9YXsCLyCq20e00YPKxQ
REsHO8/fHaclwbjNJ38k3dRAWsiYJ0bXTAZj0Clbz9GXEw2+nxkypEHFfp6IvgoNCrz4/LXIPbVL
fcM8Ibt2x+3grH4TuBnDiy59ck3bqLqMTPDaOH3lok5Dl1q3eZftCrNLLkZSz09kog27AuwQ9acS
cDLxvxwczDWXulHZdz7BleGcLQ8CdON1k1bdcVwSYjywhuxa/ABRk1XR0WgRQEZmnWzHsUq6g4Zs
A06BUyDE7/oa/W5vd2Fppe6NQst920W5XOVJpbXruaOhMWtL/xBHlfnkdFML4WVJpRNOnuOXRxS6
ywXARTCZjVly4cotsJAeFqlq4OPBILwdy/k02lkHfLTfwJlo9qXM3RdRF+270jv8tYNiXh2bQFeW
MNHn5racECLxZDIkL4iQXT0gAK5J1daTCgt+gzbUmU+mPkJUK2zxTcLjzhgCYc/JliKEUyK27uLK
FpFtbF035crRAKu+Rrl3N0hadAMe7fLV0Zm669w0MnbjgutsV6LGh1GDmarerWGCRZB5t/XaV6oh
hcUkqKJets2ganT7ExnGX10rFZ8zMjwvjXaUKDbWH5jmCKxrIY9p7S5GgOH9aErzHSGtghs7JozY
EETIGKC96yNnzp+yCYmMkPXRIzSUjq19HyVklrWQTMBAai9MCW/mmnvMwgQmYbYeF0vVAaoNeXIl
bFb+EqotYhJPav3g41XwLlZCt0Pct3mT+tDklrqeg4VA5S0DX2OXGcMNtkiYGGI2DmNJbV+MF8XU
bAEWPRZWM2CpxdkTEFVC22sYNo01pV/QvKab1ilJ4IyaNwudMwqaQl5BhFhObJ3ym4I37BumVxzj
GJHsU6S+YIW6oDFnjFBHqth/caGrjlF5U3TLU+m8yGg79sb4hJ9fr+4IPprqrTf21a4q0v6QtD7K
by2v8odRY2Cz0Y3GfOj1d3sxcQAjxMXuFHpF8hmJ+Gus8ZhNBpIWV4N3z63vHnNaWxdt1hZPbWSn
odEQYEmPPMlPHUtbM2Dy6LVm12vCfGtTTezSpvWPKMwMdxujEtRz40qhpo+LDi/z+APt8R1z8kVb
OCdCz3fjLLdL1/ICwTJLPLAs2wGhdgzDbkGmbDCt9Lr6OR4KGQrTMDd4XHDdZWqbMkKlkvX4/8dl
byfJwfbabbVg68dWgJX1i9ObuzkjkZ0PRLGku8GuIG32n5BCh3qWcrgMpWbRfeuBoNQUKYfWEFsS
WLdi6g+yP2RY+vGSwuKAlDlEIR+CzVDXY3cYpLA+NaMxrVLmF9Yx9E+IMk76HJ8odhVV5vIO3T+w
U6g+snCfOzkN12CDyIUFYbFhwjzJHZlYxldDB9nHXPtG47k42cperjC2o+hKMwuzkLdQOA1x3761
WfPmxc7dohfFwctEzNQfD/qNtLEQDVpmqK2ovAcr5k63jp3cZP0Cucobl2XXq6i5BwW6cL8tlAr1
bOq3plEUMCrt/CvW/eg4zNE3rwWzXMaDeNYBbR4WK4GCFV12ifZcOfZLVg+BRHUAydS7hYc4bd0W
nde8NLfIcJv7RoPAD+CT5RWwHwyfZmp4nuLeB7CBzKQ8qXmyiZygQWhMK7YZowgwHJfvw1JEnzoQ
UwE4hqzYllUzTqeIwmYPkJHEXl7vaNH6d7uU5DVnczonj1VXzbdwAKa9ppXaZSxIGd4vLYnxXUXa
XTh7i4fEsiT5yzZPvHLxpefVKJcUs7yWfneSoY7qPJAfhvHW9tMnnUAVeWKgYKO7GqM3350xsUcT
eU+L49wWTPip2EtcDrm8Tq163rOtDbVpCqkXQiC+Jw9hYaHkFpFIYKalTYpAEvSynQ4pw/tuQ4qb
Q/uv9+qAEGj9U1ZUNYaYolL2PcIc67sykEwKOfZb9rBbXYkrS0+uaJHs26jdLi4pu8gXmut0uE5b
WnrI3ALUVvWxKGxFnjp9F3OTieZezao/FYkaQeJaKXjb0ctePDxYxalNyLvZ2A6OmQSz/UbNxG3w
QvOKosky1VE5ANYs9YzTxDk5JCRtenxQ5EkjCfAvsJdh96dDseFhJsG4a2Ek4bQia5wgJdRXyyEZ
4+WRDIOaE0Qs8bQoEpQw3HC0oPVERZoJ5NAo7pFLj8ZbrFvVGxCBoQ1qQ76wUr3ShJY0zTu7Df3J
n+9iUxsPiyib6wIOihuuTso0aIGZX2tWUeLGjVfNSYyGD/ngnJuAOrwaa60R4X2YtPpqcmc9JLoi
e9JyVY+bcsimA4gTF0hFOSIj0R2VHszG7VuEFX58TZKP96Uhknc/+c7i80lxpjgksAML2mgQ4RIO
qd84ATjOT6iaAwRML60rMS0XmguOe5guO1M7Ipl7mDyj/pK6TrcvbMwdUmgGwiIgO8hgx/G6FOV8
m1RoN1Ld/2RlXXMlXe0wVfWYhFPilHtX5sR5gDm+MdBYg9ZnpdbgFiNWi8plA7Ba7vBgPUEUZtrR
jFIP58bPrjps1ITUkJ0VmzUblIgMdXjlzUF2VQIexEHOMs/X1dR62UHE1iHxYFZaMTA6jwLlthu9
DmD1lL1B9a9CvfJHj5bRhHIq2rtDfYHLp7mvSf8JCZpowy6x80PZJ8ll5Y3HDryqQasx3gK0+ayy
/jiCH4E+lN/BXXlEKdneYGH5VGopwSyVtcN32dIZnDDcKJqTGoCc8iVeuCoXBaA6tDNodVjTomtU
6u4B3Ai6suTBy506LOee/eGQD8TegNa7t4xhINqQdwlHoeZqsLfs+wybJeZcTT/Zc60uQK+2L8U8
3ceFcWcBh9dmaw+bs4sPAHw2UdFtEYiCRgapL17zEdL+NlKWRUYMvKRbK+Vj00VHhSz3Nu1qgDjo
8CMfkF+lvo5J1XzqIk8BEbH1m6atUOy1i3zsF3kxa0OpMMPK+zRFA252oG3zjnTtWubvS6Lv+0hN
L1K65L1AVknRV9nPiZNNoaObr26ffi/LZbpEcxpLUNBOdFJuf5Vm5riHrW3twfvjc8rTZ8uqa9KA
eswI8Ik20QAduB+LC6Tizk1cZObecfBe2gPb8XZOr2Ndv+yUufUXgw+b244PDcr5MEsntIGadMOs
Tl+FSgKBv/NduYJmAWSjm7L3ToKsAumJHcVpIJhl232t7buM/UDRWPXlaFjVYSA/Zye8pD0QBlfx
HfZU6GsuytqRZQA3FEQZUQZ1IhDDArHCtXrlFgj8AP0CRXEmclv8nPp2lMRrYV1tzOHCcoY6CSYV
7cUk4OkZ3fuE6bkB0KfQP+FrLve51ZFY61KUvPUxIrXRGc2AzM0Rqjg7ISeNvyKjXpMUMKkCQb33
/fpLBWF2O2A5KC8bpcgQmvW54wVI8qPqjf6qkWyycPBNN76qAPE7cqp3mY/sVvQ64NY012MGZPQL
wa0l+CANkD8oQA92ynqKLlI1wUp0ejdxPx8V9ojtkDUZmVGxm3T4sFhVS1/RmIKaujVzgIRworKt
kbZfq5mBZxeln3I/GjYZxLkdFAYW8ZyUqF2hekDhLmxkBhlYzep8eq5seG1EKl3HU/5em726g+BY
IVob/eImTflMHjqW0SRIwVYugdHRhgkFyuWYNHSzel1G329OVM1RfDEsmNouMUjMS83G3qrKVUfp
kx68SjQoMckL7A0SaoI06socgk2PXRzUdNVgOOCb2V3lZecypoog+uMVI9CL1drPxT3yYNfaMXEZ
jBA7jn9EJ1eYJymxW9+i16+iQEvAc0LQKD1no7JOCxNXGNu+mK35U6psE5QQBJmwzzS/3TC/iTeI
4kmI7yrkkjFZKRGkBdzyex2gXLM3EiNTG6t35WsjIoXqFjAN2yNHL57mdljdw9M8P9Hfz619I2f/
O7rzoQtBeMjLIbOSW7ctugdfxP3n3nSiahuD350uZTaMJ/6moZHh48XlPkuU95yUy4CMsy4m62ua
Sv+WsqNmVUaZat2wIXHH56Q3q20Up2iao1SbvWckhlV0k8ih9TaxnNz0MutbEV/XIBmcNfFDsiSV
ACBTv7uUNeZQ6GT32PqWo1Y1DueivqsOR1QCXq9FEUyhhZjaUdapzCtMynU19P0F7eiiCjRp+Xvs
eP4eQn/fHSYgwiENHpyk0onzLR/vSPA0+tcz0K0rZvCvJG9dENxFYF3V4Ao1tKrDoO4P+duoYvWU
GiN+ZrVSipjMsAz2dkIfu7OnpxQ25DjsZfSo+Q9pqk6pqCnEcQGyFEgBBMgbd3z45JBc1wliMvt7
GgMbyXYwgzC5mJeU5vGJryn0eZsqVt9j2oJDvYQTivFpWyrLLQ/JEhI/EqcjBZvWGmGUmLDtnF4P
cTF6l9G8eM2u6owtJvilAoLYXhdpdGGlzlbq84WlPtnul3nxg0UZ6S6y5vo6TpVV3CllQvmA6TT2
wbLw3F13iVPfYYwI3eWWA9Yvo2nI3Thk4F/Z7scLljXjaok+KS/UhAxsgu3bHkhl5tChyxTuz8z+
SsNDC8ZhxqVaqQozeHqZNHp31VHVCW8jNa6SwIMFfhmhJ6YpSB+pvh+mRf/eMjXoN6mzRG5godN+
LKgFnJwXb2YgNagL3fWte8s0mufRbJ7kBfQwden2CJnp2/Cvq+z/sndmu3Ej3ZZ+lca5Z4FkcAS6
LzqZs4aUZE32DSHZMuchODOevj9m1d/HUvm3T+Hc9EUDhQIKJZvKJBmxY++11heknLe1zrqEF1Ln
elCV7ZpwuQ0crGtHplHJck7W6LYOx9jY5noWnhI8SKR14kjgxI6fiGIv1l5NYqqcBczikNqks8iW
qgd1VwczstXOMDbjQIgvBLw6SEiuIvxt2XtWriB/qmZEebB9JfNNQhgGmtM68VngiOFpyM+Nb2e9
ENoWRGjcXRW2doxN8wtWqekrFMJsXZlEmRGaDnUj4IHkcOOWzkuZaTRdSrJlVw39+PLSy5Ku2WoT
iT0m7xxZciYpBHo+t9dRJkMaOiJE8BNDqllRuOUbUDDWfTdPFxlBZZioyhoDtn5AC0wgYGIRKEeq
A0/8NYHB84rEn3uJyKzejK711hIngDXtqZOcwvYFYEaogAa2bZdx5bWB0xduJRlGGe/JPTVpdNf5
9dbOHYsk0Di0D6ZBC0qNujhh5EC2nSM+BlVJsuV0bzmVRUBsK4PE8KC1I7/f6FF3Pzll7bxiZgwv
08xz6YAkNnbu1AhAWJjCWhUt6125jd0y1A49JvYsa40tIS3HsRquB7wJdN58Ym1q4vJ1a1NWurGe
SYXP1nanBsTJvWYbERovYkqxVmp2donfFIBlF5GcWwNQvKplQxYjZcOLEY6AL2Yq7aNbFib9hAzF
Hc0EgpRimGanocRxqLxEcQ5zq+95Hufpbekp/RNweo6hRquAVOi59lRhxr+cNFcvT1mpz1R53RQe
MJ00ZogdsJca+MWGnOHBbvVLgcTK24Rh1ZZUC7j43TxSpOBT4G4zuhfVCtdoeR9n/nhQWMWeqlik
5WUbm5UWeFkuzU1EOvF4msMhSnfKnN35aNTRPeUTynpCM1S3sqbJ+q5nczFu2ozz4aCZwB5pmB78
0uy+hpYz3rds+t9yvcm03eBpxa3K3Y7CdAiNdVZnktNDa03LUlMgmlVoSWLA6r49R1+zsdMvfCON
9qEizy8IQTuhkM9RwhyQipPK5hmMH7Zp604EJtK7JrLoru7cOJwomsAIjHJV9URndZ/HRFicvDA7
wommr+yyxhPjG6ECMrZxqPgrmNtmmoa3zAmZasd1TWPALpP4hhrKeqAnfiNaVe6zQogLwt/BPxQc
jIxeaHBDsjE9RmBJ7skKcnGG20ZFuJ4+eBbnsyK1N6ac6cLvp1yvRwJkMjwFUnsBEqQFmm6F+FpI
mgGBsWIFmPf/bKrA43dWNDk2rhjG9R9GUoZpKYxCYxO0ePkT2l8za7jj34fTb6Y+H6dOy4UY6jkG
mWJElFkfBozmJHF/DIwvmCp0AfSCOiiM9CmLnScOrWRPxhwM7AHLwq8/4MfRzPm6NnpxxtRkN9jL
7/XDaCZGEE6kFmq3oSjynd5E2XUBuuc3uoePg8TlKjb6NmLiXJt/ffgaiWTpcFDwNcaWE4iSlJTC
lFvletuyAK7eDUQC/PpzfZwLn6+4zC5dbOlI7D5MuAhsnclZZpZYFidtvsC8Gjix/ZuLfJw5LRdh
MOrbqJ9B8H1kjlNZlijqFqlgcqDtzKlr4w9i5bKn/frT/OxC2NqX+DrLFuIjzrsmfaYwFyGGRQ85
0sJdim/oOutLeZeE6W9G6j+5GHF5BjNQw0B6+VGvlk4AV7y842IDp0NKD+rstmrAZIrffH9/0y7w
BdrMlS0HI4CFeODD00e8FSk6NJSD4dk/leHWaR7CAhBgTzVDvzzZevYBiMw//zZZ5PiISJ1wBXz8
gEnjR5Eeci7K27iEjiV1qGXmCM8Ml2hYpdpvvtCfvGMIIjE7OICZFyPFh3eMJm1DdFIT+Bk8Uzao
dtVbxubXj8jPL0IAgonS0ASt+P4itk69QDp9E7gGrYhOZvZaxNb8mzv2k2fDJwZYX4SkACk/ujd6
JqztKPjqSu9UDHfl+M2K75r88def5fzi/DjM5bngMqyCuFFI7fw4XNUJz87qdJKBmTMqS7PHNhlf
2P3Q7eRHkaY3iHq2QsdLhgF55TbenlDbS9PtA1pPD2bJ16y11hz4lX/jkrb461/vp1+Ch2CU8bmL
1PDD2hJ3BUEDVA30n4wCeA0t+2GuywMwFwPPX+Tvf3295da9/zYs3USp6fKwomG2P6yeBrmFlVnz
lnhtuvOjOcg97zptSI7v5/1IYt8cN69dlj//+rJ//5jkdaDmXewOvPH2hycqYfeXmdvw4tfFjp1j
PZHbZLfOXdh5v3l4f3opy8bkwFvpYz14//BOpczMYelUFLSFM6ZC6E2MhmP2b/ah5U17/02yIaAM
ZaMjpZO79/46JeMuv61ZR4VMsaCTZtPDWTMUfvd4TeD+UiH/5o35m/yXaFMd+MGi2YH/zULw/pre
6BC567Kz94YlVvNk7LqYmEeOQIzK9YfWyD63VbuPmGuQ9rgVGV070d2lKbPMX9/Qv316ixwTROAI
4IGu/m0XGTSjnbNF9WEnfFpxW8EuYVS4Eg3HtHwPpPrX1/vbc7tcz2aVwEbiUkZ9eG5t5lx6U5lM
DTb5TXehVmQcBPNTt/v1Zf5WXHCZZXVdhOfEPbkfXkcI3AMNXM56tMPLFTYPSFzhfFfb2j1FaBJ4
5rD+713RfH9LfQiNhckQL3Dybw2YyiHXmJ8whNC6bVr8dpdcvqcfnlrkg9YiCUKSS4HI+v7hCUKq
JDvAgHzAqj8aTngtWgAMnFFpj1TR3lT+Nqq1bVxbfz4w/ygE6b4q+Od/Ln/ma4W3lRSd7mz/+8//
2r1V1y/FW/vxh979GTyCf113/dK9vPuPTdkl3XzbvzXz3VtLRMu/7IXLT/5X/+f/eDv/Lfdz/fa/
/uNr1dM64m/D7PwOxmw4fLn/3lV59dI3SZf07Y/OyvOf+dNa6Yg/eJ7B7rIvCRdtOQvVn9ZK2/mD
Sbe5vFtkEKFu5pn4KwFJM/Q/0NqjMsaBwr+RSf7fCCTN1P+w0anD8gUdjLPHt/9JBtKHgoo+lm/r
NgpB08K5hYLsw5qtUpmX0G8nahnXOGrSnR7ow7C4lf1EQ6Ab+y2yIRLOZNcxHK5U+sLs2v0uZTwf
fvjmbv58Pn/0RL5fbc6/ikEpwqcy0FYj9H7/kpRILDTPTebArKJ2b5uOWiOaRDnJsDsKSCnobkEZ
hV/l9Fsj1vvthP1KOLwwtCG5ES7zRPH+0g7J42MrVMULGT+S66FWYTm9pZO3bSL5u9fzfeF1vtiy
meCr5RAlWIHeX4xXxrGJ4qjXuOVAycX9i6iBPP76y/z5RTAgErPFM+Z9uEg8LAmetlavAVQYB41g
IIzeQnz69VXeL9h8FPZGKn72Xz4KdscPT09NjnHFyLKj2VHdEsrJTDSS976r3iJDETJbo6EpbvLG
/832by0L5n+ucOcLU+gJoGEcOljiPiyoleNjdkEat2ZMqvnAaJJy3hJtIJ9CL7O6bUhIIwl6lf4i
QqWumNT697EVZiQKDFVIeFRKkGVoo5ZhB6cCnGfNFwGJFiRli6FWML00PV5pBaAfBpsmqc0+9AkK
qkmg8PT420h4XY39wJyiyZwsPMhyVtfzRA7awewVAYsmSXZ0/BrNJBq2jzz/wIHMVeyeVm8HfpEg
gEjFIwBhGe1F0y8lTNe7BoAdm3G8qNvSX81wd6Y/V+l/awD+27PBjV4s23hdALcb5zXhhyN8ZdeV
lqH/WBdlm11poJU2TeK7v7nK394pF8ExViGqXjyOmEPfP+bY+9vC6Ojdj3on1z7Tv5XSw4kTKadE
5jxl8Otn8f2uvjwS51IQR6DLgvs3n7hDAIXdx023xlTFnetpeY6OtNZRTYaozCob9RwtzV9f9Ccf
EkWFYPWmomCn/VCx+H68GK2BlbhZf9M2dbbv4hZEMZHh5Qyd4tdX+8mN87BPuxatNoOtY/ltfrhx
ioeDRHpEVm6c9kHRjMaacKbfuvKWO/Pu5UK8TU2Ns4P1ieXw450zajMZWbjWo52VXzyPD78uSd/2
8dwmHgqM+lLrSSJfK+ZVBXYMt9gCf2oWeLXp3jtkRJ6SliCwPz/+P6ourpKvTdVW37uPtcO7cuOE
PvVT17y9dVcv9cef/H+wymDd/Pc1xv8uQZe//Fhg8ON/kRQsshKhxEI6XLIUz52JP8sLSAoIBheP
P8UuP7Mszf8qL6w/8JAuxQW7v0XMgc3q+Vd0A4D4P9gtdPx2BD8v/0v8k/LCWfbsHx4ljoNcBmID
vyPNQuOjAaGK9U6Q7LClP9npuyZXPsoD1FZJn+88kes3hNvZn4hcJlWJ2PHuMGm+TR6r9OdvkeZw
Pi9jr3hBZImYF/fh9NyomEa5PWhfuoSUwrWJW+epSV1p0XJNx2tI07F3kfcd9GTLHxySl4pG+zpY
GjGkvpb6CD2LEg85wjJC95t0GRHlWe9/Su2pR1lGvM0UeFY1DwztfJuYZqbO/pOeEAaPpqsHGQKc
qdlaWRx+h70SkYENXWmGANiPfqAT+/pIcLSsCM1JuIKb1Ck25XJ0A1+zkZRUJO4xcAdbTpZyo0/p
msBJD7oT+fSooWqpD0FSGt2jNcIBO9ZjVhabtnWhZIFJtn2ibKZxjK4QHOU7RhRDNRGQi3AZPSxD
gWRT1IwXvv/wyP2kOPuw9MDjoBvFR2end6BjfDxwj3XNWMJxDtC/3FOmu+MTDi+//s0C9/FxWRCg
yOQpw5ZNA47o+wWOKXHXD6ZxAg4pUG1Uliz2RNi28X5Ar5Pc/Poz4Wh+/3guWRSm4Knkgqx3RH68
v15JehTY2v6VLhnh+1LQEil9t3hJfL+t9go+XUxuOyI1RIlLgD9TR8L8pxnl2SbGjH1RRRNIA7Uk
/6dnCEDMTZPtG6mSiLOeo2j2y12dG7hlsx5+cxd1nk5y3IwkmHglpqtOS17QimEvz140+aQFCylQ
CSXNNB0FYdJkFhU5qiriwRZlb6x1N6IzqiePxH6x8oaOAAtFhAtqqMgyiGCQk78GPm0jSSAj0bsP
R0Fmet5YokDqh1Z5q3t1s7b6BMov8XhNvc8bMc5HN2GMhlamEMbWRujyTS9iKBQ8W1jSGi9V6PFI
Ct+3RITue0Wi9l4m2BrQ+uT2W+fF9nG0a8Rl5APDxksz8jT9biMZS03z2iRAvx76oDLntAwIuwat
4c6MhhplktBfZ6p4zaRSFmwKYhxX7eSQwGwJZAk7Xy/smwlhrM8cPxHjihkgcehpnGWvXTRE5Za4
oMQLwPFl+poWXCgD26oAO4TYdsAOR/MY9FkxIwDXGvRVbayFxTZnWGzeKeAHfoBmGXndxIn5uhVF
a186XYFyUEexeWztEAZDnPeZjyOPqP5A+Vb/FAsfHfzcuHVJQhe/59GqwZcGNm//pRpxexzSRuvv
G7JEIcdGmFu3BFKJJzWg91sxQETLbsKw7zZx0boV+M8CnnEae8BTplaO3ZFAZr4Kx/anT3UUmgkJ
Y7VYpmmdvrDFS2/aTYaVkDs5pCGQGE8us2Lc2e5RcKK7rLq8oGMtxKQdYkxg8TpSdVLvUtjs9OnL
WIfqNEq93PQGqstlgzces2iQb2M0Z2+x5fVqNWjAaXkblSOPsJaLQ2NqVLCZ1yJLZOlT+44z5qVH
9vS4Uo0OnE7Z12ZK7NOxTprU2HoizY6Kg5uOGkzZT8JT0wMppvWx0MduUyMzeJvIjn2C1+uaxG43
aY0L0kqqNXN2xnq5KvoiqClZiJU1h+bGQRfrBaQVliXcsDlFxt0TLLruKNROHOCsrw7f8VOuaZF9
4dW+nwRmY2ReMM/zoO3gouPEsWUPnStMIu5Gjl7DXetJhWOsMcvxE3PHot/WdG6g2GczuMUkKst1
qPf0zHNvTrJtN7reoXOU/J6zwIAVqEpKMon+5UF5GnzJUpjNPYn/05vdj2TejcJpD/ZkaBFjVxcD
wsx+iNVmytx1CGqjXfnkzdUbbx4q/LyzE95WOcPifaoQqoCZwFYWQOWCdwrwjgnjYFbeq2f2+ZU2
0ym8QATofZ8YrZ1GParfYlXVzUaTwkZl2QAJ591qUNjnY14qtMIiewAl2lzh9pi+9wWLHqLWInzG
xYAqjscj8daRUbNMKWM0P4Hxqe/meubHeIlwapi9n3CETWr3FMESiKDEjY27zTsaa1tvrqOvZWTV
TyLO5njVuYqkB45Dub9WniDR1B5Cnj/lFcme0/eANECv/LvQK/ViVRJbzhc2TD2/7mzpcl2GunwI
2R5RDGZW+OYo24FHZAoT5I4P2DmAXe+hjhWV138tp5IUtIX/XqxCHld+ZmwLD22jU93q7QSNJF6k
5Hs/L/Qe1i8MgWonKgIS1QXHxyXstu+WFGTd1oaj7BfZfo6xSFvTnIF4wfKATcMi0vwiy2eF/cVq
yC+a67EM0Chw4PZKMzkp1x5rwA5adDWlSeRuat92vmQRgIm9NuflW4JA1t46aKgfGqmFgFg9DQwe
OXrJvivblqwiB/f7uopS02tA/on62p8Bsq3JEATWgdB6NnaAbGvEQhIBFrF41AJIkTIUdmOYcJbs
Y09/HNvOeEO0732zC05KGMWi+IRjDUcLwF8e8lBLvqfRDE81dHLZH8eMhMfAbSVTIem1Ba+Q1+P9
KyAvQ68zSbiMaNBUW6+wUA5bM4m1sCwZTW9yS7b9yksSCf9WMfNfjZNEFG6gOIEtHDrhTNadz+qf
zAppRB1pX8nytT77WBlPJPe5T1XT6F/LMAwlZKS2puoR+MZ4T4nMXOetMXaB0egDMrVIlxAA+d5h
RTdh+pS6msb01o/sZG0Nw1gF5OSFIH+rAthMYlniNXYKkxBmcx4p4WYww1LTu1PI8ksecN5RY1mo
pfQLu6jsx0jvkk8dz3sThLOd3TaZybqPfCk8TZ2fA2PoepjfWgK5ex2T7/e5jgbEcb2m4grUZajQ
LjETOdoTb9eK3E7IuWyC2c2Ytj2bzgxbPABG3t0YilqSVoORfy1EWcPQokz6Loe+fObEjpki03MA
WGnkPSOE5+YbpQZ/gHjkqOP0BRk1j22EOt5Uz4CVcPiYmzybnHvV5M5LR3zuZ+gwGK1L8BJYYjIA
kltbJwuImBdFWicGYYT5CX2XeD0QFv1cALV5pnWq7C3R5L5LPyTP5JRfZOOIyRksEDRf3mS9+l4Y
85I5bLUmcUlO9QW4oPhqu2O3hKdqqEldB1fnmoY3pKoiz9zhsvbcfNHmjXFzQ1clJS9ZIUWrkywl
3xr51toaZU+o6hCXWTDJgbw3N+yzfONn3qCQ6mcucl+aPnVAOyfnCFonyri0BTDMHeoXrbvwVVvX
T3MkQiuYtEQb7qYYlgV0wrH8hOE+NK9HDZTXvsFHyxNZWubUcNqoVIhaZrCtzsCi4jS28QqzI4Jc
o5vRbJcBBlZCLVeOnAEv7tARm7Nc9UtCFuTJGnnvU5ZQUh6ljSmO3LHWi7IYHdZoj9u+HDgu4D1r
FCQ9mwBXXPi5mIKqCkP7MkfSa47UfOaiYabECYsbDbRzPQcaZYQZiNy2gV+RT4r6LyioWjXBdCEx
tZtZ9Sq79HpfI2pt0lsVfzMbO9e2BdAL9yZrCF79Rjecz+OFzDusDZq0wgNhNuh+uTJiVGeIDsGl
mgFt6CpBjWc29bqSE5/CRuvPUQbx7+zuWpfO20Prk+Wa0yL20v5RzVJVD8j1CnObt8S93dNrIwVo
lQmVOFtKEZP4Uh/nUb+yiao1b5NYOLTImL41zl2iOHws3HFadjEp3y67qFby266nTGVwNlkhq/Zh
brreJ688dhCCIEhR7obQVqu90uIqLi9L2QzjVetKt6vQNHoZOLEY6op3CK1G6qdeWkSRFkRMjbd1
PYTmJ7NFYn5VnLFHyH2HR19bopgNcjWcFaoryhscAkVghKklnka8Lt9bo8EvpmfNsCSeL6QlcHnj
c2vUfbixFxSTdOYE49SZ0GQssCaCmlvtXqO2nlZlqitnk4RFalDgdWZ0mTouzCc0wQphJJaTXWHQ
XcMdNZrPMcJouQYHahl7GVu52nhnnhTsUd88GmfOlDwzp3BB4jclyph+IgKtlkPrmVGlzrwqeWZX
oQeFY4WKHaZVcuZbweZYWFc+qeyVwYl+RTIxvBz0mc2dfmZkzRgNgbvAuVUoqvPuZmIABdnoIj2T
tqozdYuSHQJXeaZxYTbGFItnPb8bCe//ai7gLnVmeGm6TJ7zuoluozPjKzrzvhzRIuZWCwbM1Bci
WHimg9lm7KIaPVPDgCvjhz2zxDBOtm8NjwRQV21K9l6j4OTht7U5TOgzXG+i3ZrpgEisf5gsgGU2
uyC52kqCWAKC57gEj7bjrXcmnVkTIoZd3AoIaOgRaWWDHbFPxpmRpiMAudcXcJqiXCKYlB1CW5NX
KPKtPHPW8jhSr+pMX4OGAPIO2wZ9BGASENrMBdYmF2xbeCa4pbUiLByiacG57Ex5S9IC80AmFvrb
+ZD7/5tm/7Gkif37rtmq6trxpXzXN1v+xF+NM/8PwUwOviejfUptnR7nX40zn/BSVm5/kU+Y6Cj4
P/9qnBnuH8SVMOlA6oSYxfZowP6rcWaCJ9VdnfQoOtGEJDBJ+9dU8q/2yq9CTw1hve9nE29IiqOL
jmKRVgGdF0tH5odmLxapSG86xPd2o6Zh3YimzV61OAPvaeHe1QPLySJIIyFzbhRrOjORlW/j4r8Z
CURGWybRCa8rI8KvGvEl6Fe86eTt+9EYhduBtgiB+YWZ95dUBZl/1Ls29xZ/Vts9oNB0SElWTfSU
9MaEq4aM6fDKH6P8RR8V2IlyiA0fRe7gvWBcIss99vubkFCFFxfjwiYL2+w5cSsK2xGltszi7LNF
YlK5tsPi1fcxcqqJwwXbf3rNyTh5Diegfa7R6cgsfPGklXb+ZeGFbSwYHTdNnpQIlYxuY+kTxRc8
MyY3TUoIxUzmP+con6JmdjQt4K5lxHTTWlj1vWbdm1MtT03BeX+d4zm57ScSRwvMTahP1XTtlih/
W5UilMX7wDYSD+Ka4rIdAk9Ozjddtp99MwJ5rpfdKhwb46aNRhDi7khAfGWpcjOHKecEq5fTjhMO
BnBcjMZRt3vikWun8k6tGyavRqnTynHze7suYyBJU3TvRzXGWU16zH+c0YNenHg4F3T+XFO06cb2
wu+NV3+GwoUOgp7OilvbH/EUW8E44yoSsW8fNKrFHc2h7MER41Ybq3VcWRwlBakN2wpSyzp2Sntb
hT2MmDohWV8U2lqJtn3IOmmc4tC4SqrsIRF2xqHAA0puTknETt6EF9SVFOxVOBTfGqiFa40e7t4Q
xUSsABiGK2fUJoouBwO8m7oEtPG7sSkaTn1q22E6ti53a8qXtk5V+/EBAxpqaqZr2FqGOPDbJSbf
SnF4Yfff+dg8WVBRShFVbh9D8hcgCwwzIhfqWFwoXK+9diLOv71g/jZlIHnc2ji0AtC0N4irslHa
2sn8+dKXzrUtS3Ghg4WApzujAm8bc9flZnSFeq++L1O3uCZNLv2mLOVgJ2/74pB3ybCbxAzxwYrl
o1Pm+h0ZWnUALTr+2raFXLdKpLuyZKLUlSRsScfgAdRMWkNTcpMIrz201G24FJQ8lgvkvCmKS5UV
NQWCAXALMzIY1pGNC9oJ8IDMrLkJBZsc41yM/vYMj7zBUxFz8LlfREJ3UhvNXZpGkkz/+cFM/Ain
LQJtJ61i2Oxeeexhtlwomgfr0jS+ML5JieUT0V2Ywo0EIYfFsaodTMZ5PZ28coo3gsbCWtcGvKa+
vlPEWp46zS63HP0FlDPNP7VRqa5L2EhQwO32AsckxxyGpNa3KrIE9vZ2PLRk7l9I8sm3hts+G40R
bSqZeRiw53LJY0ebLJzHyPSc6SKK/JwcZz/tvO3ErT9GukY3y5dA8ObIuqe8hjfnx7QQIH1Oz50i
pEQl86aYJbc8TsL8izehDwpT/ljXlA3PztQtYbe8W5OR0Z1ZgCHEBHCaGgHYmuR8RGS2kYHRpIew
ceTaCaP8aXSACsjRsC4y/IuBASjpWIEm0N3mmzlkrzAc3Rs5U0hhOsDCWM9gz1rcHY9o/dW8c2Op
h9sIiWqmEwNR7KFKRhHOk0wb+1ckWvGwQ7odTdRs0XThjiUa/Mgvr/0exxp9fNvYd4CHXzIL+2De
0YDEn+dchcOQ6+s01wU+9kQad8BHXOz+fIdNRmSUa1wCsWH1AVlIRkZUcCNvpzaaPKzKeDBBQ4II
GDDfVf3VtPRqK73eU73j5M5OhIfAOeTx23OAAZJEeZYl8yOnVcwiOIG5xqWeDBvcs68W0NPUire1
a23TTkdrZs17PY+vI7MIoUflnzrBZHoKcVbmcq3LHOdEvGsNfVuMBBsQlppjWPTc+auVfNLBa2ie
/VkSwYF/ams0w66CUumZzRb8PN3XYiMKokVSojLSFkZLfjEU4iKcql3FyChUzQ7D6GFOa2q08tpr
TFScBDYO/qaIxBZwx4myfVOOKDp9zPHzYAaaxfm4o1lF45ksvLY9Mn8hJUDQ+8m08E6kE4uDuc/Y
iKiXL0fUvEgybjoAIxMN1nsWON/AnDPg6yQ9AzekmcCDKTOsxG7vzLeiGMUq7GuxMYv4VgIJYmZU
nqQA3xOlnzD1b5u82TVaCt2+0M091j/SznI7/qbhFFDHJBuNW6Nhs401jM6lFzoPIHoQTGRG9oBE
KKY3P7IIIpdjzuBgEx1YTLfNmBRb28+1TYezA2e5a2+g3H034UntYPToJLwYl6UVfa0dlhSnGmnj
xhyAB06HB5+0VXCX3VUY6y3QlkYcMhmHJ2eqyrV0BWpdUR0nzy+DKYaPtQiVt35qHVkWsV2NEs52
3Y60FOs1NMN9VPunym3moO+waWXgVpml4CCuQlduFs/mM/lU30JVXRlAtVwv619VKdZN5Z8Kocx9
OPoNL1P1ydZDTuRFG1C8QLRxItz9g4Rn7GQwmASJdfWW4nqLlePaIEDhKnfdmaSC8ZYUjqNvlyKY
ShYTSN1P6TBE62lwj/0MlCtsb/VIXMrRZJEcCLvoRQgeUS+exqJKwJYO4x4NdHmFjMN9GS3fPgIS
KXdhF7bMDX2k5WJpL4xdb3yOITDUDot4K5KoBzLuUwoNdF45+5mXTlEUG6Ql2XMMvuvz6KordpKc
cDuOVKsQMs1bwq/klLp56GRfblgD0ZJjdKJBYn0JB9NbmOLoQEYdVFTv5uVujL3PBhEJgeaGn8Yc
A2easvoxdbWYQAyMbaqmxezMzOPGMftqmRBsU8HGlNTqKfQL0l6a/JSRsVMPNrNT1bIGCkA6jbgc
RgWVvW0Ow0h6U4KIXpd4qrx2G08yD9JW3NqqMK+LVFwWPdOTwjS0nQaWfOOb2ve2Hq2rSI13Ss/u
etuvqVIMnt/6osudrdZXhA342feUuOFAUxokUAHaNErULh38ap+RUbqOKVNX/gA8XRAoihpdnx/a
RBIAhEOfWFbcXp0hPntG8d2GEbaVOK72c11fOG7tB2MhnxzoIkE0EM7AMHjxWxfN1qkzgJGDxWlz
SxZffQXAMz+qfDIwUY735mLMBn/zEnoGQYiyVYeMAxvwPhlog3EXt94pTW0RyFAa82UTu+1N67rN
NkOQu6EiZmQYkkWaeVn1LTJpsQWGThvX0DtIoA5Esxe7LZvV4OX0VJOoaHHhafNC9upuK76xlZ9Y
ZIFpk/5I+oG/sj1oO6ky1QEjP//dj1Jp8Jt9kii0iAyEsAXIR1CUC5CWe6qvcjnMsOpoQQWyKOKI
SBxJbFJaVuKWTnH+xdIiLmgq7xSmWXPV2fSm5DiF15EzqRs8mAqgQinVGNS5U16RSia/6NOII5aa
95C5es9uNA0H0NA8aGZor6gMvEvAulikSRlTV66Gexlen9xSeLvHyU2f06IjJME0lLFrB8u4aI3I
em7nhdmQ584q6WyS8Ejb2cD2ulExkzw6o68TuUPI8okMvIm6Tq/XoJ+84dGYPC3d1V2I0VrTnBEU
d9NOO31Iq+tm7ueL3jA02vsEFOhQPduqdNtdOlXKAAes2r3m00y6QolEn5So7DtSh4px7ydkbjED
nZoHugK8MHZXGi+DL+PHHMnYEEBcsi9rN9aw9lpDRzPGjaLmm9AyxwGAqnHzZ/BZ+YaZaCqOel8k
zlVVVWV5wVrdaDuW8UQj/4oxBNMSBnGr2bO6hXHT0U8mQ0APu10Da1ffmvTYbZoRDo7pcqLVfkfE
CrcknppJu5valBHtko2bAcZlptDzsjuO3ExRC5JM9Qjvn8n+Max97XiJFjR26NrrHjP7l2mqPejn
RZE0aPRA9hxcth3zZrAUiUgFkEAsatbM+Yz8IAdEsyI/oeaFjYhwDzPbfrX0sLiXptYMB4y4w/BJ
DgUdUw6abNOudLLxspzh2qx8lyiFgW22GV7Kvioht4S9ldzGhV/URxGDXTqoBtvwfkgw4ap5SKYj
Jsm6vxhDym3RFHwuYViMEGdU9SLqonVTahxkCId4m8shOojOyF5zurdr+mHDbah19sGbS+cmLjx6
Zj2RTNwfDY4xMLKQGMQJwjzgQG/S4pvJHPL7JPLWuRsHPJYHD8XiOouVs0qXeKrM1R7KXDstkCYz
M5xDKFp3j6NhLdK2OrFt1BBpOM0WcfOcLjFRTi/lBmTfklPWb93WkHd9QmJHYFX+dTaSMlJV3kvY
tt7ecobHchIS6LjbrHurMm7MUMafQt35RCrgtGrq4uEcCFaEHYHz8ugXEZypfrxB57JGf2HAmdTI
dwOslWrivjWNICUPGINl/jg6dU1Mw5RtlC+NQK+s27kSnxtgfZwSwgA7HzlkdbUzs+6tIx98qubH
cfSvxzl9CvvZsvATY6b27fSRW/0ZAPVNXDE+0TT5klc3VZcd7LL7murVvnDmS4JX7P2Qtp+BPh+8
yQ+KTq2t2AWmNBokCcgDcJZlkq09QjK+k4Qzx4Nx6n2Ym11BhPf/Ye88luNGti36RehIJBJuWr5o
ik4USU0Qogy8TfivfwvqvnGlarYY/cZ31tEhqapgMvOcs/fa/vCNREFnVYV+eZKGfqCjSTdb5Leh
Gu7Tub6GKzauNVlva0af12OgLwNX3rajAUZDtN99SWOEtOeUSOYryyL1qew5zJcjqhtIAWHd381l
9jz53ieq8+FgodB0amtauw4VEq+hI6r9sgkW8SGvvye4GhwnuM08tjLL2qLfALrOMjAI5xNktMuo
y0biTwnKnLXaGQE2XcqNMPNe24nrYU9HT1ovk09/vx/ilynS4zoY4uM0By+Zl3xRqEguTVF8ov9x
pPFK7FUO6W8K5y1jqY9jKMW2U/2+E+5ng5jxDe3nCFRkDBNQDMusv2Q+gec5bE9upXpai3L+3Coe
x7hI+N4907+iU8duZJRXk+HaObO1KfWCgVmmO7p4MYVVriYK15Xn4UOIjV0JS2dlsaCvJaQFDLNX
novFtoLYZTBJLla52TMlsu4HN3ksUvtOJ/2+tu3mLmbyvHY9rrLnHF0/PkpOtx5BNjP/P61Av3pt
9lAZ+tAScFe5xZ7x5YPg6C5GIEhgQ8Z6CB6zLt8CRNi4cj5ZfvpoiX4DU+Mi6sWRPMB9DGXRJVcW
ogkAJkaKI0Z55uTFXsjhsm+DQxPAx+paavv0kSy+teNlWyLnj4VfPEiv0rRssguzgTTXq/gKw9VF
W5l7QVfW0sZjgC9gjRzt26i02iI/sWB3tBfBBGtD+vfWFOhDNPGCs8/XKzdSW0CQoLToUOCBvfVm
w7vpnfqGPsqRls1zouOvAQfDmS2aHPc0AOiluisxECjMLv7SRJN16YN3OeCY2+AVr++TvjA3STQN
G8Qi/i1DKXgbCfzESmhA/nVJoJdprbHpKCLcRqIfIZ/c0W8G5Cary7hh+21aFEOMBm+YZT84ut56
iQGvS197cfDBTu3dwli5BytA3wLp74pY2vVo1vQ5/H3eW2uXLs/FXKkLE6W9zWhApa1xoMEjVmUm
txiVHtqZ55aYBfa2kNz1+hKOldqhi8j3tD3uAqu7oLlFFU6H8jAzRhsDYxsnPb7uvNjXwt3JIQ9w
ENivs4qeteFfuClIs8njRYmZG6q0OFmJtW5As9Qhy1WKkDZ03At3GXbk/kJ3OCaevw297KBGYVwb
zakp66t8qNPVMFHTLSNNjFWb1PfXhQq+FnG9EhUYg2r0OE1AGwmY7DRhtfHr8EmXFk+s3mu27JKa
kUyTW9brFcMjlK/Jxm05x+euZVwTmXgfBP4uK5zt1N4TtXdsau8RoOCmn/N7yQVXfnPsJNUapijD
5Egq0x3yxW4lZkGvsLSADgW2ojafhx0lOAjAFB5ZNJPbFX5oBkrxOEucnRmC/sYeUK21qMEayW9F
bhxmc/6OHmCNAikmgtHJeKeD5QMWSdnYf4jd/nph9BVYNVZW5txHuAxW3sJpLRg2MtuuiZSsv/Z1
wVR/gBgSXWdDsGvBDTrZ/NRU2QuQnDWESg4rlUNjpiiZXw+3XmhtC7u9nIr6Gjn11u3yhZ/xEdJA
u0rN+CnJ05seI57q9GVRK1i0hntt56wddkATA208Fqsg3DqT/TI16ia1m1NBcMXKxPbCio95vWnN
IweJj1Xp7ciURaBZvtBPgw6b74MOiX4ahGR6BsMVEb1iXTu0eslBZh7cyccwKDdtDrjQ459ZOel4
naCTXiESePBETrAfOmaS5nZ6ALtpxiJfp5YNG6Iwd6YMLZRQ+efMzMOV3eOyHbvOO5pRQmvVVC9I
1WnPVeGwyxQtbqI6G4qtqrmocsVliYoI3Ej82nELNrE/uPvB0QfOgy+pNsTajKAnZnVAbDFckl77
d3mSPRZB5w/PPmUUR9lYTQgeEIUhyEFbBVYtcDYjc0tu5oEAKSMTD7mO8owhKAKzqTPWLngYIpaW
efgO5YzE4VExRN4NBukOOvImaxczsy0vVcK8lJyERD3OOQJH7gfuu60aHPMDmYJRvo5VZkRMIG33
+2y6PVsnK6ym5BqCr6UbDP0uhUj/HZitew82abivhZcS5Qlnifec05O70h4yiBW81o4OZ2XMeuuE
TfUyQIxM15B5jJJKyivY6YDhnWKnYrbg9/KRk7OvcMF7OlrLKZqeR7eaKBzDwMh2Lqg3qnpiiWFG
KS9+lOMyzARVaEHvswbXWYdjMQeHtK65jf5INgQwNWU39b6IZlcfCWJwzBW33Rq3Xao7GvqFZ+zH
qcw/yUS1dwPTQqB3aRgtbk7H/J9SHcPdEjJouszD/nnqdorDb83PUvUff/7PmZtpM1lzeNJQpUt4
5Yvj/M+Zm/jDdJb8HxxEiw3Mchd49l9DN2n9gfHWRDSBLBgD9WIF+mvmtmjcfVzlDMeAaovFKfsv
Rm4M6X5RA1OV4akTHnJ5ErnQOJ+HWcRNPcGAKiFkITG8pM8LvLoBnJ2hq2rsr9LyEkCTXSDcA6H2
NAlK1DPiwsrLwNhjZzVJHIbqn96SGtxnF0R02Oorb2Rc3w6eZZwEj3S6D5Kq4LA81MFTViEqWI3O
WHyxxzZ61dAlr9HssJJ3dlZBw9O1ddHhiQ1fF9pTeGVQVF94suUkj+edDYls+MtJFCLbBWZO4b7x
czxG9tYXaeJz0FRVcz21TY+hDrLnIy1zp0cLHDT5SibU/dtZ45+GK8yL832aq8m9cjBWr8hcSaoF
Cesm2wrVNul8TgKIhm5ApMR+IriINraN7udbUS+dsl3nZ71iC+pKj/70Ih9Rh3xygUq3CcO9T14r
JxR0NlL+E+GwlkmB1iUOJDonSp3V3LOuwQm2g68dSuknAuWYW9QT5C8K50Lsur5Hjzs4Xn8P3JXI
EVRf6KiQYxJ20mlGixYgoauyJJx5M8oaSiwHuyDYtEJg2obOY5K0Wsl7lqV814ahugwcweywnagT
TAODAVay5NROBrWkNTn5F0qKdFi3YxE94AK3VvmY+gg0GvzBubKTT8xXqoS4KVZz+qAxxxtRNc0x
4HjENuNL9FTRJNgACR5WpzRDxsY+gTlro5LuxRyYMq57b77RMhpAM7XjPi6ltWsiiRCmUtUXhfs8
XTU1Om422+IZx3l0mHm/ik0+uvPHOcvtr4Wd+iY+icHBcuAJFlBLhWa3NpMg3XpmJB9yq6OIoBRG
0nQYZMi1coag5Shp2WH5Ietbi24LdpLuE/rQMb0CtwzTvVAtOjIeRWeyAiSzjrY+D0mR0xPH6qHn
UzUj7Nw1LaTGdRMjJz0Zcjaz5b1Iy53QqvwwT3ZyqWpminbqXGFVuJ799ntXVsXKrzgFTQGDA1K1
j/CYpzXAbvTgsd0xP0A5PnrdVaZpczVRVrwmdvNhIvx460Hj2JDPxhBsdD1QcChjrFHSgqjh3wPo
tA9ANfFu2uM+lIjoQMn0h4Sp4bqiIm0z8RH9KDRL1WpOxmxp2VTBsqm7q7HyN+awSHv5zQesIXvC
pj8iIt+WFIqa6ghbH6YOOFqUSKIZt+ksvuqxeJ4n57V2skvClLfz6IQ7NSjvG0j0rwaR6okX3BrT
LB+KRrhrNSCIZOTKuw+9JKik3FiTn6ynhMIvG9yvIakdK2diIh7JIdw4I90Ju6r3XmfeIKOGgBYs
QmAGP3gPhvi1535fjoG/J1jkytc1D81gy6eiDJ9aKHa+H35StfswMNBZD3H2ybfbYFPDOdyg7T5V
aMxeqii/I2rjiHDVOiSACzlsNhezizumrYwbwp4PSZAROAAeNg9h2aESGtaac+hjaubOPRq7R8T/
L0be3gwzIVe6vRTJwnVaJlFkjTyyqiNMRFP73UlMas+hDDkB2CwWozvCpa+c+2SA4kYsZ7mNQvKD
MN8OSNy6ft1AkdxKJEwJ5S4Cn14g0KkcFIDByKSH8ysdXuKoVoXsqkOStZ+suOl3pCV89ZImva4h
XJ8Kv7kNKc8pBS0DwJ3jX9Gs4oq44FsnOlonUTiY5jv7vtHmUzaIXVJagoGkSu9Q/BwSXEwrUoiO
WvjbZAxeIke9Fj498irxxSZT4xOcMJiLMEN3IcLhLZKm6LqISTBLIWoTN5kcQrr1K8O2Nh1hCxeg
aZdzkHVtxX5zGdYyuejoqFJqSvpLaX/ppfoBpNltZSQsIRUghs6dv6D5uEe+BjazZ740uMNzloX5
Q1OiICRfvMZ0yVAubqU8mEF7kGZPflyTWZvQxYpQCbGJrfqqHdW2lXkJUcxIXvD87RsVvuYDHqd+
UBSTelPSbWbayGOa1KZ/yBdFeNT21cEemkc9dl9zpwTrFl8W1YR9YOo+5jSetEdLgcXGOI3t5K54
5ABjG9VdFts02uX42Ipx3AmFSmKYr8tloR/wMnWBZBQLGD9FmxXxRq0yN9gj2N2nnVkenEjv4LT1
1MJMBW1/w0yfp7MmUrXrv5Yiv5jC+mSZ9ZGQROPYF+qO9S0/EfCOhtKj6ZrEaMVtu/o6FePC3fwu
9XThqGg7cconTqK86uPJ3zfmlO3mwrgDwM5Qxm941zFQ5LW6qJDHvEb9sK2CfEQJPYRrE3kX0vOM
if9cfwHsf5tnkLjDqoUXiMObJndxqWi3wE1notFqucM1dj93vrVxNU3p3v9qjPNN22bqrkzsC2dw
r2cTv82SL+blxYGtPaWUDWTGclcI4MjfRSvSDzDaSpthclbiBkl6wR3wmfwz/J1J9ChdYZRfRiRl
ii3FtfTaj9rZ/KiifNoFoYs3F7mG5JmC1tTW0A2tZgHgZa00m2I7mzk+aCinVke9DDZv2cfI4PPc
D14HhO2qzevkiKWeCTmJvp0dO8QF5KVf74TBjlN+l2bnljnFvJFImHsESTk0lWkhmeg7wyHZJHxZ
zcmJ7BB5CcwznD8xq2lHFxxyAd16P4rUz+TegvxuJ/sAqs1Y7DVgXGMfhbo4+I2imODmSXiCUwiA
WUyRfzsiF7jT2JRea+a71aZir5Brzg92ND40ro0Z+OAakQMuju7Hrm7qObSfUjDSwMbCdDTp4ime
oTuSzyNpbEvDwsR8VAlgApSIo0s0pTNjIcctJVQV5s/BhM5s45XlozDzgSZyLJpYmyADU/EyFtkA
1jVC9kAzk8JYFnOLMLxTqh6vkmTw8rUVxMg676H6BJs4tvNxlaYgGBl8ZKlNAKdF02sv/aWmW1u+
meF8D6xmus6l6OoFjZrZKFOyvKInB1MIMiKD6ajCTe6VVpGD6cwtALpe5rIupDMbzSkKGKTcIlOE
QJw1nK7vpnyaQHtqZshji25sTQKajl8Ks/nUshHEjyapBu7DaCZtSL9TVeVrTL8loYuDRMvoEvaT
WQZMyIKmDa8jbVgQtH20uMAhYxxRaIESBJtFz1yorZmJyQwX/6pgYtF96wcxxbdD6o3tc1uSW3sM
mMYBMK05lq3BdxtbpeI4xYmEAeYDuQXK2fXaGJIb7CTZ5FG/Np67awcS7ou4D6J9OuQJthwXKPsT
Wmp9H+SoJ1ahdpZkgxpM2gqLGl2LqB9xXjETiod9sYADVy0qFX1By905BH5Wu/soQCbP663Q+HNk
zrcGgw1vM5t+jschoHsyRJxooJQSqbapLNguGFUc6Yd6VSO3Z2S5skszmm6wZxUoXESeZkezIpPm
Y8RYOUA225Tppspn7W9HNyrJFIl7j1GpRbDhUNIIqSfsEVhonOaZsHS6ICP6cw1C8iJvpd519sRI
aWTiKwOreumyhJQENiwADPF21LbcD2kSwGo1EA5WY95B/Brbo59o7Ae6Na5GwlYZ86TqKu07yPhq
HI4EWcFiz1jt7AkfzUoz+G+53BcOEQ9X8+jJg4ug4UJ4LFv8SoCVDE43Lr1raDPoAA9OHbCPzWF6
6dHvhbWDiJ+olhJ9BUEuWnjZGqi+umbAkjH1d7sLBgfJx2R0BUbzsPleTDWnRJcz/reMgcn3BrsS
ATSuNF69rkMeQihfdRqdDIR1Lu3FPjBvGOZTNZh4gTj3xBIKaQ6O09LilVABnFA5y8ghmegc5HV7
gqNND8sqX5GBI9nuMmjQRKDc1qaTvlKzRtuqMVr8cRgTxrGMcBuzVx6bWIw7O5pejdIejgh6p4Pd
+Aljd2MO1waw2m0csjAaYeocQ0+J3VT33rqTxTPbzhKVMVbPaupD/AwGOv4qiD5WIh+JUMG40OkW
7D+aZUQelCdITuh2dKw3DBms/snXQbNpppjxOSXU2pscdQAL+U17dbjTdlTeDUN9mxd9fhXiPKIm
sxDue+zlKSEwazN3Uwqy3JeYqGv1OMbdYzCo6Mik3qDj6uxU6C6+o97ZhhWNczP0p1VSx/GXvFkK
WTcvr/MCNJWJeXCTkunyUIdMeOSgiMBQffXEL+GIOvkdap+8n6gkE6YFgTmfhlxXixjQ5Yf3496S
04iPzG3T/8mf/+rESPg5/9yIWX0r4l9ARssf/7MPY/0BExJLK2ngNF2Up1AW/6cP47pLgwZDNKJo
hIULe+yvPowp/7CQ2KCYdlA4kyr4X+2z84e0FsaHRxIoyFNwQv+mD2P9DeaHvFq5QhLG68FO+ht2
TBJmCr6WwrqK7DHe93iPFWcPqzaL3TxJZ8e5c6jXPcethZlCneWR2zaU3wZjZgKRDnr8onKTU2VE
05fxbYWHfG2PAfNzdkDSPDMjKTLy3mra/vVcS3vbeF5q4rcxR2MjC8/80I62c4qshg5pysGEI37m
1Wg8x4aR29B1SIVSbA6K+RI+JwDT/JOHOSLye23TzMU9aWdDeVnaZTyiDW7C7ujqWEa3SW3QxK/a
hLZL74SpWHMUIR9DuyJ6klGYdmvt5453oYcBDUhFT5ZhAXYdLMRVvxvNCqv6SEOTA+GoJoJTdJ+v
Sukk6BgRfn+v3Ti571CROlv+CaWh40jsuqE5JtGutlT9QRUmKp1aNcFjEOkYyQx2FaKsMls1TAob
/QA4ojLWU8jGvlKVJkcLaMzwGUA2wjvUzY21HYUoClQDM1VFrLT5nQFV06F/60JcHxxA631k5Krc
jonBAUZ13ejdsBglam3agUezN7AT6FKVW7/6qXTHVZFqOTExIGEJC0ZXfWxremv7sTMFiAbVh2pr
z315wqCVeJxN7MhGr9cb4NEHvJZrN5uCaSsbreVewr1GsmUo06VBHLif8BsNS5IF5wxSZ7JLuwFp
dYPEKEEBB26z4zYA+Dv6NfzjQ9fnCKiseWBwiO+UJRgfy4TqqovcCRCxZzn7wuuC71NgjHI/ckWf
Uce0NoPRKP9U2jYYAARNSQFTXSxUrWHUabbSCPnifSvbJFzPP5a7NNZBsiY0oNGrVkFLskcX0n9U
+skLD7vGNZfihMbC2RO64+rW+lROlfs5kbZp78fZqm+VaRJPIlvHRmDje+iKkCSySdTokvJNHvfO
ldfbFflcuscmmMk0a5CBKuoLn0aNu9bGD+1oRwTDjd3ZLTLnMHsQYSAeCi6Qy7/dR492MnQPXW+V
/g4iAPtJmRMAssrG0fua9Fo9JQMyw7VsULuviCuMXoXZGSccc4FY++h505XV96Nc+z2tLA6K1jOe
OZRGWU3H7dqoRuvQmnHwHZdBdKmIFPlKUIa8b4EMfW57C5QzAsvgtTUK63uMe+hFdn19oUlmeAwC
p3gR1qQJO07ohvDa4PnflTYF9bYhR+dCONpAaouSESqAIsjN27REMPBg8kIOiFLL+AX/5GTskGKh
SIobiZbaw6cLw6nvMWwZQ06YhCsSCLdUMfxVqtwZbbVT06EwzbiijPURqEKJBz9g2RaxJraZ3cZN
QTLzgOw+2uDri17LyOufLS9uHxnGhQ8RLup8U0cNPtTAm7pvzo973Zo1qPh8kLfc3oJnx2yPeVQ1
r01itzkafdW8GknNj2riBNkFuVk9QJPBAIjladf+hpW3xfzflLzhUYXgepX2sfmptcr2kuMiJswI
s6ZA6RcGLl84dP1datppTEek6z7EokXp6xjaCq6KsQFJr1FE0B8jkqghK8PD7auMtp1uvHa08nmH
g6MBY4+cn3jFHmBJfEvCl4VSsExvtHCI8nQzZGC7ASH+q1CQbWiE0ADhRI84bTeHYX7t49lwrlA0
MzukeY3RwSnM5D6u/RIqxWT21d4pI6M7WvXM8piXlWkR3VXLOll3GXkkW6WLvt6gdKMDiIsspZ9v
Oo+5WZUYC/vEdOpHb0aNu3EARR2NeJGH1br3o30Ve160z4OpMZ8qWu3TF/Qj8sWqG1FtZcbydvCV
Km992pcNcTxAG9ZlayCBToFDkKOBv3VFuLBRsStg11wV+MWtle337Wd6loRvzHYNLyQYArqVbOCR
QMyQVo8x1eOnMEiCjzJDhcKjzssSSNSOgztFJ/ZcWFK4gJB/y6i3/0y8/p9FDIsYp5R/PiTtu7j4
9tlYxVp/7n6ZWi1/78/TkmFaf5D1DqTRFbaEiwRw8a/jkmE6fzCZko5gCMV/QHn8+bjkeDgzOMD4
ENas5fj1n7GV+APykssWCnARUtm/OSydmcSQ/XuCWFksZxgoFvDuryaxsUbQgCUV+gKPG+OilsYm
9AqxD/hL22o0mkeRNabxDvbsLMHb/vG5AI198H+ObQpzGaX9ZE5jGy/rvopvonCrzPKaGIRVlGPc
boYrJ86/KUQjOqBg9a30+ac79AaI6K2PZtImHelauO2cH8ipnz56QlOeMY+76WOrYUhX1T221WJG
nx6bpCPWbhRee3Ncspwgv4YM7AzDmj8rwz9Li3/E6J2Ben9cBIJ8OUVLEOukP3P3f74IA0Gpjpqi
m7gII4nc1SECU2cKtdWA9Qr8gZ7NZoOs1nwdkGe7qyRHSbw2/Qx5R0h8yKVMWD8RnunqPXTvGw+G
AsDA82pxjoZy++t3KygnEfj6J0Bx5oBhkOgwWAhN/jiN7cKqskxRXvayLarN7+/P8g//l/j150Uh
LcnlHuFOds8R9zYiVygK4Y3gGXgt7a58HUsfzTcioQt0FuZTn9vureGjaxJwDP4cvP/jPfl1hPvX
p4OsW36xRXTAGY8vF0o7tvZPCXyXj7Eztq/gQaJdiL16//vfubxZf/udzKuhptLDQavy6wW2IrTx
sxGcgsgSj57JwcPMO/OdD3nr59g+S44HwEkwLv71Q/qS8VwYWKcwUOBCVTg+Yp4R2xYY6+O//zkU
b4BlGcGLH1P2n5/lrJd2C6zgpjOd7kOtkbS5flIff/8hb/0cyBEsV+xYDgbbX39Ol9qpBI92Q/kx
gdywo/woVE1+XtlOl7//qLduDxQWF8WAxRJ8/m6Ww0BiWJzeqGamJmkj2B15SAnyzvP25scgPmAZ
V0tSxdlrhs6fCXcac7HS+UOSM6HXMVXR73+LuWDIzp41m9XDsnib4cUutuOfb85QlSHZ9dFNCRLH
wKBT98TxBtpfm8ptngsrbx8GInfEhkAkycqbeLnHTEya7t4JzPHfAWx/vGQc23i90Bj8BR38+evM
mVPajDhOui2aY8qc69AbnLt+/6OX33T+mwGyIQmRSztAnaHZqjyzYNWYJykZlyVd0KEKK56iLH0F
kvYO5f2Nu+hINk/bdQQKE8Fe/fMPclsbB489nkiLCY9MoaaNsEL7ve1i+VfOfhG9FR4TpRws3ebZ
059w2vNFJhd4j7zINeOUvKnIY3cZFtUKI1YdSIUamPxsBm6kdtnObGwb3AVXc2cERxlnwYe6bpMH
mYQ9x2PGz2vSOpN7u4My9/vLv3yZ8y8LHNbhfAvdlIPKr5dEdeAmpJQnRzbGzVz21asT2jQKJsWZ
ewrFQQzCvv/9Z76xdbBv/PczUfr8fBvQIo9d0qpTQuoQ8N4lzSkax/yygvSyAmpEinwBWopai0L9
ytGOcff7L/DWc+AChkd/5FLBy7P3rKu0H7OonNygHYk/bvT1GEXxOw/bW8cGXpsl22aJxXCc5Vv8
dIDRpUkjqxUnzhUozbuRyMSNjEzFmHX2+2cbwd+LUWn90PkQAtczlDf84A6xlnhFjJB4+MzB2046
cfreQvPWBeCl81icUUL555v3bMqkWsYhPMfeJiD/7N5s44x6NZHbOW3ij7U1MPnXGiE5+/j4PGJb
20YkrPFfvn8bUzp/z3LQXr+/MT/Ok+ePo89BRrAR8gJ5Z49GP9v+oH1x6uLEvGA0IhOYnX1/oek7
HEq6hA9do8sXEuHKywZz5JOlW+IZ8XRN5irjDL/oElGUVkV6gaC2+vD77/fmdfPIIOGZoZ9qnX09
p+q0oEw4GY3NfBKdAfBDr7v+/Ye8sSK6UgpOAsrhHp3vnjh2wxg03ymvTDJA61ZFjznNiFWMFFfh
omVg9vsPfGvfcW1EH4oDnYDLueznPz2pFZpPU5n6NIquvTRbwoJ1mqhPjUNPYmBC6+O5XrRbkxjM
axWb4wFiff8QzIjh3nk037jCvJKS18YTjolC8NevkpYoMUCinTKosNs57r4LCYPq//F7PU6OSBBp
aAM6/fVDgGVReUf6lDfSXpNsna2jRjf7jry2+3hqBrZewn84SAQk5nQTDBgSBttoW4Aqe+fav7FZ
wOylzrItdgXiQH79Kk3buCgGmtMQUSvgt3yp5u7b4IlX/KNrJm97TcjSOz//rWvM8maxAaKAlD8e
h59ud8roS9tldbIG/K1GhUkF8bC9xnnWrhh7HlVRYUed5BU8hydjWSet7o6R47Ylhzpczhy//0Jv
fp9lIeKRtzltnG3Ls+XV8EOLkw+t8cjjXWz8yXbf+dV//xDfZEOmil9OAKBbfr3QRhE2jF3rU45v
5jFGd/XBjErnX/8SQMGm5JHyGEYgLv31Q0r0JHltD6e8U80Xa3CAYRIl+s4vWb7pr2skH+IpiH3k
fjF2PztfFIZf4oMcTq0Y5EPVAlMGfV+E66S383dDav6+GFGUWMyJuDs2a9HZ8zmhZGJU2JxcwCwT
SAsV3kWjTTC0HkfScUZcHZLk2Ufcg91xpHL5vLglL0D6X4c6sxFOuL3PIKaFc8p0Y0rTrbZwEm9+
/wj9rVvA5QalIwjx8diz/r5u2DZh7vgVS+Ra1qrFYjpvhN/Hl7btgJTxtB0jvvB9QlicAb3CysHP
dUDmAL/v91/l/EFbvgl1ggtnmJ4NhKFfn4HUGjMvqqcTJlkSS2033cwiFu8sk+fPAB/imWCN4QYt
yTbnoV6T54UGlL/TUDRQAYZkuHYE46epSP7sGf5joW0uW9rPT9uPT1rq3mViSB1wVvl0TW4NLQ9A
PrbNHa7uhAh1JdyLePBxIAD0XonJcffNEN01wILoBA/Gt9av/QsGPvOH31/bv52pzr6Nf7Y9xHhz
HVm2JwZR+ppNpLit5dDdCjFc1/STt3U4RY8ZYeRZN81AbMueGcZoHlwnBCdSSiOd3rnd54fZ8290
9oIAcYsTZNaneTBETXPI/IrsIWMiD44BaCEzfZCx2xRMycqs6n+7qi2fzgCIca2U5pLs8uvD1hWx
18W2PrmMQdde3Ur0HXb+zoJzXiP8+BCWGtT8NuPk8ziCoDfqJiNWMK9aeV+26NGHerqWDeZs4LaA
L4vx6p37vFy186fOMmkd0D+lieCd3efMABbit/UJS61oV+NATnMOUfjB88sSHK3ZYueTogw5Hnjx
fTI2MWHfgsoPPw9cu3fetjdfAsZsvNKUwi7Hkl8vM5j1lgGPpmIJ/cu5R1KCnkgt86HEeGZ9w5BE
qUFCK+Dj0XfIHUGgvaMwKG7LvKo/v3N1zhfl5YZwbrF8MuYE4WhnS0zb517pWO2p7SeDMTZx8+Ac
tIvqjFMl45HCH67LmiEZw1uTDPjArZxvVTi19YVBBHK5nhWDQhCLXbdP4sli5pUJs79QeZ1+e+e7
vnUnWZhZElkMOeacrR/sGqIcy/zUuwUeWCvFybr2xOxxvwaCH4GMwr4GbKKjGkqUaG87lFvfmMhS
+XInc+edneKN5Rllj+ACkohEXsLZrWQAPIZOX51Mo55jNMBiAOCD9Pj/88igr/BMtiWOHc5yD386
ZGWeVSQyXn63hRFXsponWAWsjENVWmBaT/PyyNAVYETvdHO9RmJvIieDCX+KgxBfQQDj5t+2TXlw
CNKh8gN4RxDU+Zfy2gZ8hedfa2/yr8JCZXe9GUWf4rkaHn5/39+4zNC9iNOjaUq1dL5Qkxes0iAz
rsvJHY8qz7Gip7XxzjLxxntAl5FgLcXqR8vs7LjlLrC6TnrXVdOpAzkF3aagXXyXpkyFGcoX2eH3
P+qNUwbJBeTpAAylXeWdn+/wovV5M/TXCDz0M1ScVsHfWYy8g9chXdHRvDgQZx/TgJ/0Geg61Clf
iz5o43e2Hdad8yWSMxnzJrxM1MnAI8+WSKqnCBdjdU2Y5xytoRDU4dZizvA8NrP/bMPdfiQ1hGkE
pOIWoYxCd7lwslt9O9K6WkjYKrKvkzwI4DD5LjqTOYDud8z9ENWXNMvZeBKoAueLqc7EhdFhpF75
BG5E0GRsePHA2sN+LZ12PJlzlT7UiV1/YR6gCCRGHovUZfYakjbmQoHgAM3Qb+3cNV67okvvEEKk
Nbrkqv7SahGeSnioX2xHI/4oa7DPi5jcPYwTPqJjmKejvm4diKG7urPzLxPCRGPd0gxNNqWVd/da
mU2w9jMqDFRqMuh2wg07FOZSpl9dgh1g5vSmcc9gG/Jzj0u+XwkOL8cUaMBLVVhTuoGpS8hTmRLU
DRrGsj6ZFq4SqPgMZVfhDFolji2SO/hwma5LZDHdxZj4eH/90epgeDOtwsiRRC5xTjW8GQwP2GfE
3q98k/h2byohELVN7MVf2lQUYA9CdhEG94r9RA7TVMC/88gKKP3GyzFsl0TxgDeKcKLzt0gbXxVU
zXhDDavzDs2SnnsdeE4EqBVw0QhMzfDHW7/ovb0VaP64r+DnwlwPzO9FEotF0DmMIaTutJhXbRAS
5i2W5Xnl/R97Z7IcO3Kk3XfpPcowRCCARW+QcyaTZHImNzCS9xLzjMD09P9JVf0tVZv1QnuZdlLV
1WUygQh3//ycemQ1NmRb8rZwSFSuSJmwbd1Xlu2t2UOe+AUiwb1SYTjHn/t0JJmcCpE92YNs9dof
ugTyelgRtyJbaHpXzAgQbqePCKsPHb+d9eJH7YXEOMem7eb2xR1z27oVHQtO5GoHt1gVsrNyNtW0
bvdw6DGLpV3krXo77ihUYxDVKzYzGD8auY6hkviJ9bsz6OWGizF9VNrOl2NpVrOxi0TYflduxvJS
k8wlPN8FSPQqi/rqsc+jqlvPwksFW6aphSsiseT93NvZQ7Q0fIOgyjYsCTdXMkLoT8pfVa0PZJ1R
KN9qP6wJUzidN5LXkk46bau5BOpUtM4AT7emlboapvkKghqtmT12H0YRCE5DODdgOFO9rqs0+hR9
3JvbyCnVI3GU6ckh8VZsRZLGw5aBF7mIKZ2yJ3PqECy1ZgaRjKp1uCcBN1ysisFcoDn6i00y+fYv
FqIhh7SDb2+KJRlOSjr1zskrntJx6PZVBAXwEEr+GACHwOdHCJPPrpotqPm6jZ8AuFs3yhEGMOMI
4DSQEzIO4H60e6iMsn+Cw5yAQQ/h1Cdx0oywJ3T/0pseLC7iyT6BkGUUvEOipovWV3KF/vNI/U98
4b+4Wf7LQXSVW/4lrbzaM//7v85VW31/V38LLlz/jf8fXPjDNE0uVpy3tCWvDYh/BhfUHxZkWxyh
QjIl/kcE9K+cp8OWLg0Rek9oaJmhcof8K7eAeVIpqLcmyRyagay1/DvJBfGPPve/3uVRyjKgltz9
iE5Itm7/fhPyeO6Nco4+OaSN5VTMUPVva5HOgLlL3TSHCLCJSIKoLxh+kjAiURXUk+t3BiY5L5V5
soN3XrJTop2o1PP9SClahzcZZ2aDiKl19DXpVbQ/BdVYBlagjLz+iaUTA0xLze6MgAljwYflGeVx
0yJwm85vXiM7q3JHrEOLfRHAfTZgHdoolXF95tZ2gTrPewKsVYnhiug0+/Lsi4mM3FYvMtePLUP3
/H5m3CjfMHGRhairyanuXQXtOyDFYfqfCcsD6VFI4oSrHNemu/HhcxPPVlGWb5OCMe8xsq/By2no
TS7ss2h/wti4tiMFApRH6bR+/eBrFlPuarfI342mMtRBjeQ392YxmHAgPTf6TFnnQjw92pBmCxfk
aaAibzIDuYS0CMKxtdeiN5puLbsShJeRs68lIdUN25LOcHWnhor6NRvqlCClmDNj31P65ywqOSWC
6aHR6AfaXta7RDZy39G791e9aHoyZ5Fm2TjLUZqsJ09mb2wqzGcOHRMIaN9OP0x0Ov0tIsK0t6DZ
TOtEuRI9kThzgch4TvhtmQ4KawfV0vhcSzPxQwg46dxlm8Qk5PFZmLEDlrBoc+93Q+QwffOxg7Z3
CrBQdzIH/qSN7iqfhcKBs/sISFRcBhio3lZ47fRV2EURbfoyBNKV0hh9IMevYjItA9Rbg02ocJMs
pYJlEIHFJycLUmqVNBxbAe1J+SEJcT0uRUfkFY/j8NTzqGXbIh28FBR5pO4VaUIUZMLt5g2pyclZ
8z/lqJmqyv4ZbI91jswchkduEEkSLKqUJmEys71r1UjIMkh0OfbpRsHBg7AGjRZtDxrLlmxz01Tl
rkxmb2uZSe4fe7sB+pGZ3EE3Xdfky7kHetBuFmphC4+0YQF8TkiG3JIJqbPtYOXzM4VOfWY1IkyP
hayBrKZcQ6K7a1Q5WkdQNEil1q71kXsatMhiAiIxh9oDk9MJHhizMRz3nDMREeiwzfyhqEfLO4wj
pM3dAI8nWoHln6MdLp92m+RXz1sSV/lDruAicrwboAyjpDWqLYMy6ISTq0KuLZBz4In6E4YL2fVt
y7rf4jWrUtbK2Ol6rry9DmvrPSGZN/CLAqpI8lSGjXPoWqUKHC3AUrOV7YdTt9ao1mC7joz0gpzg
JhTGSTTJYaxAzG2JCIzPjbDjgqSinV3iGPLQGkNR06waPpOB7LLL8k6s3JLpWziN7MgVuXGT206E
eMRrUDA2WUKFbZEEAlfizeDHQK8tIKMqZT3xuo0eRanJOIN+ab2NDcxEPHFxospMNHnx28QwQWdG
lH8LexpULyu7sMxumxqxjN+IzQ4WP0CdJXwfkceul6mwPvmUx/F+qlxxSSHmsXQx2gZk5WYY9vzg
xkYjHPi02DqsD2IsMBngkSD2mXoiUytiqTWYo8SenO1QOqxcjvSN2NCqrWzBYclWc7tPpmrotiSV
rXxr902uiK6TkrPXS+HZ9QfLo+XJFJQN93Y9dtW2s+ZCBkB5QV022DY+l1bKC6oc3uT25Gq1qygq
HVK3UfOjOmHvB97y9WvBnShmWz1pvF2CncG6yXq0D4EzWla009r23+YwrJ5E1PFppSNp4RuhrGXZ
uGoYFAHq0ku37cRa6mYpTK5mCbg7lgh8V5OgHIda2Oc0N65Y8I6r2Iuulfr0RJfpVyh6krA3H029
DuEXZY8SGqMTtIbpJPvxegs8oAeYhq2MpEH+fKrMx0w53AVlmbrpMRa9aYJdUfbXELNyisUJQvjG
Atvt3CFRG/ndMdGtgLhnZIDFrAyb1xIgPvAF9JtXZHEn8buZY0HaeER8MnBVtLJomgPJDh7BYjPO
mvkeJ41O1SosukRnjIGSUPN8LtTSNn54YFY2q/IaXRF7fhEZ6gxpHhPkzO3VjUwLo/1idx6YDnfV
tmVVYgYuC5RTQg//ZfeTB+LR7CrcWVllPndeO7NPj2sRfgPuQrB/3WZQdqPu2GaYmbuOOZukKmuA
trNaDm04nUsueZx8VArpkBb6fmB4MO/o9nA+shoH8SFiHmuH5ZqbSTrgPwPt/cC6Awiv2mZxfDNN
kwUr2QDeeJt2sUWbgGTfDFBa6GhXac4zkNKOfYEMo0b2JClMooOJA8TaSWgH123+tJNA4bxYQy2I
vOwtq4ibp0EapQnb4rlfUcYHsQZxyrU9LeL+dxIZc3XCV8IgCm5tPeXlNsRt1396C5BlD14bBQab
44ng8t+RSy9f0jydHHtdgECLke3wy4U8m1qOmbMdjPZn2vh9H8/nkv0Dlr/juBhOAsIOqx3GPLo7
gZuZX9wSt6YATFdMmvAyp1wXrnhBeGJD7NSmCK9MlCLUob6piYErJBESEJourWE328Y0R0Gmc3M5
8NXF+BfYs6/AOxWO4X7gIpu788AChb5jJjACMXOMJGxfa9up5U1vwWM525qNwhMrd312D7MMBrDf
jAqYO1T3ZbivXaClT03YmsN7X2UAUQKjbZAhcy+aIdzZUaM40JKibR8gT7ow10oVOT8V0ZXwBL/B
ILkg2zx8D31ZNZsi9tTTdVh25oNTC15qUX7VxG5QeF7hBsPHKDv0HWUcRjOwtMwVcJI9J3ua4zYe
PrOhL76asg/xFlZDPtxMLo/xgfXMMdmUbDyN93CCwZoPXHLdPd7FMj6h/xHFMTS8sdwrqtz+reCb
zrfQTKL2Fai3fGwLXb6TwrLsZ7ewGP6WHvyUXb2YdbKPMjlDA5yIlvNKsYF028PY6oPljYnxhNGz
Gh9GNE6FwfPbJO3eE7GTByTPLP5SfTM+xCYv/c0/7vv/KX0ofWjA/t/J7fNnnvy97uEf/7PuEX/Y
zAdMhmzMWYXPF+mfZY/9Bw1OLKakrzjPLI+J8l9ljy2v1RJzLK4Z1CLK49/6Z16bHJ1ngie6Tlbp
rP87dQ9jx7816Ggxu/zNruMS4MyE6cT/6gB71nVCl3VbOhym3Fdp2pXrfDKT/s0Z+Zu1AXN/wj5U
CIu3SnxWvdb0MprmhC9N+zvJ3vLw4Ey1rc5F2quUd1/YDz9xY1cdpPkQKnOhan3oWPTpDnaqnXIb
gSbhRepFSAcsyJLhtpaUHS8qMwg0TLTV0QotbWWtLYR7/hs7ZFUIwHVOMCF6DUshv7xxcmmXOWwm
u2uzLIruF/7NBIJ3BwacO92Y/Jo6NptWrdu2/iGdIaDcoSRKNtcedrnSZioUtqfl2sIo2UBds6Nq
hU+mAv9NyELjIpqNJ9a3vysGFYPC2OG02SUUxk3rJE5I2C1P64BhVO/t2M9ioLwygc+AOax878U0
2w/t11bEvDkkQGa7UG0XUz2LJH6lIPExUPpduanltPCRptDTduQKPbqBtcP1qoxURzeJHcgXgb2H
FSnHmMQ2r+s+Oo1+1hyVl8TdizBSY9m5XdyxwjUN4wvJqIWmGj9BWx6yqXLuqMTCG80wuNtWmTEd
cvR/VVBadXHo6HF1q5iW4FPXCZ+IWzygNmOXzAsPCwSiasWL0Hpw6BMS8OT+5XGvrOLpK/WuvTz0
YJO5oxx0ovvFaEJnlVPqfNmdFd46YbqoSztiWStWEb5H/GKz/W43ev7MOM4vY8ImGRfgM7t37hrp
geHhemvcB98Ynpeytw9zYjm/abPG0LnjZaS/Rskdx9tyIjfyLSamMCsBazPdSXaX9blOJwSLRk9w
LXE9tvpMXGI71mHa/CNNpmbeEeLEj55SmgvgiWCvHmLg3bSMLDN1OFCjTP3mDpxbvzPIRtMjHKRm
hFzV+aR9poJlvYC9cAeTg2llfdHvnIWrlxPAc1oyZ483FZ1SoFj0MQ81uiX7mxICgt4KJ86Ybrhg
FfFr3ctFvSugy8l98Q/aQGJw3rmB58QtdUhL+xcogeeHVeUGPWhLzNK5E531nzwDaA5UUnMJgWGT
VV1XffkhY5iDHKZGPeIvbZNnJ+o6KEtJmuSQrr2l6oCW29e+OriYJL/t/4QvxKaZWyA9Ws/aKGpI
9oNw7PhXagMcHs9gr9UplH2A2V+dstT1dpkc2p09wk71Gr9YNZ1zjuUALzfT6QyYM1IfddZEpzC1
7G2k5PCRlS60D19lwFywCycIOSCgmGCwuDGP8JlGfwtJotwbWVbsUj8s85VpKkbT8/W4XKVGbdMb
mJaTDbx8CnB5ZE9cbyt2GGbN1zfT+mWmHXviHZfu3X5xjyVbXmvAvj9pKqLbqQ6fWDzxHqpsiY4m
dcN9UdEC5O/M8RkMI89D6/ruXcHa35MHaANnR8lxa/ImPI50C0oY7um4hYQ+byNrcp9N2S4XH/vo
EWxAf9PO7bCauxYFrQ/b7+o1w9vtsxcvaBgh724cOBCJz8t0O2Kl3ZEIQBqCl/5kQg2IgwFv346c
3rAHe1a92yUihcFGh+cNot6q2KO9I2j+B7UTemurRyHcs5uP/a8zDnaeGGc9dPdWH/N5kf/bRiWm
yaVZuHiEV0g4m8JwdW0xPSlZ0wpPexhN7eRvcrb+EKoWwGqH+UxhPn3JwRj3yCnah77DZWaYyIxJ
5TGYGexpazMzw2ZhWCeReP1xjsf4LZop4YxqRBxruu1WTTo8JEVDXQJ7yGUZmNmTG+0WSXEa0V2+
TQpZ3aR4UB4Shr0H/GczYiEg5IHrGMZTE9dfkK0o0uGwv0We0peGHk2go8oJrAYgjopH+NEiPplM
MOEDmP4qNAqw4Gn+GS1DAnqLf/j6lbfQAeCKo4u4BIxukvUEqXNb1KB9BIiLjcEIew/kbIRWrGxC
toZ4Qxfsnhg/14ehTepjHyIAYZV3jZinvx5ZclO1utyLzu/WjcTup/GmHqdBhueoisOdY0h7j765
/ZzDod1YndMc3DqFvmkXrO0t/ZfiV7iRiW0/NKAtC6TaN1nE0rYF6uskltB7z02MAYHJ0Au7u0Ew
SITAvNnPMO/rMk+fRtcW73aSTHnAMni06xNZHirVO/dgPSBdRqFnHiCmaiqraCxfkO5cKgLaEDtM
+8EQHk5z5tlb2NPz2rALxqzKfBxaqfZOkbofrcnQoUhGAjRmh/Epc7zjKErn1Z8Buqc2XZ9ITt9M
OXi1XFea+PNQ+bGk6dOGoe4RuBJw4zyamctCsDfRD+I2pB96ntxNPDJ049XF1KC09KZhmswXqDbO
feTpgB3HhdlfS4gmtq6nOK1b+KYG0C8ULYujLk3kNjd2NqU/rDc53Y1GfpmgUQyZOiUWe8qVxmvR
brFUWnGvcVakuVPTVOWK7EZv2oMNEbEMO2oS/U3Xha4B5osN1lwBHk8y4krITdowR1jrxQrNJ/gh
L2W/5voLb2Pz0STr0pnTYdTo0ldDZsb61mNBlYUzS7nhp02tn5kBZJj+o++s6sBuv8mXt/S3U17R
aSv6j7wpqLX8Eacy2a97rzPALLpx/pTJMvd2BgJKkyEhzt2NP7TRtizHtFhpwEYPPX2CdZmF1jn1
cXa3rbwSzGkub2XfLfsMuw5bviBjR2Cmq5meXSCGTser3nPag5Xo4WAYc3KDLbN4oecLDQeUcPU9
QoKHP1vF8WpKqmodluBhsI08lxJsayKA/DtJVaxamaVnQ0XpZ90UzrOh6xH/Sy/1ts1whedUz/6q
rhePR9+fX7sOu0ZRZcV2Ghf5O51npLh2whBswXAS4u42I2VdvIHeIbSP/kFp1nAD/kC+NqlWeGLS
BEs2e7ol1zPw013mPtaMndYyTVk1hgfjfbPXhbUaE/ZzI+EghXP/WHKvoXMZp+rS2Ve+0vWlZbIK
C75chzl66FH2p7rqoAJOxLIfR0HvhUMnL8GqO6Vz1s0Sf0yT/2hRLN7X3H63LlvSgUWH976BQylp
i3dhTTeuxrXolDpdu61bfEyDKNjyd+39Uklm4LQi4Do3TApile+reLCv3iBPP4Gzmm6AogAONxaQ
MZYhhwP+UnhFsnE5MJYvpgQy6AcLT3ApyrdezQnsmgFyggNnXgaQzicUrXSH5n3fJR7Ydcx1F3fx
zDftNOwsoIMhQKIBqLyOXiO+aUx1z5yMQwlUcqG1OevsFoow7/DJsQ60kqynePbsszTGCJBamH5l
wIKmdaSr6XmwIUKrqbge5cVI6hhG8hlpbHeOAQSeC6sIjxl/hL8SRm3eLMXiPpVW35zE7FxXMbtM
4FpbuMfUkjSc8q3oLLpkWraLY/SPA5PVXS+vnIlsYaefeWARdh+EYhKIUTZKud9EcL0H/qavrRFC
96/CMYOQWieW/eURIJDntuna+W4OYbwD8DQs+45W8+B5tHXppwYEnUf9ZCHcqc+GUYV2IBzP6dYM
CrqSNxoVDOslLHGnA/qDhvNcI8CQZ/bfIQtHhWMyG8JfZh1FNKpyqwYswAFd9Czae3LIN8wTFnxN
0OamLgn3rVUcPKfhQKYuwGPTvPJz1axcAxJta56o2OAABPvU1AfijM2NMRrzadTyK2MD+4zz2L90
jUhPRdYx9LyCL3sGpIGrpQoKhR04txjn9hZbGbJOT7GcR8h9eb3v46Q4uCpyD1IW70OWX7TNUjoY
aXAf8/DO/jc6e55qtLa5sRN0+Q4u/PBfPKDOY8SreyWIMbz34xQ/W42fHf3RAoWnGvfMy9Tlyi2t
ZWs4ZvLZuU0O/HFwPs1aqP52ZHL/PXW0VvaiNWYW2vU0WodhphxcI+Bu01tu8e6HJEi6HIk/FMZK
gExs7ojPpflrkczT78gSHH0QlIGtF5Y7NIcY4NhjVNbK3jfDqD40HZ9y44jQD7eiSLR5MJ18itez
L+RhrCGjnoykooRdWL1vaV7Pw3VpIzVMLnZu1exNx0OcBSw20dRe6HnPquBmdtA04cXRppXb3c0e
KLdPwdje3sRah9+J2zoE/5orM5D8AoFdr1Zo3TXapvgTZLswsFp5qrgQMOajo9/Zr/xMO7zOr8Ob
4+ITkw5ci0E6QrwkVCRQagfHlKMjdcnDEH5pOnZ1dGHLSIVnlmZrue6giS0rJuij3Bj8UL8HV5bV
rUfp5668zMCOrYelA0mNGESsF8Pgt23gC7iJKz6+wAKoQ7Ha2QjnGyuZYUTqWe8NhMlweWEFC+Fv
nFmH2wSS5F0dY11u8E/vWQRrv82ljz8gb8RkZnL31ejTZVMvFnYqI6x3aYksgMu5Bx/MVhic42LK
v9BiolQqHQdYPltnJ48FnQ1eiLe8lbgiYlMVR7YbjGM02tMGPNyCXgfXCeaBNIhIoH0NzMYaCO2L
831liBBitXNsa3OR4zuBKbY3ZNv/mvOlguIowy8ge8xVmZg4/pouodjOwM3qgM4KdqKyX66se0ER
mJpEEAxzmbcufRA2tKPK2tmR3V8KdjZPrLkMO8Vc6B6uMVFyRD5b/AQvqpppNucuvfQwa09DBaqw
X0r7BtILofIsJVPb1a33Bkyj2yy22X85laFPudnG28lmGFRknv3LqPv2FNOjeYhmRuNMsDyA/LOC
E2dx2gRagk1De0YMxxYO9TsP/FYWLh/Kco2v2OHFucpHi8kJT6OYxZryOjuomI2jTQht/gYiRroO
ZSgfqznKniENZ4ey4wNZ4/jVB4ZUc0Cn3jrMc5OuyR2GpxhyyposW7bvrTSm59/Xm3pI+rOZe15I
hK2p39Okh8lMQVBq/87EjNofe4MxGxdJGU2o7Zxa3dUNRtBdZrXCpyZmLNbf/afj+CfZ3KEZ+H83
HANNdfHrbz3H67/wF1HLBKkF/orAPSBJMBCkHv8katn+ta1ID5BkDs1mUo//03E0AGrx3/E/W2x1
KZO+8v+0HA3xhwBtzvYr+178R9rq3+o5etfE479kLVyPhijfZps8OP9vlnWNZf5L6jRtNQNGp36Z
pTA50uSm8JHJUOOYRzINKE5ycYzdHuYW6JtmfHdosHFhdig+dZ9tXPk4OI9YUQEZZ2ugUD7Nf/pm
Pv8CAxXPeOiXx3oG6doWx6o4NX14U+lBB+4UWa9OdHTsB8v4zHt3b8PBdVq3Zyg7GC+V9aserDWC
ncbel8pZye6LVPlJLwUPTSvytbJaQOup2XPJLcgF9htFQywEkwkb4zecUNpqY+DpLrkmBqp0TdcA
Bdb1TRTdUYD48GD0IWejyS/kyk1vJ48xxfKQOABZaxf6DtrOaBiPzWAcBZe4Kz5HDo2N+52Dgkj3
utGdEzD5FqjlTLScwy5sm71BidPaxVp1+S6W5ukKXQ6Hj0EN7RpY57Iy/Kt5N/pVQYks+/Q8inOF
R5OdaYfWagsPBvk3PtQFdQp7jFhG9SaN5XWIvI5H7spM+mLD2I5XPWVHg8aeN2P/Y1Tx2it+dOxs
xAIHt332/F8x5d9yTeaNi/8wCOu2t6h8Ot1j5MQnlWb6DEXqGTC1u3cshtkc7NEW3RNGKxlIhrOO
jn/HlJWsAnIFHgkSKBCMY8PtnXlOme69me6eNVMgG7ZqzmYCVShJo6NR3NjiEyXmG+BISgHbeF+K
r9SfOP/OjESwCmbOxql7oFNcFKnqyl1uJvrkAn+91UvF9V2+cE0M8FNgeeSXLK9oec6oSJpPzeiu
VRS+WCQIrURyDZCvLu5AelisUwFQC4TqjrNc7n2OmF3incoK7aHhH1gVxCUdydMkJivhcu6cnYEe
5DBu6UyDUJs28dKcKkgdUap/NyEA8qVqj5Nbbkwm5g5fUqBMPxZFkU+vWNB7Q0eytRq2/2qB88SQ
08SxoAMaRGfok7hVQEDV6Iw4CEgVYoEzlF4V1/C9b0Y7i3mnMcMmKr290iYV+XhttW2sfFzTGWIi
aaxZO1wv2UWTcCdcNAfTUqw8b94ZNbEBkdyFAPlVRv9isC4cUCvTexTJGJjtaNPy9WkwnNkRO5hj
uWo9uWc410DVPxIoXdFuzY1kW3bfHexNGgLmS4h5jA7VYQ7zDXEo/55ganlgerLKnGU1z8apJjui
U3w6+mPCm+qWFy3rgx33fE/NDWPMGmEaNoEynveTOT7oSe6spboTtUXatw0cgh+BUYI39cyHsXoN
E+No4WRNc4kxbFhfT+utOd3SIOafwH3Do9Sl00aNP8bymphvNmirvA6by1gAR63iPgD5v7UNmFSH
Xj5kHQ6PohB62+uLlSLcMQuSCsdJjI8aQPHSXSoe/mRo+7WbljfsEe6TeGb34c4Gu5lgR9P0lpuF
bPacffUqhBroDnDF2SdJ6g0TR5QN7sGp8Qlkxn2Vvbux/RNG7BIJrgvD0xRiL5c8DR5U9Mn6KtW4
UrQaa+C3LYrcefrqa4zp0PiLmCeN5Y1VQ0w1tJ+LEaQoj3mNvnhuoJAtv0PjpwTLOeBrruXD4FKT
pZc0DXlF3A4yYc3Esd5IHvPVJrBsRV8WLdsg754rV6JdVeYGe9BNIfsAqSd+99XUxEXQzvHRYzDa
XjNffF1Y0UYpGZekweJ0PwjGHPM4rD0HnGkc8gJcwkATeOqvApzs0i+vvvfJ+ImECZ9wXG4ry9zw
vSPFamIEaygFV5OwBEFyWpWqGH5UuxwXzwAQ+2jGh7jfmVp4F+HUT12fUPG17xQrUJyNfWbh566K
0mVM0vCOxxK93HhcYda2iG9bmbDQIhcy4Q2r6IyM7rnwEET1m3tV+B9XbUBS9hcT6VfAwPy946xp
UfR+sAbOdan0rZso6zbNEO18hyUhlgYaAszxXVHIi91CH5aMMvjBklObZrdtWMwffmquTJReBC3O
4+Kua9m62xoz+G1VkTeyqjE9Zrbmit6be6Y1elPheSTj2j00RWyt5hb2b2+q/NCMpoPGrxsIJNTx
9OqChd6hwW6fnZKOP17IFcntDvixb78S+Mn27UQbfnDBwsvKzt7aEhG4wKBISJdGQInPIszFZqB/
tuvGQgf8gFtRDXvReN+shkcnMoLRgVUXKt7RT0JaOfqYDwq4q/T6NVFuMj441VdVItEW9T1f+MF7
jeGSJTGyy8hPXpAlrSTJyK2vxovMfZ7I+NxM1jMFB3WUSYlQwYYNPOvFn/nsWvFAzjvaMQi7HxZv
POREW8DIvsK8gDfckLHcTj3+7/pHmIQpVGWWX1ZTq2MEf3oJPFdbqy4Eb73ii0UlUpkRz1NsPduS
psagT7OI95O/vJIFQ8E3fXMZ9tb8BGJLCmE1S/eAJ/tg9V6y7oj1B0pD1CuTDSiObOVIOMNujyMg
ivW6b+JXsxzfKmkTg6AdkLWIp8vhEBfQcut2a1TdK/G7Xdy24DlsIqC2ZXr09xvy0gyuijV6QBaw
l+vxEtQm/Uoy7WNM38XYF7RaIH3zYSZGv1/Ma6pen3oaID+FB+I/r8tubVZ9+VKTRtjOczjR3uyc
jaWNDnl17s+cq7B4+h2hwf7SG7g5CtGB46clumzJe+NlNFlweSpFRVQxTaIPVzT0qgz20K1VHQs8
K52Lpa7i1lAjucoD/OX1oSYvQ58CxLera/u+DFnudpO0O5djxqYmtczFa7MEwdcU6xcahLCA3V7U
l1A61bXcTjn854FMVNYRK4KXvsPUmNFjziOV8wr1CL+VSUgpFaLdPCpqLTioevTzQHdZccwaniP0
mYY68VR3d5nvqXcxG0QquqK/gdnKqk4D5/mjNONK4bVfki8m8ph8G0O/VXwZNoPuiRvFMEgjlDM1
4MuW8/XoDX1+QyIRIF+a9QfeiXIjBhCQ2cI4jaGE4hTN5h3QjOXUO1F0QaxBZ9aay7PRI5PIxHfr
P2VqPLEYvLzoMpsPvaD2mzMy/BVj4RtnCsdHGvjTu+Bvf+uCMyf3FDqMdny18brOvVTLjMGnm6oL
fxUGMun0oPIQXQzrscSZ2xfEIYzG/dwLJMvghLesefnWeMV3UCoOdShzDD7IQjiM2RiiqFyTMYKB
PpqnrMYhhAeh/CoTs3yJFboCOfaoN8CaBnpmfpyUyxwhfazBbDsxzZk0fobDON4kyENYNlnToNxk
Rl7ghkZl4kivOUJxbdeGzJ6jvH3FgxPu/DBiMOoaZJ7bTSdT60PVFPlYkZJNW8r5yViy6rOwffnC
vm24qTCZ7Dsm8evcirs1PtFwa8+e+6xKP94aY2XvfThEq6YZQZa0IBsPs2fEWz+LLn5q0Ull+n0W
baNPlTOkDyJ3v4kfHNuyfx2HhGDdZWm69zh6aqplpPwfsnMW1wew3uR6UZftQ+DbYRTGdz0c9o0Y
h6fECyNmGp3mGfXjGzGJJ4aGI5uQzdkI6eIUoZdcQbSgtJPkd4NRfEWWFhtmpm7sZkKlQQvueiHh
bkhiiA+3ttqOljEX9jz5ZkOn5obuvllavaBekKt26rdDKu9DMXZoOcRNmv3kV0I8Gx8PYdr19/if
2KpIk3LNNDnbpNHyKg0sLXLiaks27dSz60gfhMz74D/kXsQyUXTCEIcZ1RkviKtey6G/752uO/ad
pjqAih5Zpb3zm+55HsR7da1bbIqUSGVHi2ZTQKKC8caYnQcXByJSTAomX0zTOlZ8UVw6/53KH/8f
e+exJDdyte1bUWj9gwGTcItvg0JV+2Z7t0G0IYGESwAJf/X/g+ZIGlKjUWg/s+BEkGyWQyXOeS2H
KUNxB6KojGoB2xjcQ2fYD6mcu4tKCvsEIVuYX/nUIMUr1+233M0o3cmS5KSjC3o/0SFKy8tSU8CL
xuuEmyz+0g46+MCXXl8U5TBcFlLmRyTrIiqsCFLnm1Ft3XxtHaedP9A1Ulb4PtsUxxEJqCMANKqM
qkfwGmc03Z0vtCbYvCe6+xinmdDWslEmoIqcYiIcqM+Ct48XJzulL1zr834Em8Vjlg6Rmrrjxuiw
fzUo/OSZpzHFr8dAJusTSFSxb43xyFusbzmtsN3Q+tQCqz4irPWZpRiP0Tq/pqpEAGYA1P6FqPxA
VLbQkv+MqOyy14/fS7i2v/0DTqHyDTMlyV/uZ+KPbYJm/IBTyOIUvgdcgogSy/X2I//Qb/EniKP4
McGfkkjwLzDF/7Ix5WgJMBp7iK4C73/BUvjRn7AUcFSelqCPTlgwvxYRnz9jKWr1BkEtwOlg4Fxl
SrGSiuh/IwubkyBh+AswsgByl0FfFXdOqLJrmXCDwV+bsS8kbUGqVbGGd/Avrjj2POTIGD5wGp6t
Qz2bZ6rO2xvb34QaXpqH4SEXLedUua5GjxC4qGRz0F1td/eZNYT9LjUgYNhDx1zS79OkLidTX3oL
kQbeQBGkm3eT1ifuVFB+mTtrZ8SzZzIwSmIFUcNSTcQtX7CxZIGqrzLZdEd1ZZI6PtP0piXtykeT
Ydc0woMy4GddYq9oKZ6uOJ4u586ozUuEblYyRTwr87z2jOIJP2VYHeMwtbynANfCK5DmGhtzDy1m
trV9BZWu9+GCf66jgMpdYwSi9wNbZBNEFRUimnlmdS3j0eGfiOnmXpybaajW7pIdQRlPXedRsEcK
eHqTVzXiph1PtJkLkOahLc9N5Vdutksgjb7WXRZkN6axQLBEeWLVzccs3fxb2xrmFlsxFmKOiVgW
6W2aheyUrtGJ+rmBDF8OC/MDTM08fTADWg6F4Z16y1p/+U7nrqDDpBwwUe1poPK+iqU0j6ElgXA9
5OT06mh3uAiqes2/kuE9Iy/Ttv21hZui09XL8MXkaW0t9wFGgG85+C8VSYmXdXR+wKiy8DMx37W4
Xk4hcvzY5KZ6bIpRXtfUlh1PpCFHLvrxmVxxTX1nYmfO7TJVmv4S3xfVfJAkY9TYFRraF8ldZ1EP
L+i4DxOoganChIoSz9YJyxVSKyrq08w3BXfhEJJ+x66SKmyt+EoshFJBx+oTrk0IZmAaDgEzsV8n
De9vWrlMeK4o/f0slB2c9emUWTHG7Hk5SYlN0DigJs84GyROpSPaPAPaz3tvOF3nPM9OvaRpE2Ll
+2GMdYaTmIZcfyiPfazA9YlWk/vgTSi6KNWYY0Xt2dHYo6/kLtL4495svOZ8qars0kCUeCD42VMR
VePVJb4wlqcZFyickEEtzVg6y+2CrL3bK1juY4K+x+uUstyvFB26sV0gxrkMdDtcT6q2fFhEuy7i
inT0B8sw6mM7I1E8ymBVsr1eKoi7cUDhgKm0vLUVNYBRxj38pGltcQ3l0Lymdeo9J1xaWKV8Y6U+
siTNEZX9ikyorBGdR2upnObEdWqmyUAWEO6OE8LoSE0D0Hk+FP2jl7jZHaVG4jIoeKe70W4TzZCL
/7Vq7/uBQWj+yOw5T9BmEwaGn8eIWnLSaZXe8b1s+/GdU0E4wz6hSgUf8pw7zJb4MbnVc31G04+i
pbD7rF1yzHYrYco+G5lsNBfUM2VamP1t+Nne1P+ocmoQb1DslMzdSs1TAXJE6VODo2BEpWkUCdBC
rKuB8dOc65zZFtNdMFItVaMXgL2hZ8cJq7MEaxFVVIHXzvBN04++Knry0ETMRFEdmpAuSRhdYt8Y
FbfeqyRlibQunEnjf3mo4PsWCrKDzt+4+iYrTQwHuASBEhqByMUbqcOJtE8Mzb1Ky1411MR5U/aK
TEHXDyGhId4zTX0KjZtNe9phsAbVXYRFL7uLjVKWlJRknUWlFg6Z4arDYD9FeZerjmaWqYrrzmJx
TnCHvQ4AlzSmF61/XIVSHLFq2JFSZvWS8eFGbjgjEOfdjzMKPk+dsTRuA8rIqG8sK9C1KqfVGUd8
vIBxFJHNP3SxIgs7DQovuMnqFnfFuHr7DvVPSQdvMBhH4WCiaZ8n/ew4gICEl4Ugbs46xBjdqgOy
kxDrsq6p06rC8iFbXP9r2i8Q7qaixw7VsBnjx4bRznxxUve0Vw1eM+2wBhbH5Op7R0uTBidmM1Gj
1i6z+zIuDJ/9hJUF286Wp6SrY3AydR5ynBuws+tyV3SYJ1ln3X7P8uPEJCSUExQibQl2rVE5U6cQ
HoTT5Ue0Ylj3MJA3q9mvAAvVcIot7buH4O3ObxzfgXUAamO7dU7CrKkfMHh41dnCe00nmP/WW0Xb
vWSo3JzTAV98S9SOo9VFI9Vs7SEG+cAJo9UPsz1mpG0obrbPEs8Jtvu6VnDPLGMiuZhpGUw/KGTI
XwlItI0nbx6K9BwwqQ4OSZ4bScwXhK7GiUsm0qlNFGWYygmpntT19ewvmCA7kyp2NXg1QU+kPsSi
FhbUKRqa5SBFIkGPzDS4KOWK7NsqOEsRJPVHuY04ru16ipXTkF0E8cVyBewlyEapBxOhDJpbNAJt
WaJMYst0DkalkAFYMAbERrZHaK2CF+IXUEtNFGRAqxr5daVb/zzJC++m71afArAiTDdMtp7fSsNh
L8Sz8sosvWKiBVI5JMa0NKTULwVsD5kCuyHJ+tfRM/nsj2vs9jrKwY/Wd40tLbskL3XyD0vF4H2U
SLmcEU1JIk/joo/IU/qfcDpl1MqKdDnSa93xpUcZNlRXf43Qv43QjL7/eYS++dYMbyybf1Pf/9Zn
3/6241r9yQ6+JZ/8mKmt4IsnHGQN/MevhMT9c6a2vmBv8IkNIl+RzLDNj/APL/gXn2kZK4VFnpyN
8wXa8DdThIFfAiuFFZLK6GPpxXf+v3Qv+z8P1ZgiNiqU2RpykiGdZuSfh2rbIBQp7xqUqxRBOSnM
+UVoL45zzmHS1ucjCkpQy5UOlf0Urug4ZnC5p0wMUu88xyZ+g+KIAAMRrcF5jIESRViKG5tG0FF5
KkYpvYQE7ajqFoOiyx1wyal6LvQiH+wSiAoZPUq+vbJpqYudIku+06troma0BgFZwjxJBYs/XNCe
kSDzNZ3VOR4CXPdHvlDLuMfy6NMP468pXE6Yzg+t9MPqBImwtTwGftcup9bSGx2Nqyr14lZaiDss
Bf83ujPBZE1u0KRlr13yIlh5m3jKBtDFvCEkOFqxZuCHlXRxRbNbASNktSsvQmMBCfeoPO3QEy+r
EY0sJW+ox/0Xk7seoVOOC5yY0+73QB6ZfGphuZFTz2F/WQR1AykTltZ3BQgMAeF3atqFQnkn0zz1
gF5SlVeZsgIFfWejG3WaFAhoFYZaEFFZvUmJLZGvsAVBcwfW1XW8JIkkwnOodIlEX6y3k5Q49Ova
TajadZXaTx0vJrYsmvX2GLuH4AhzWscd2+lftBzxRode7V8x3XeX9YAeKm71alQY3jC8Q3RMFCQJ
lE7UOkC5vXZh190oL5UAlLLHN94RbLHEPiaBc2pX1uHIXGkO2g2W5Oi2smAgNJmEVkIxTJ+iQ7v1
OJ/bwCNHee5G4LS1aid5LEdz1CfLYAAr6yFvJTSeXWT7NLSGNV7qEgKEakNQJrsZgfJ1o4uOkRlR
DE2TAN4YdaRAcJz2KzSgS5vKeUFTdH8uvdyoDpnnNXNseZ0ZxAQB1xTZFNxyEMMa+VuwcD/YZzyP
Nh6MkJJp2gVaa99aBS7LNHcQjlSkKga7unVWtUe8RVJwRYD4cE6JMGWXrG3t5sCl2XjfNt2MWqea
WGeoQqTnakRcQsn42tPNeacYzV0k9g1F5zB+Oj9FTmo8IibvIYOk78J7k9QvAREdy7+RQ6uHe1IN
clz9Dar450qSfL6jY7mXd6WRTflFQTr56Tz5Y3WGAdUeL9O5DKevHSW6E5QIkoNDs9abBn8onOSp
t8NCfOd5G+ooXCQZYKi3Dfegl8WSsa9s1Vy701jXu9RcbHkgRnGm0HCZKIpusrSXJ1YeNLBcKuOz
qTxyiS7drvKDr2XdYSpHzGM4p86aKvhReBTrCGbV/e67dT+RXwN1szfdyoRiJ1jGYbhC4nRoRy9j
enAZc45npzdz6KMyUzv8oIBiKd2U9a6kaKm6tBGxNjSqWr39ofJ6bqLKTIb+KoSv5r460x9+cFvK
kPc9QiMvas0Sj0WmSzpFldF7dAvW25/ajirksSNEW10wh+r8eDJJNb60LU6ebVcpsxPaF5EXln0t
3R3tEUg+GbzI9alXjPe7XLuYKP1hi9UpJMK+2KWowAIRFtgASlVKcUv1ON6KRooZWdu8BA8ixPK5
49Pnh2ofd2qyuRyB3FT+TC9X950Sdvf7Uszgx7Ve1CPcMo9eaYffILwJVfpsUpHNV6yirycQCQx4
KzGtxtCXHDcZkwWfhGgRoCVBWR4EOMBX2+1ZX9knfdo3KdFuBMDhMTEgTcf5nWcd07Yvv4Fi+pfF
wvtKcdWgHjNPdd97czUTsibIxGBjc7+zOuM3L+iqcpGDaMGXNSvVY2DpwIZG0+ojUTaXD8GjfEnp
hWQVJz+AXl9ndSV7ybo8h5NJ+BPZr+aCDWQmtSGf6UCNpYs9JDKdIQhO7MGcRESLcSdPugC5MC3B
yfwwmSJrz61KFncNzGJxNLnUMJ2MHe6tHTcMo4mdRDhPruliuTpObeU6PtFNlkHzF0vT+SZbt6O+
nocVKSYXG/q8aryvrMD5JidR0FUUDsvN6GsgXfxf6bRLk8G8yzLXPfES220PqTKS8FhYOrkY0QV8
dEM50WqNuSGPOqsnngenwLzEidgKnZVT9uc2lHG9o4uhqg+ZDtTlMCFLi1yite7Ykzq5Gx27x4hr
C3AiUVcdo10i1W5wquW623Kjj3oZosv226TgLFpmKq/oG3DqszYJM+Tts2nfYXWDDfWq2s0O67DY
Z0mKay6qSXKRu4G4EwmcUK13DeEf17iNvMfcYCWInLCDH0xk1ePEG7OnorYcDjNyNl5sznI+bwZ2
/GlTS/UNdPBKtorTl3er2RXnHrq+/GB0effcO0GKEGWiPdApk+KyXdoaQ1g1PdalYYP/zmgmQcKq
q4H8l3TnqZD0o7kdEp9awXRs97bsqnurb3MncqzC4R4TVL6Oi8TITro8Vy1AwGKYhtiJMSeyAn0M
JYFjYy8pOs3KtWJ02ba3a4nk+cD7rkwk+d6I+6PWd03uopJkACLtw8uavGLbmYKvDAE9QS4ayfoO
5pHbW4PalLI006JOzbIH/5LoeNaiapa4huxEvRXU0tH3BdDPjdkhroumtRb0utmU5FxXPmqV3pLW
o8AK/l7W20cpOiGvPAFkd0QGlqaSkL7CG98R5pudLvK+lKFkSwpkCwpGDMu4D0Ka247oIFaXpOTw
zuoW0qexiwpJAwTfSyDN8G3F0Xdnp8o9I47OeVBhiYNd4ML4cH27MqOqlMRwbLk4LEf8wwj8Q1yS
EepU8dhyDrdxUKfbh+xZ1rHqzM7AhGFres+2G8cut0b9Llnqsp1NwYzcmXUTzqR7BJSgEnjULvve
EyhVfbOfbw3q4uydUxLMQmNgPl61NpqHPddT+s11h3Q5LZcxe65TEMbI8E0bHw2TFIPgssAouz0m
pmgwg+ydrkXUP1lniCu02SaXfqrYpEN0DwU6+pncF7Jjclh9hPk54YYrAqeVm9EpThsDMGrCnxFT
vlPs4b8R+CYlvIoiQXU6lBQbcQ/abqeRSdTJvFu9enqWbumdIYp2wFdDA7a7W5c8IFm3Fc3OwP44
H4pqnBNUSDjxDzjt7SJ26Pu7MNJaFQeaBaYbEdZ+uSdmObmqQG+AXus1FRF5obplCpFIZLjXpk+G
gXO/MzOC3UwTrQwXZs7TmVOjumfwm77WjAUjTpB+ucCL1xGVhruAv5Y44IxLRmPjDutDXR404moX
LTK13LTxTfWrLIe2OhEDQvt4LIlJi1r43xeCf8RDrnK0TxiKCDjIeUeHeAZwpEm4VuWGvxXTTvca
HKOz5uUbTjrEX+gaCJD25HJDWLN+d8qQvJBFzeOTrzS3D5pUkL8sofSLbWhmTpWQ+W00N0OukO15
1RX6Z/keiMp9psUaM4dmZhBxwQHLnJ2aebOfgd50xOUv7DPC3rrrtKqKNcLjD4Q6sCKLXem03nWq
M//ZXkZsMa3pZR9mBoUQt/m43ltw2ferTtGcARGBDZuZNt3ITLoGsAGcc88QxU0oJNcPTKdMAwCP
ZXAwL8JYv+SVX6LpDmD7ubehV9q7bl3dYAlBRZWa5ogvxzeLSxJLECm3Zob5lI7SElXFQj89EHgq
3pvZVVCZrhqfevyjSbTkVvM+9SQUR1NboKLr8Iit+44bnBWtxoAwSbe04e0oKK7qXdItnGiBaxqP
SvQJnLOrs7curMaXZZ1SYiOWYr3G61dRvb1OE9o10kiMGORiYFx3+/qauPxExcSFIwzLzC40kYeJ
5LyTqnYie/DMU+0CxR8ldA1SbwFPMcSBa6fXiHpcN8IwunUWT1P+LpvZ/JbZS4naMJy9NMYxNp/3
xsC5oouJ0BQyv6eLPiCn4eA5hb7NvUW+yxqSMkLpNj14JIM+UmPevtnjbBiQAoIzaujsdmeid73V
qqTUL6R+EnNROxaPOeZo+ldzLp3dwKB6LerQvlzw7z5XhTfrHaUClntk98H47EPlTNFMWmWKESCl
B5SQLPXYtivsBHhW9hYqdobIwPUMgbFsKswRT/srqS7yzcic/A3rVv+ELgXaqDSsoNgNvpufW91W
08lv1zdVUDQvrDdQknUwDV/dTuinMM9JXILk5avxNIwyJY3YYX2LEpdsjsgQVXFfEEN8b9bKeCMF
3WkIQJfu02oHqcECbHPZL3Ow5gciQIcbrJqQQjXjzgWkQvV9neb5cR7T9c2fdYkQyDf1tyFD+nLg
wqpO/Zr+IXSWYw6amyfkgaZ6kz5O2hyfSgocXwgOcn0MWajcI2llQ3AIrGqk3cQtS6bmmdstPSO1
d9/bTjddhrlPKGTelGFwOkAEk86Icf37ZMz0zpnSsD4IhmloRnRSkV9nqzT8na1GdzvAqvGQwbu4
USU9fqOegpTV0y6tS7T9Cy3kYa8ehTswrTdWEqZ7bTrpuy5GqzsSOiu+MhTb9uWA2gox4CBNB3V/
r9ZbMbFNRWFKGBKnT99xhdiLpkObYxvNJf5BpkivIbelIfsJSYMm5DbZxDGEeSmfTtGWQXFf2atK
LuD20RbDwIngBqpRb39pzsznGQcmsxSKIMMad2lflit4bKDQTq9raj9KKk+u0iYAJubNg8D7kaD7
V7DI3wVxHP8ZUdsRrNgp9VNz9vYTv4Fo3hcyQ8gNIcTf9+mEJHTkBzEdfEH/TysOrKVjBxSUALz9
BqLBWZsBeUTw1fSqCTKP/wmiWV88l45tE1sv8ctc/OJ/AdE2iOxfGn/fMR3bpojQJzWSyhBh/QKh
qYIICIeW35GYoOONtjijrYdyRAOnze/ek6sf/+bfamBYVIu9/r+//xwx/I9H4oF4N2zSIn/Jyu6t
KQ+IDIjLOiCCI2uJliJoURJ855tvXmiSwfTnD4iz4t9e2gZfkuvic0L8WtC1DsmUiTCPMwJHjtDU
Anbk1Bh+X7AWAwlJuBCPrQdAggnp4c8f+4/eVs/dgFFKBXl7f3lbk8mSqL+YgWlroN+xEd1yxJpF
GBRDXFr+l7f2jx4NyJULiJRsstyBaX9v1JizpK9Fo+LGotH60cDfIHETBJDiUzO04w/g/D+2OPzR
+xoEXJaUGHpYP7hqf/9onJ44j0pkyn6Ovt1GaNMX/pMocvckgUDfBVR4XBU2v/z5e7pdIL9cqggv
fZJ2PHBdLqifHxfzXNEUgQIfsJBTkbPHEebtcs95h0nVu8VAUvnnj/gHrxTliGnbBKG6trfB379/
pXYd6C7oqthy6mDl3uOHx0WbNBeUcei4dAvrHN3pGttsAP+ttkn8jG3z6gTrkuWDrvMrIPsvVxAd
hUrMhX0Ye4M1fIEuBXcQNuv5sG3qExmRF9nn+u5/rvJESngn2bbfG5+r/vS59reut9xg+SV6qt5w
AatfRzq5N7Cgkd247hjBNkvJhiegEEuLXWEN9dvU+V4YMXGIKyP06GaYiYqp7kXJHhsF9YSxVWva
r/doAUEDPIykfryAEn8VUz7eZL3q5xioA90/lwXeza5EhVmmTXNq2ArFCY5HwGNT+uwnpYA62s+d
TggILHxSDLGANno3tpZSZwH9VcwWc7f0m0TfdTPAPTq1F2unFhzl8IzCY4F1KnMkPjEfySKEmiVZ
YJyqD/wj81PeGdI7kpYs8PDQ9XmNHds9TKJDRNZkXkFq9rRumpY6RJ7mbApg1nibdtoFB8BxY5eI
z2sEKQ8BGxsAQemvL6NyCVGGGLGcaMobBxmdzhU6eKN0o4ApCBO0x0FDsDbBhyGJyPdEHIj6KETy
GeCiIpbzkAdl6+zxuxOQg+q3v3SX2WY50IE4MQmxwFwzkj/RB2H+wVC29V9SIr7uqbnwTj03H5Pj
nEBZ8eBgSGK1mNOiJnJdE9i0GpNennMl0fXionWtp9DJNEgNC7tfXbpFqpcIwMla1D6fdZ09sIuj
zYFtdZMknnvMuNcYqkzjDMdh6ZI5NGjy3Ul1FUX7RLgUJF7/SeiNVKEkkPcE8BYTQYe9aL8WsKZd
RByRyA9ZX0mXIT6AMLTU7E2chZ/05GL2QXGDtk5mpxVeX3FBrhEp08StwLlE5EQYvmA7yasUoKxx
jScmNEjoyJyNvt08q590bLDgpn+2U0nBH6SJXZ5PraMnPBAbrYvxBkh8k0+Z6cqS04+I1oOOz+XS
glpN383BUNatCOj6OQSlBH+PmnZLbYAzmaen1QTyiprQ7NrYZmROnvl+MRkXg0na6eL3CG+qXvnf
h3IzCZCHR6DCYq0TX8cwoHXB7LHe7FIPgWnlt5DVJkEYDICM2hR/e2J5ysZwulvm2UXq0VS4IpDO
ZoQsJbVxmwbT9NQ4sr0ZCKjasniIN2SnH0nMC8oiuSj9znsmRig5qlYit9hFFOzNYhCoE8Hdi0uz
0QPKMjVTEUnMrYGN2FNedp4Gs+Lbly/WbeZZ6z0Bvcu7Yc3Wa9gV5bMDYPje2iHR2y3Pqd/jpyuv
UsT5bx2ZRx/FksAC24k77miLHvrDTPMWUkyEvPBnFT2LXpshoVC+67ynhDkjMk1qcQsQ07SssyHv
55rn0wNhq5w7wDSs8Qn6le+U77oNRpnAxZvNmrbbAjQ1MJm5VC+thJ1yWAcSz6xPRlHnzxZ6Av5F
xEsfgIl4AFovXzMilxIZh5kghrmo2dZX6oOzHb5bMKTKzRN62GazeWhM10L01vO/KNMZIZOTbKqH
IlV42CYYJ4CH1ibuOau9mkjHdMV0ZIhkNdFLNCThBHbBBxdWtqX3S+Ko0wlMgQ/HsuSd4dYgN4nI
1oEpf3SfmqCwzChESOvFHcYILvY29G96mc6g+0GbcL0LUb3oMdfh3iwsSYx7rpCj4gU3+r3rrAAn
la4rRXTTAugPtJZU0WRkuKXISlkuEnYHsGfbT28IKgV3qHhZJ4HfNLROB56c9pUOM3KX+DkSE0nD
XpYrdlvgaceCFTydq4EMnlXM/nQqNif6kban0DtgR1BJTK1niCDbsB0R2W0pLxxyd5O7cAqN9YAv
taw43dkyb5EAg9LWLWwVf30pue4m7aSxyKcOS1vrzeUeX4Lo91NpBBrsAEQ8/YY8Pw3v04Z2pvPM
ZCs+YAIPyyPfpxj6rM/LFeCTqM3swxJ67M67Fsgi8mUglhOrbRtUD84ytVdF0zfijDPXl3wRVUMI
d4pB7hiBlG7eMUwU5wbnmrFPmAexLoYGJQxYRppKXPC61vVJD8FsRj3Zpwu3E4H74KbIk8H+Ovpu
qveB1Kx9TCrdiDbYNpfTzFzz8tAaoSTuKp2IGH3zahs9MgeB0E2khwXN+TiNmLzgeCsZN3KSt4oK
G+e44ehD6zPa9yn89PesybIb/EXyrKfUjwo9ZRgfiMz0sRWw8wK8UbB5lM9ARjtr8bZvHoISwiMJ
kCYg1eOhDoVLJgg2xLQ7UwFc1WZWVyA/KwQVeVMtmjjgFdXhkRT++xi0DbF+BMMdWbI33P2MIewZ
6khQil0nxPqwTL7rBaskNIRu3yYCB3AGhLolmje10uo4NQNaJQm8TB68kkglYkiJNxoOGB7mJ8dz
2PQtUOMzJx+C7fOe1pL4tawhs2GlboG7v2yA1b0kmPHddcN5CGC1Xkx5bVm3zpwFDxoaGkyp8YN1
D3oW6B3I0Wjjas1xXk6unNTtCEYUnKy0nfkxYvRiZFe2SC4YfTFWF2j0kIkiA+qrR9mlq/fE4T0U
3JGJIoqsht6K3TSH/kdK5ekTZq3wFSjXuIS7rvkke8+6dCi7eUKT6y3HxIs3MPudU3uYTD3lHPpU
gYPN1IjTX1BUQRfXiSElrQ80SuwITYGIL0zLbY4FpzzqSb4+JHuVy/a2GsE87sjmoKqUurH0BYns
QjSNQe7LODL84L7IjBe78ewLXVpAJq2bCQB6BfAAlOutH4Jg8XNVYOK7aGtkdDvCt3zj4Ln9XO2M
Kg26x8kYeuOgJTnnbzPlPTXJCSBcx4TueWSiDesaRgYQb39K9vpcnM5GwMHJgNEmh6xYdHowkAvK
SKMLdM/wS3jqTrqQ5OddMY/ZmSlnjplIoNB09tWQokkjFrAqdimyer3rFXmJJM5OecGV10rxRLtQ
moDk9FhGnULoMl5MWI79BGCUMajp9BRgFKN3j5LrjQBn3Eipby8MpOFysS5j0O27hFsRk05VhAd6
chZkZn3BMZzPUlodQgBnMeIGB5T3MRHO3G5xFKKzdxjz0+R77qixO7K9me+kSSVF/liFTgNzAsec
Be8h9Hu5L7nEHjzXV6T8uDkvB+gWH5PpK9xibPKvCqaZ0hDd+zLOMwyf41zKyx514rNugV/JcAqd
6UZWEjGDbYRVuNO1ZH/qp949wPguR6uPh+bYJ8P4kljt/AXVS/3oWn5H9DZSTI8ysJG7djCm8mUZ
Z0yoiSgJEk5Np8GlHgTfvVWV16EBM39AJt09t/aSC5poJpMEE9GL6pxU4+Vr1o0MgJy/IO3LUqRF
XJBI+Ky1AFSzrREuRMIw9kdjp2rM3GGLeKJU2n5FE7I+ljQS1PiSffkRAFhDi9SkXMBhu9NF1rYa
S1XRBq9DFra3oYCXj/joTZIq6GTd9wClVwTBoMZNdGcer6YCDJBhOvUY+izjLZvc9mRsapIu54lM
VEzTPqnwPM/yddBDeCUm24U5g1Ic4dG4l2cnji4Cjeluo9rMT9rN2hi4tZZTuw+ZGH1Svwf0nf0n
YYcloLoicwgaL0+086Q2bq/ZWD6x8X1MZFB/DKLpRbLxgYs/hPnBkVZxThtSeed9UoeWmNxlh4YF
StFuKD6MJGaPF44rSEdSBbMnGuWhIhFXUnL4SVBqO/EesRzra01e1F3/SWVSoUGpEwIgKM5lYzvd
T+Kz+SRBKQFy7ppParRB1F+f5dks/Nj7pE/1J5XaftKqCTfya1zPG0NHAs159UnBDj/o2E9qVmws
LX2WrAHQlc2l+UnjWp+Ubv3J7tIYjQ/wk/T93KX/Agf/7rK6/wk4qCoaV/TvTSvbD/zABoX4Amnv
MJpyPrjkB4Mw/MAGhfPFJjfY9k2wPwCzLVr4N2zQsKwvoFqWxx+H3Mpo7vsnOEg61hdBFchWLEZX
i9iQp/9BYid+RkCwJoBXIjCwfMHax87/C+bStcw1svAcCjQGXJimscWWWcF6M6zSvEEA7B6SaaDO
G73q+G7W6O2SoqluUeui4c2JBzxRdf1cljWsoEg7VLOhoLMAHQyqmAw7wxYGUqkrzoEq24VUm1zU
Fpn9O2K+scG7Oh3uJvpYH0prQho68t17abq6Old1p6ho41CCwunWOCVZ6yKkcnKNUY03FyVpQk8L
4uTboSwEDmWS9GWV3bepqR6NyVEda0tDJjqWbe/I5IrHOTcFe0xtCUi5qt/nsKMe63ef/R+AoPbP
sM72hrpAOgGfHx6g0CGi5SdIKQsri1rfxWW5La27Ffro1BUBJBWrc3CtFm19oA4nlAwRr6bwBLp4
x87f3vB9LR6XgqjUleH0mPruxsLzQjsLS5287exqnmJVi/E0z0rXOS7IW/wvT/5nBPfzuQscJ+Bg
/oY9/wpJlQBsJfGnDCHIlVBUuslRbS/z3jNksG+pBIv//M2yfkb8/v0Btyf0/noj6xR82fp/TmJm
mT+Bp7Dnw6OZuO+TaMuBcAZxvdCZ0hGSGok5ODUHpM1ZfV6u5WVZ2qddsjzahFpvFp8Zo+mfP7Et
+OZfSOSP5wV/SBESCC8Fwb8goCSMzhMXvMtwkdDpklTq1Cjm5L9ggH/4KPSwumSauIwVv1wqDSHb
2vcbLhXDJbm2s7p96+Cw+fPX8lk3+suLAVXdwH+wVZPm8F/eZIe+B0E2ZeTnAYpJqYQxbuxWeoac
LHmg8ACDhMTO82iyyT3gV0CRAPOKitJZ2++ZCbIneQRnhwKXCMecRBXsyFWBCquEpyIk1dqvlBVl
+yFjmWbJI3jApONrSghtDNPhynLI0t/n4IO3cPz1UwsqRzpL1REoQMZIKm1ME0yzk45WYAJmfqs8
mc3RLiMrn9cT0h8hmj/fl7/uV38nzf53l8i/FYTdp6/1x+vv71efP/DjhkXR1/9n70yW40ayLv0q
abVHGuCYzfrvRSAGksGZlERqAyMpEjPgcMx4nV71op+iXqw/UKq/yJBS7Ox1ZaZZlVIpIgJw+HDv
Od9ZWk40UyyTdcFbksO+L1hAq2wUPiZSGcvSsTj+93oFW59S9vKeuFgt6cXwuvxLEG78aaFTNXzC
Z3XbpeRt/J3lilDfgzeTEHqaYobN56Bm/orxfztjDEuKB9X8a/xKc3msktYDFTd18UCu1KgBvlQ3
tUPGJgzbHBWDlLY4s3GusQfOq/heG1w1MtsM+qJ/c5Jk14oOqEo8GS5scNcH1UhYxxAh+uDkCE8R
PcU6TufhDnmmPR0D4iEKy4uE7q1aOBq3fdv240agKyNLkgbzw+QUEb7LyJrr09rSKZHtTNLAQDdl
JLiEV/48Oy44QXcoG2NLKayUMsgcAeU6DqUUlL0R7k43w0Rq0D4CAhHUPfmQrJXDxEcdJCYV1Jwp
a4IVOWqnK0E6GkWHnqW2IeRv0ReN0S5KYFoEel9Ap07ggN4NyJaB+fal3nG0QfYQxIAEX3T6DXe1
k9TnGShPtAcinFiIk6icAgzlwkF/nntOoFNIqLe6JUYSKxWdIyTZYGc5H3F8p+Qk9aNltwkYB870
E7oyLKVKzlGyGsI2N7Y90JOvZirqT7JDUBd7UaW23hzWRKtEgh3rYMkUCJTF/ajJYPH3JLy4Yqdy
z0juienMnuwQTD3CjnpuviTDMPj3ggid+5SUXPKLIlqh6ynu8+NiYuO+gclhfymTdn5wx4Rxwvox
0QUoaHAFuoVsIdBkLqE12JD5Bnrr9B0IbV2RHZOdKtcoCG2qFMLommzyiAJmXaFVnf3mYrB8W60V
oz5eQ/JnwSqsaT51vZbEq3ooxuzINMfFP4oCG5hAbIwo8puGZgg5ayHnNBeRO1v0pe3E6DI6xFpZ
ZQOm0WCYSUQYIfQQi3O6WU9oB/FXNZjaUUfSWaCq63Mcw0uKIqiJn42i1DTQYTOKQdMwUCAQ9+Ck
gTcsHTM/shGeNMPgnSsh4JBQx/PVGp1LG5+VZpo9AmQ0LoF75MUuJ5zpG6W6ARi7X8YJRBkHbELh
iusBCNJgYoLASiY3WcIb0AQgGswlmDWnbXbPIdPPX6KipujG6d+ZO9L6IkYHOqUxY8fX2bDPK97w
7EzLM+8JwjQOuU4frQbmTzm1gQcM6yLHReFsonlSNhQOpoMgBht3p9h0ndE2MCTifTkAYTZQHG9w
NfZtULqW0oGiTcmJKLzx2+SkLr60rrXhFbhJaux8Fw/gUWnQIj+ep2bamTJtH8M2dm/RiHAwnRvQ
2+wHOKJpTt76m8rTmozqnNYlGyT/45EAm0Kpk2zLFPXeeE70gkN7O5PpEZ0zNeyg8M63w4C+ZTVJ
4b/oMsrOfWQe05mrecTpKVM4N61Ihnud9glTV42Cd6NEHCMXzlyQHsIt0Gpb9aZrarawBtQYcC2U
0NgQp3V9XbGzXZBGqWNvUswa97aNcpgic2/eU8BOvwCBRnVd5KMJ+y5zXPp5sOAvB0cw7uxaAVAZ
pR2tG3+he/ihFZ6nMqXZgo4tP1FV4sndjMdm3Ob0WuhVaQmecUPCNdkZbTu9kJFYjs2p3bld72xd
sMeWXJE/XVzrsYuuqZPZ8BB2OSmBuU3nLnLjGWPgTLNt7bVdcZZ2FseEMW6Y8rA4TPgOF7M5rU3A
crZfmkCOQrqFAWgiqBVhmWB2Ka04ba4sPYYPrmjhdFjnQwoc6SKQWdMLK9IjQ7f4OZSFVP91RD1E
QbanwktXBLrVo0+Ea7t12nh8qpnn70zbdx+JLDGunTL2tibK+3zj04dtLqFEW+QYNqaKjiqQxHRA
kbw+2Wjc7XXlztlw4sHK6gC6g9xk+KeoPc2wlzC3ans+Irgh9Dd2KLkdtCwV8GTVO84G4t78tXUL
XgnXj8WM0BnR/1o4c0MZl8Nih3/B1KKtaKiUr0O0kXhfbR/ZGTK1FhRABgueLt7wWfotyCTdRplv
LrcAgTa5TCvHNxrjPzul5LuRTiw7+78+2t/8839Vf9xWxT//9x9smf64VP/8PyU6wud3e6flR3zf
O4GUcAQaAcdhM7ScoDjSf987OfwOJ0PO7CAqhMXJ/b83T6h9SCVng7QcAmzUQPzWvzZP+p9ogBiG
/IXAyLFsYf2t077B5u3NuYY6hAmgAnUR1QZPUB4/OArQvxynsoZ8kliBP7TyGJZuMwaDZR7pObbm
LBRawqE0pQXj5mRHAFHG6GNCOzjpY61HdZu5xSdA3vUloV6REZDYPH+doGQueRsE8TlRK74Pv7+U
oyz8jvef2jIYwdRJ+F9sivbBKTHDSZcr977HpiGAaRoGNAqCooM2a9KryMyW9aUvociFBtA/zFcX
bFfqF1yFsB2JbD0xGzF+1nSVXuAjAO4e1Z6x59SIkNLV+uG+L2R5y1jRrU2hz7Tj9cQ5NbiJGhrf
XHtSkISeddg+10M5jlsbFe4jyXYJUurFDRD3lrNSqkxPp0psc9xLeBfow5YBMwXocRaF5sXOQg9J
RgXxLdfsoJONVn1w0js4TbPxpsqE/orDpG97jnegKMEvRZbMcp/cdg0p5Tzu8KcBprA2woURYhjq
x6P5zxnqH1hifzcz7LqkfH53hnr9A9/nAc39kzgozkiOwaNYqntMEd8nAtJU/yQxh/cQ2yynrLcT
gfjToRTADOByVNftpXL0YyIgl5lYHn9x6foGk4Rr/p1D1FJzfPM+cQpbfpKD/NDgsy06aX7/TdUl
bccIr058pqlBPYx5X8LQ8LweAf28xD8khXVpGxwkgJrgWNsgf++rPZyy9NH2umI6pusylB+Ugt7X
Ib9/JmZIqpAu/zjOwTteFGWtizGn1zPJG2JU7XvJacdfO1aYffVpHHzyh9y/w5bBAvjmyV1+pFv8
cWkmZu7Foo88lPLlpKOibkrPSplq2wjy7elQhAk820S/bCcjfvz7lwNGtNR9hc0+f5nt3tx9E0S4
5+YpPNY8dVdxrIonfKTl19CrECK4hfvt99dbnua/yz/fv97b6y2j4e31Us3B9ZWeGQLJhJfpElxA
o++8RUHx+yu9r2f9uBJVZBt/A5rTQwRSzDatIlKbvX3ZnqUYZY7TeOq/o8b/cjX41UBBlkgBfGEu
uYcXwYjqd/huziqvq3aEBxgvimBF/K1Nfgw9pn7sOP+DDXLEB9/u/dr549uxCmMrYI6lYv/+PjbZ
DBMvis+ipfobyNIyt2Y2RNfebHvXePT6PW7WHpy8owF2q2p39f9xd322sMsEz3ty8Ib4rpoyW+f6
YDA3EsXALhpq9fffBWLemWI8DLzLGvL+S2awQFO8imfEPdtPnT5pOwSQ6dWYZfGZkKq9/P13Mt4v
7a831bDYlxgcZrnoUlR6OzgF4bI2oPozOmzVXo1Su6sSkVxWuhleeaSY3lNRaHaTY0Ku6DKSj3Hi
5G7APvwj9fIvXhNex+VvXkuKSwePty97Zs0wOmu7nF2NzLHlED8CMaj6qCD7iytRRHM9X2cRphy7
vEZvXkhiVVErhe5pL9rojjJAeqz8mXAZTHlHH9zeZT938O6bFCF0YVB4Q857cHuxrHOh1DxN9MS4
bbmVMBsz7xF9z9ydDEiUPrthnMqg43D3EJIjCTQ1lcPX33+MX7w5FusN3xTvJyvfwa0d8dKW0jFO
heymJbkb+YqMO+tMzplcNlzzGekOxeeZvslxkVvN/veXf18yfB1jVCfZOLKuIIJnC/3ufhczkUM9
zIgqyrwjYnDbbUbuzzrNJohSYNWPf3+51xno4KYTLMVuH1A/u4Jl8X/3fH2LgrovTpFw1lDLVAa0
vHN9dDlZ7XZ3iIPGU4WY4kuiecaRFpLkpfCufTBd/Oqmv/0UB6OMiT504bmeAqCUF2KaInwzxELC
ZnKuODXqV2U6oa2tfAmNyI8/GHm/WAosw9PpbDDoUAocHDScMouTYTZO0aTMJ1kr7CMiHUXywXf8
xZtEL9TgyAWpxGVmfH+n20GFupTGqRbqpGygrNqhvdGDxiAF44OH+qtLgUcxHcEODQX+crvfvLQu
UXaa3RunGCRTJ+hjsBhAsuN2q5m9B+UpjtQZKdnDcSImQdeyQUaQatD2ESbWt+5QVee2VZvnYz7g
9UNm6k0f3IzlXT4cdpw/TcBpNKz0Q9W+VzYE5tnjqSHVdDqoZlFs+PkltSZQTQTpXM+uip4R8MuP
BvwyoN9fmWMZPgza3GyfOLG+vzd+3JJrQ1Y0KWbZRZgnMFYSq9s4vdPsdDsfgtidLMqcrhak0FSv
FhPBcemIaus6qgxXUveGD3YJv3gJF/Aez4mOhcmW8mDmM2FxVaAk94hbcoJcsu4sKhL/JimkWCO0
jK6V6xIAaEz9ejYGAx6W3X/+YMz8vLhxbjUFGB1EPJi4D+5LGlMrrkp3r5lJc1YZMwjZKAzP7WYp
jNtuea1Z0trBuhNw6cl2p/heXjrVUAcffJCfB+/rnfAdmjomDd6DtzHtRrMHWLMHXJ5+Cx1brgkM
PDaw1KFSnHIZTEizcHqTX2HWevIizdC8s5TfUX405+NYJ7ey7C117iHh/ujN+sXoESxQy0mJkgTF
jvejx0hEsbiq9rYgbR1eT2yvO0LpoCqM3VldPEACzzdsskjlxgm4mZhxg6gLUcdWUPVgFvTTwwf3
a1mQDgY0eFHCAVk0EUW8YonevOyR1Y5aNul7EgzR3JpuIS/npFGoy9h7RFLm15PfqKDrmgf4ehRY
vco/DvtquooRQJjbDz7Oz6u4wcdZakM8Rvafh31imB9J7Jp7wj2jnXJDBx3hSEhRN6p2M1etvLWA
e1+PPRwhS5bnmsla8/vP8PPkwkewbQ8X2TIDvspI3twRyujkacD70/vWBR+J1NczOp3Ql9rM7rvJ
UceD0dxnON0+WEheJ4+fngXXxF1n6Mt59f3wSEqrIyfW2KdlUx9ZWpvs+qhyty4Qp6tc+cZXY/TU
sw+lDsW+noTHo58f0+lGu8ztWRPP9iPs6G+cQNDkcB+wDCH2ID3n/SfKS20MMevsCWWcH3RlMFTh
a1crUA0Wlt/WoXtGmHyB2w6z8u+fw8/rKn1UY5lNuBUGK9/7a4PRsTLTT/eeIdPrdkBPWOLrf/z9
RYxfXoUOK+U26o4ks72/CjpoKcha3M/uVJ1PTtMfKwjpQa/6hO/nEgvBcNjh8EnWJOJZiO2lSbJl
bI4EV5nzfdVakANKwlA3v/9kPw9Dvj7oMayMNou+fzAYcnIdHcUHW3yVR2NlFOeF5SfbcJFJeqVL
qsZSq+el/WAqf19ZW7aQjo9Pi82GAzLYf5VYvBn+GbCQuCy0E8/JvHxN+LZqA7mgh4ifIy5ujY4C
bALs+PGjU9/rse79+Oesu+xw2MOzwB5+ZZxBnkU2+h4lDA4u2LSI7MHsw1//3FTYTpAr15tiHq9A
kjj7YVD21tamZqu9Mj40lV0qnMUwbsL2hrbSBT3H+QofCQTveqFp99GT0rtbaKHmyZSG6aaUtR8o
GAgbh19+sFf4eS+OEMXE5bfsFtiwLSPvzY1E6J4zp7onArXskZMr5a1nPCQ7ZWME35hijq5+P2J+
HsrLBT2GDAcQvLgHLwzDBUu15ZyMLmbuqPPqbQY99oMF9hffirdSF6TQ2MsJ5+AiekLWuJbaJ4Vm
hJeI0BEx1QTmYRIywD4SvK7d/P5b/bygI7KAzQezD1yBcyjUKrNBsetQJ+1U44Bpxn6Tx4YDZL0U
H3w1tio8krcDkBoVW17KhTw3vuChFqouyaJLc2cj5oz2WR3ZogqaSC9Jy3CmMvAwvQDSDIv5i5DM
XKsZpLrYuPBey2OHON8zMbym12kNTYYhm8VRMwkV482p427TQSK6MOC+FmQMes4ud/0xPC4ASn3r
qrl4xuvY1DcTkDUYSB26v6AhsunzoPLsFK2g/4SGCim4a8TywUA1265a4bTDhswue0CA5OVPSnbE
iMswBs9KmyY9lzyujjMv6JCtQDCcBQonxMa34DKQgp7nT20k5tPCqIcGW6BJFHwCDnXJvoHngOU2
zy5dffbAF0mze+Llh4aVz+M+q9wePkc1kH7R5V3+0kjMclgXJ+e5ckHJcULVX5pyFFdmMkBtiKVy
gTYJw3gsWwMyBDkUS+uF8tVDWjmiX/WaHn4lAgOac1XmOcRUpCv7MrOyqy7HRrgQnbVbigAi3oXg
EsD6Qbkd93MK3yVQFuS9Fd2PYlhFod+tRi1MuXkgv1at7KrjtPNLiGG19qw4/HxqQQcR/DI6PiNY
ApLeuCWw7l0lYatu81h9EV1XEs9ktLRq0ziq601tEYK5EmZKrvrUpm6CN0Wh5Cw6oAwoX9SJ3ucO
iTUZWDWidyuEM0XJH8H4AX1aTybEkkYbQSvUPHPYVxpyx3VHtRcngZ5jYc1xsqxdzaG7Cv92kfqU
k49BtWQphAnnETPRFEucRx3H2roCPFMFNnD0i0L1pGM6eBXIqkWcfUmisBbvVNoPJ22KO3ZlkLYI
20kk6A9BjPF5akIUo03oQEUh0B7J/BbRieeuE9NpMGA2cbmLNbQLdkooPNAwurnYGRMMO35e9p95
GTQQ6boNYAuNCOmPpsK3ZDZmcc+2SsgV80/42Nnx8mBAPXegKKbsuAOp9pmpEVFKhMfttiiN+C5u
6lFBoxzNb5hJqUkTr2BdqxzV6ZoM8qRbF/ME2ITBSY5k2MGmZIxO9s2gW9q9Fy/hk7jh6jSQTj7s
SSfP7V2fcGoG7NLX2VHUKz85gbm00IteszJhS4DGCxE9uCvdzaYn6eAEwiCYl2TfLZmcyUA27Uq6
M0TjXEWJv46qWWL8RF5jrxqGULcnfqZKdlHqskH3wXCWuwGmE4RrZcMyClXBdqkYfCK0JXYIiBlF
0ZHxMrXEAmUSLNSqjLL+0Ul7V1/plht/dWdU+TwuM9e3vuqjU2vQ5x2cFwTJld2G96FPkCcRpVF+
IdkSxkHyGrEaeaStAgGCLkTvPqqPjQrtLGZjaOAw/9C1zhOAcAynJR4qmc3ECvKQ+03i6eEj7Uxo
P2amk28YAd2z10NdEOADerC9D/E/txcuVPNrexSCqBs4vu3K5EZioDG98HMpM/w5dVbVAJEGHYca
Fi6mGxTVdbZWtckGKp89+viJ9PRiTZQUoaGq0CtzhfDGLTYsmP6TnHTD2uRk0bsbX9KSPc0mScbt
VC95t2lusOWfscIic5DeY1Rb4IMnSuNPs5sJfLe1d2umVkZQNiNSX1UY5IqdEc5CbVTtkHqcZRFJ
OFgDmxvHSVy1zhVlghU68NSkWFYyT+c1FP4VEhq22Ukiuk9Jl+FFNSCiQ6v7nt9rlNP5XGjzJ9Nr
mHwiomKhUi5hv343aC9ugjuBXjPmHLRNo3aFZ4zjlQPqxg7Siel3lYmmP+uws5MOJavqyjEbUpjc
0R++6AaNWlsoccadsgVQNC/9xAPor+nB6jcImzQzAFpOhFURlXq1QbZvpRsInn4NKW5sgLv6Bhll
2IjdG58zrbuagbM7qDxScQp7dr6HmQ0FvfUBOK7MfuG9ZeQpEx2vpE4uCj4TB5cWqMf1ZLGyBAMC
12827sIzMy3JDJj4hvLI1ub4Bgu//NIks3jsX4OX3aJzNrD9i09uFzIRpcr/rDnWcB6REogoDwmX
syEP1ulW+HppTCcYoQFZYcCS2zYZ9Csdz2xOhAM6ppXvjrYTKGnB9E6ixphXbMtJofNEywLY5sNR
4pvpF2H1xjMF2fAyp5k2rRx9dK4rQmhRo88zJCr2uvppTho3h2uwQu6OzT1QiX6YWStpMIewinS9
fhl09ohHzL09XnPAk+lGernTkRNGgBNKMfLq1+Baswpakz3c+UODOqlPeqLO0BWkd3XqZ/2a96qD
T28bjtpPXqzdTpiwN1rdESWRD0XUkmZBaNIKJmP+KTN6vyLdLXQudA2+ddAVMkLwNuqtETgQuUhQ
9CC3raxuMk7ZulC2T7VR4u2bUG0GcAQUQe2wMjIE5EP1PNK4KcE+su4GsKcVEfDK9vtj0iHKkzll
O2Ew4V0kA62VZ9vpuyODFYckNVyj3cnYmoKIDshJdWAZlXehrAotHXQgpnRw2eZXSyuyes2WaK6C
uoT2hEvW6e+Jgk6OB0TNmBRBIJbB2BvadZkXgOwnIbJvHt2yiWjh0e9wp1suNDMLUmdQmkV3zZl7
TvHqoxmAPWcXT8jxRkJ5sKQ2Z8OE2+c4yn3nqKxzZD/0Vy2TCS23n+I5jM7b2QHnlSgUeuQDZ1dW
4WqPiGEjeH1E4BTrRpMY3dvOpwZkWLnVBrDaaiYcP70xsWecF8zy9LTYtbModC3wJuQVjbbCoqCf
6JxJ5pMwdOHCFpU9ZrgsYr87DgdZ1qSDKmhHREBr1pnB/MPOcOJYcWlZBLdjkyTQHSS+H8aQkRlR
uCLBvOE2lS28Chz5Pi9snuKZJOHb9XHYzt1nB8c30tQ6kZTSaEptcsdWd01tpCEyM8SoGAacmHxI
5XxzwiEpg7Jn84MGKxHfrM4drmyahd4qhvhERCi5Y1d96BrMgEWUyZWaiBrH/MAdDEKP3fTKngeW
c2+epL7q0buwLfJM+y7Wkvh0ihzvBu4S2REUXm9NIybiXAM4SDIQAx5yvo4AbOO1Y28HUdzLPbhY
BdwCNfsXiyCWZ3igrVzDK7BvxyYebzHymvgm4WGX6OBDF1OyLsOLmO7NsPULqFPXta0ilMS2jZ0M
oElYB4M5gyGMGk9C/XJTcv+W7fWZxl5BBmNaLmtPpford5jir4VWt+vWn60zT9jNRho5WbDs6JlT
kC2CKbTQL51r/tDP27D2Mx13qal/FUh/CYcadW8kqLuwz+yu729nWy/q41TH+XxUY8y8yu3K3THJ
JOUuhdpBsnfoUAgggMTCxEJ42XMY68W1zF3gttYiRGojLxvW2IRZJ02mT4B+iYa82cL5Pq9SzZX+
di5aYsGsfDCMDdEH2cxGt/NfjKaWXjBihieLo+p5fJNftAYBDZaIttJHGw0FrbVQNBAuS0TdTPZ2
mff5JxIXw2abseRbQa817T38fw0yYOPWxZ6EsGkOVJvAH6E4an9Locw+tMliHHVcnsnaMbzmke0u
rDq/GaJy204thZ9emjyTfPJwLfmt5d5VWkJRQHPm4lavC5ttWs+OfWP3lKM3uhNGXzCHGwQ5ePPX
EYHsZ6stzRMv72IVSDFM136hvD4AO9LtnJEMOrzLc832Z+qnnUPZNDwy++a2r1J/Z2qqMIIkY7O1
M5XQNiVbL/Ns5OZcdW6apEcysb1T1lvSVVeJ7rLFjpu2Yy+U9sVIvrHdV9dyVv0tgTfYNjlOg8Dx
hqx9hPHR3095OV0XDKocklwLdlcbO5SLYE9Ib2Z6xZrbTIaeBRjkayLLCsSmPuVmnv4klcG8bY3f
VN4yHGKrGc/miC+zkU3Tg7bosaimRiS+jUSjM6JHU24lfGFusNmGN/DMqzwAZ5Kd05HOX9w51Ye1
787WEv7XxxuijlJ4qITg2ScAx/FJacROD0eKhDaD41UNzqaq0beCLqpxi2v5WFNM9MfWWZtyROSq
IU0Gnw6O4BTCAVDSog9tgg/KEAX1nIfF2q7T6JmSlguEBn4RqXatNt45CjHrzh308CU3ekFgy7SE
6DAf3S9NifOYHJ7kmKeAGt3vymgTC6RomEWBZeZNceFFOQARNVvxcGp6Wn4TRpyAj9zaG+O16ffO
2ZxhBgzY+zU4+uvJ4lDSRY+xarDLgoQSDgQMBB2rxsIqEPhG3qH7Lkm8dcibukTaP+MhjzjVgKJz
8JYRP9xtFYl+eYAgZCBoovTd+5J/A86vbq6bPjcu85BbA+E3K6BVOKEPKYFJYiub1gUTPlYo4yVB
hwA2ok67Q680oQGvaXhvB1MvXjK31G7r1Eu5d51LKu0ERYufZCOiZRO6oAt9O0pBrpv4uQI3Za+2
KYah64mvsMsTGzxJvFV2x44ZsOrUcEYC+8Kez2KbDcrG7s+UtNNh41Tj7ActLuSvllA4yqm9EEep
wwy/wIzoA+WtPeAKqa7k+cwcr2EUTzhTVqM23bfKBGCbI6SttkOVereqjZXaGrGIPr0WbP4jlPvH
0o34awVt8CCf//j8rL49v9XMLn/mh1ROoHqjtk9dEyWU473Wmn9I5YSNC1b3ocAsJS5c9v/WzC6C
uEVkK2zUMIjp6Lz9kMoZ1p8eyDsSKHwbIRmt2r8jlTuQnuI5tz2XSjsfgAosdeClU/SmXhkVjhhs
8ASc6DX7OLMK/m/Y+M69LSvrpM9m86ukt46rBGX/RsZ1GyR+ZprbMvKKh8ogbBkgQb3RtMpZU0Zr
BIxjPb9wZGs9WF4l9h3HGeLiyIvBWTtTdmf7O3l3oW9oFzDZh2QN5rz44nNmPKXxQPE5d1d1T7X4
SBm+9qWrK68K0mraIamwH1mNtQermPCPSIMymE7dzHZmc5Xn/XSM7WuAOi2S78P7L1si4rBjRp/A
W4xelk8f2MDm9f4+AeoiMK40XxCHiU+mXmZEWtXjsLM7drJWlBeKSRFkfmQDrQaE2T3Zk+/jtbJc
g8jpKFpozKmhE5Uh+s+6k5E3qfpRsaWPz2DRyRxioU6sa6sUJAmjw5JBEWz+Drj8e98DIxvtHXpN
CDiXYuib5816Grn2UL1gUIyvizB8jk3iYXPJfJo7yHb9qPqm5IhDo4zMXdTHDqv0iE9qYlM8uTIN
wjYyHkPSXYlmbi3WQP20Twdx7EWx2md0US/NMk7JP6uSDzqph4VangHURQ/BBa+NBYXx/WdXpk6+
kR+9IC4qTksMfqdeFLGjb3txukAT1m9e5MvvFeC3uMefWuxUhA3U2HRilqdKVMz7681DnkxYFp47
M4cWZn8CLmxsbEw1Ry2lyn04DHDhYEniWKsY+2Ox/f0HeFVKvq1MLx+Agim9QSB+9OEOHlaRNnT4
xuo5mcGfYx+2qXKCMKu/0QQSL6zatR6ENK8crbUTor71ib2MiGUwJ/b0MBg1ZR6y77zTfBQXdunC
z+jmvP7ah30OcJaG1pp0MylWFDWSfe8Jp9xUhqt9rhJt01N5Ih/DbImej5R5Pfua1h0VVMS+lOgE
r7XQi6jG5Z78QM702l9897X9xZlsQ0lEYURF/uBrW+ZQRShPnkz6cfWKHcB0wkF6uFMjadOrmTyY
LTVQHePuSAHZAqS9zAVhc55zZocEFhM4OXYNtywj+wOWbYl1UU2y++JoenseO9Y8b0fbu3K8xv7M
wXQ451+pIKb4uGIaqo5LGaszw66SW4AkV1Sg3b/ZJkLmjNUBSQ99PIMu/OG0CxeQ0qT9KGvwcDiE
502eaTH1R4OMCrDMqw9G0k+vDtfjH4MJDAULGpb3Q7lOF1PrhHa09cc7qh42TPQkW1P7LtLjrvDF
g5n57lGvzfu4DeUUZGFzLfqSmrXomY/A2/SnlVRasXb90jlCgZRFa2VZ2o40W/dY0z02GmAgW/oO
GVz6eRLNVQJP7XbRQy+xfNFwa4wcBl2n3cPyd/dkC5mKc3srAoXIyFzZvjrxzaR74e03LqhQLGou
ha/79zfjsMfKvfegGqLY4wTjWN5BM6uwEoKAi/lp8EmoziKlg8AjuAsXU7znjMVGk7n595c8bGe9
XtLB1csU5qBcOmjrxknitoDtn8DMecd+1kLczAkixjLhfzRpLU/y/cvD/hIdIvMWbA2yYd8/aZbq
QhOqeZr8ns17RRFGtk1+b5RhkKLWyQhXHeajDA/NAGjdzb8mKs3OJssZxg8+Chjfw4/yOuBQ+i/C
SBSh7z9K5lPEioX/CAZUv88mjrmoTS11KVK41Kuxl3R343FyP6X0fEyIdBF4xLIZ7kRKen2ZD/XF
aHaQ8A0OuIzSsXy2PSxzq9xe6tBuH3ZHfS1VQz9JlXsRJiZJSWacUmIIQ4dLFhRzf/8krZ8fJa4C
3losS/RBGbvvv5SezDQZNOchzwQ2RQe/zTe9URyoedUv+qltwdV75RKQCj9jI3l7nkfl+aQ0WZa3
diO4WLUyqFXLBNTkXI3txgDX5K1t3J4P5M2B93VosZJAMOOgjWdxA06qOc+iybqb0Tl9rqtQXDAX
9+RuGUdZWCdXWQySauVOXr/gDzxugE6yISqasCK9Ex7PfS41YW2kpt3k2eyeaLOw95yuulMjd+kO
GH2K6RkmFF2DyIAqTqOzbYAg9NSIfn8Hxc8jdJHwoWbkBlguY+P9HTR73BVNJB4wher3FlAWwlhi
CzIC5nIOo005YeE0/LHYA3kcj9141AIAqvlJWqgoXWP+0vEM5tSOi/yLK1r7mpIX57qsjeNASnpC
hBg43d7HBQK8vm2qq9dv8J+zzj+EgzTrrw87m2agEFQmb486r3/kB1pB/IkMm1cDjbm/2O94N74f
dUz9T9RN+AZQry82H5Ot1L9YQJyCQIvzPnkOGSiU9Fi7/uUPFO6fqNSYPzAtL9OnI/7OYYdR9n5G
AgRE3h4+RD4M6yHEkIOhF/Um4EUqN5Ee7WqJrmzU6KeUfalNSDRoDHqclzZ+VCI+69LyQkI32w9p
nd3lRMV+HYUHYJTaREaIh8BO72W1OEYgc9F3moM4h1i+rGy1AA3sF7qyawLHHjl8mVs7tU5KbHeY
aL1N0at12tq3XMve0V86Fii1Oyfs1l0JFEAQY6Dqy47c6YA2Aps0Uv82oi9uzY6SkUk953OhceiK
9XTK11HbFvom1Ka+25m518a3aSHCbyoxCGhIrDavbmD/5yJAQcGcYWW5d0OBI97YOURmjn0RHaVB
r8+jEvb1mGCC0OwCCjFknELsvHCAgkiJt44+C5zR3a2hgVQMklpNyQaJltF/s+q6W1KeIfytVRLF
JeVvtotUUkKArmzODLJyJjByZ1Vs1KetgxR/3RHp2X/pLHPyUeK48I1B7lJ3kWgvNkKNqKkj2UVX
VJ0hsjUZpEHwnQRISXMI12xnvIIJLYxuZ8Ovu3NzLLsdNWUScyod6BnygPEzBB1s7r5TnA058WdG
fdXZmIjdirZ5NLHoDLrWHAk2nKcMnc2QhTxFzOIrjdQTdjW4/1eiCY+osSzNsFWZwiXvYkLEJ2sb
4zWgX+paezAJG5LEFtDvHpruLTwFIK6huvG1Vm4px8xXrpFBttWSL7PtYzWJQV/S+vRRDHMEL9ft
ZOlQIaZYGV88BVjvE4Vk4dG7KOIqYt3w22mt4ckh3ujvz2YX8rm8adXzc3v2IP/HMhE+oXhYnlT7
yt7696/OkicFEeSlPfyv3v2h5n++/nb0XC1wlne/2JQt3uSr7llN189Nl3+/wI//8v/1N/94fv0p
t5N8/q9/PFVd2S4/LSIz5e3U9Gqk/evZ7Owh/7/snceS5EbWpd9l9miDFluICIRIrSpz45aiElo4
NPD080WLabKaQ07bbP8ly1gVAQTgfv3ec77Dfvoff+Gfa5n1N8rEizSIpgj4/Yva/J9r2cXGyJHM
wdlCBQ/z7N9rmUdD57KUUe7o1qVIYAH611qm0dOhImOZ4y/BTMMq9F9wzTgl/FKJwB/BhWGq6L8J
UcAp9stxuCKaN9/0bfG9xSVuRHiN3M7QztSdKETznNYqSBauYY5S1+x2S+laB0R+/S3APRvZj16d
er0DBDhk7m4plO4o8UKFdYLhoPc06VuUigHW3qX3zUkOR9IMm0Pb8iDaXh7Uszx19nyir6z/1L31
lVWNqau4HzZgKQLTTdNMbmjPMI7UpaX5r658E5KIdGkeSz69HTEizfON0ZHJtzJSOygeBGWiqkdy
tBmMzOt0ItWMgDNN+VZ072Uk1ynZcGwqqXZYNWCx5D/7Y2sq0YJ85tjSYkWHnzXR5sEkmHo3XItO
PEr5vq4GYJHMiked5KjEJEm5ldpDUgGZNJrrwVTM3aZWj4td7pMWHPuyxa2QMXYx4o/XuNGoSVEE
e9E0972PEuemBk3LCHCDaUHQZmZfmUrxJJQIsY5vAia+0crsJWVkIA0s6GUWNYDaE7t9E/YKSpgE
RD839J9q36evagJIQh2A0zE+VsKq1WAnIAQ7ZAkD00V4weK5iM5A1AIINfysTov7mhMLU1r0jUZ1
KjxXiRRG0AETMUZ9o/ppADkNB+srbW3IvspdWz0SxBRa1W7CL0ASTEg49fyOZmXcW4aJ1U/rrmXR
H9vhpS6OYvWAzvTQpxFvg8GZm8M8aD94omr2pemke8N9rdfndhYrcgJd35ejfbvV68/OIbXC6OuD
Ny1TbDXLRzKvcTEwP3ZEcZzHlIJ5q76ybPxMTOtms3mWOhqEaDmyIM8UEVTr/E2HoApyEyA8MapG
hRYEHZCxQ4CTx0tZhkzX86jLEQgVE05kv61xwOdqgqstmcpj2W9nHW7KvoZCTONe3Hc2AV21BgHJ
QDMhsiIGLX7dz9nom6X8FKP2WTfmRZ5/MIrxyKYEy9dDS9bhLUc01KLnSfLbsSh+9pl1p3Xbt07o
LsybYaFzkv00O2Pn6QvueGJ3rdZb/brPnlxzeCJi8zpp1QdT4f9gsO/jWNdCHU5z6C5GhE3t0Gzy
mNr1Rz9mW0Sirv2OJeHDnKYfk2eweyy5dtPRLyXG9dFrINW40H4vsH76+UEuhi8qgUB3FF56+yHr
lvpWJoBcGMo3F3ehFueJ/lmkhn5MFXSp9cIgt21wROdKeZSF9a7PpIBWIOZHwrDWgweTfMput+Rk
JVng9GgFM5KktFhwfEGZ/mWv1lEXyb4dj0w2Nm1hwwe8Mio6FBySe+2sIwARK0y3N/DGVFsXNp3Y
EQXxphk8M7OrSX7ogWp+gnmtnuvyxegfmsUJmfahEyFgLeO788oHhXyfzT3aRdDyL5Nrf6WIAZFG
XQRUDH78rUW3kLCjA1x22reZYoP2a0fkE20g+s5IOIsuTyQEWGsko3E10vXeZdy2Hqdug6RiMJ61
PkkkuAiuTVadvPBruIDmwSN6Mn1T89qeyQZZkb7fqXZv1jeO1lbylfKv0uL0knJ+BAkPoJpksqp1
YrFiSwvGwRDFCTpyYQMp0hOdhLkLZt+c0pQvNSTGR9dW7o3q4S8ONUWZ7gY63UrAbKA9LHlDxKex
cRALBljZiY+B1U33tKqMl7KgsefPq9p2+14a9idlrZoFgBo2MhkQTLE655scDN/uEkTP5EKadlTW
pSQ9OjFIBewnxGHRMCplvtvYb8hG1cfFb2WLmtKvB0NlbGyUzS3nRScCcenuU9LiX8nsYu5Z8sK7
VqBqacJR2JxqSLP9AVRSaK0DJTNB1O/9pl3XeXljurly1fQ1GZvCSIKWbEZqUXt9MLSWFhjC1tem
c+sQHuGzQZRXkM3jF7CPNh7apbrRholXh0DNDrC+6y1xrXdHpUq9o9x264yScoFkRKFoZggVsySo
iNCyyRUdpz6e8jxCbseNb25no0fP4+0LgB+dokHIElXESrvGyXbU5nogOW5XO0p1NXlLDlJ4eMyy
DODFJF6RQUaeaJ3zPPEHY/9zM8vYccGSz3YaM8KL546sAd1yaQdnQxc4xQ6MGboYswEzRALB3I7i
qDBjFsCUjHGy3hwkETg5kEUwdR12G2/RwU5QgkAX7SYGeWZ27C+52KgqqcJ5JXWZ3tuZuHLbZLdN
TFRVS0Wu6BqPyZpW5wV1ZQA1zLeT5Y5sSbIHy/KES5NYNHMRAZoKVLez2PNr7sdmJAhs7X8irf12
ixyJTadlcTqtLUfwooyNBKkIEMeI/JOFDME1aul4pPTGI1ek1e1crTttqr67UTmbyQAajYDQTr12
01fDRKVPBsEJctrtUFsMQ9OgMGAKZfl+TG7q0p6iiYjuVFnObbvd22VDI7cdprBDQBmoNuL/tmA4
scWO2n2r63DrGFV5A8m9Chdz20OvdyNtUc6TNV473ZAHXUHCMWxHOreeubyL+Ubg7PZxKnr7udLI
5K0Cbzt3dsVRawonyiW2Unf6QmL5bOY5geQOi/+waAzdK33YkeK5c1J8EICVnwZnOW6k9l4LBXG/
2iWo6tadhe52sAA+kUDH6H2pbiurKPbEYT5u6Xs9DVGVjbtpmw/wxTTA4KMPBo+44fy1Ik9kNVxY
fjXbixy9gzbgfWkI0Ha4A62TkTgIuAp9hMO6vKhVTGAtNIvW9k5KkX47Bp1jU/lAzxi7iCr1Vovm
pQzhFASDJyumwzwA4zoW+yJbn1td7laOE4mqxYlTvSaiu2qbNCbVMUpUmF5K/TOfkoDYuwhsRkkZ
c5GGFy+GNcQ20j/0qzdFyfG3UxNS7KylPhjWsjdkE6/9sptT74MopZBw1V6c04xnS3KWWguWehZj
77Ff2jOZFdQ3T5MpIrhd+2F+kUYfq6tdPo+tyi54422qtyeR5CCFEl+6x4sCVr2CpenYL6p8nyrl
0yOUvMvPjZjUn+ihT3pBVm8vfAs9eik8+CYKQcKViBDp6vu6cKvndvZetFktH3gnUdKSFw3cf7pq
LHWflPa3nRuROlDSSG9m9UWHxVa5BHXa3WcIldewt9LGt9oXRcJktWCCuutc70k5EtTQYMA6lkJc
r1R8wu8VkjoNLvnNJuG6OPXZHREyUU5ODq3ALQ2abEtuGRy9WG52PeZYzZim7XnUAP2mRNhnYjxN
aBR6tXlfzPbUDu61V2jKAW0YMPi8iwuUxVuQ4GpLQW5L6O5dv2NmtP2Ys6lmp30jQbAJE6klEXqn
aHT2Sc9GPqnX5nBh99CviYUuxVM+i9jLYrT8P7bKviu1fgmVxnz15MdUEsWupzHevyFahXPnoOkJ
VUNlZegnpMsi9Ydi7He5LRxSiOaA0RPqJp6fFT1DY1/Trd4nHlqbzFJJvGqr7gmgMjNeevPbZ4uz
kJGHs05nY5nycJTLtoMyOIearhRXfT2XoWzNR6aiia+11m1TrcsrDNXtOyMYMUPGqWpGepXzDEXd
eEvS+tO2kgWae0dnkwdsQSTa6F1AzzW4mEnyNUEu7eym1t7Rhkb2QiSJWQ4kCzjK3bbaAyPNdHou
0+2RAziYlPUkh7mPasxuQZMinMs0EspsDEvokyqsYwN6YqQtfuV4Z2Qt5xwRSOrl10rtvtC1/mz7
/Dqt77zR+hBZdtlcfshFC9PKjcQ4Arlje8JiYT9aWq3Em20hnDfLg5J0sT00Jy3frvQ80Vj9Z65D
6Pi/6oiIiAfN1m8qfAoLkS+bibJv4eAKrlIS+eQydu453wUIlBEpOretq+xT0wy9dfiEV42ksqNf
2g90Hewk7ns09BdHxdRy83rr0geeijXW3IVx98hhrsJxqA7Fo3fpxoDK63RxMObxiULwOKJv2Yke
7ZOU6xHnBzXBi3RHL0DUq9/UvflpZcpxZv0SdfVBKC8o3VKA4aODZN2xrTxedPOdOc5RYegDsCkT
ZZk1+TNN/mO7jC+FoQR2Nl5vrZYHVqd9I2P9mSzqbkzy59Ebz2Oq1szgsx8X9ZW5TrzbXoyaCutO
PJQQGZo3gbWz40xgUt42uNy7SYXkr6Or5XAXgfh+kc3oPefrOCC4dWPkpEsgy3FnaurNlrEjZ44k
WynnTJgY8wvumLe6NLXQ8bJr5FLvcssi0N5PqWRknhOOQOz0FzO3S1iuc+ynG6IMAlpUsewY3SL7
DefWvHWdtHuQZr3Lu5IcDZ3qtHXau1K6u3lzJDlL83eykSWCsLphidgKPECsq6rHiuWNUyQX/V0V
BU6L1fgSqU2GvJVaF9NPDNW5RmhEMrIADVg3kw8apMLyO1Un+oNUicg0nJp1xHM54Vvrg7sZH0nX
PHK810wUUM600FvYDeO4q9BAhH3h7MwmuZ/HFueIfj/nSTTpTmTNedSMxlfdd7E7Lw9kZ/y42JBK
jcC3njNSjYHAPXmlueuG8kk057qv7lC5yHthYT+Zprgzad1jWmnTD+bUGDFeyDp2rjoJqBqpb/5W
FORkmJrAkqyk8j5BxMxJ4Rb5bPqZpBn5acjk05+JMW5XuZkL9LeEpRx4ohQyG0hVe5EUJKTdz8Yh
vRAM18zVH3tNb29VbVPPRcGzJ4UECqlm40uFNSwAbq4eSsdew27l8CygeciLENpsHaT1VtPsqOdT
TtSXnqieaIgo536/bTRErRZip6d+oElcyT9WE+1QVJoXSEsusUQ3tu8m8aZAyH3SFDzzZDXoH+VS
ypceHMQectK084B77mt8Dz7zo/5gFmNzyxFWuxOGMseMuSxST9B3YgeQxi5NXePJwKcyB0qqygLl
yarfW5sgEZbql2OOQqPpUbCVHdsaL8BGT7EAoaqzzGNDoqovrJVNwy6aM1tLIfdOvpXhfGlzMGEZ
r0j10W5qtMfHinj0aofjbf2CAOgE3SqXAytQc0j6dD1MTaIctwEsbDeQ3tF34Li9TN+tZCNHgDSX
l8LbqoNV6MuPvnUWpHQoPcORr3lvI3H8FtRTYYY6Y08Wk4jVbF5uFlGtX4XlcehVqzVa0WFgmEOL
5CGy4xTUcGXNGX9KGmlNu4HLSBZk8Im7J00sfyfBw9571lp8sJCjbqIJLrdJjV0VETOmL3P5aVpu
+2OYJssLdGIDHmf7Il4fa0w2xqK2fgNPNJ7cJotVaephxVG9zzssUtZkIA6tW86/snp02Q/RW2a5
2I3c/Kuq7mvC0RVQNPjKaSI5Ex6PS38RVgFe0geaMILsws26tvXB+Vj0Kn9UK+ITYQPp+d5TW2XX
6io8ZkKLTg15fecqm9BxauoJ6xcK+I04scgg16sIZrUZ7nA6qG+JlY6vKVM41tRhoA2dgbn33bkq
P5KsptiA7auEOtUtmszBJudmNWJpLhxiK7A2XzUGNUJWpDGngRBDcZBW1p26oi+ORJrl55zy6Ae8
/xWnnWGdiAlK4IYIj9yBRtfF0eBTAZkOEk9101mU6400Xjg/NX6rsMkgBDhkWR0NYjtgSb9DdJGH
defdo75910W3l504YjdMaN4j9mCk6GAAKXq3OgyCwYe/9iMdgMYBhsFA0FpPzFVZRgCecVRaGAZv
QVp7e/RnuPrEMj3ayqyHoHaZxTic6+vQHhyLs0ctdt6gqIHJcXpvXkIvwhw9NDzaOt2r3JXVgqXR
8g7sCzRQZTgWcLpIKVXEXuFzdp3bamHVp+Rzu8787hK0POGxuVXA/1IH1KeSdO5WcWpfL8ohLDyP
MSsulSvFdO4bs9pVbn23Lv0Er2YbxriReJfJux+dq8UZZAXzqx8fkrp9KwiY4E2d0+FQZXlvBoa+
to6P1yE7SVy8RKsXLKmlu3V7tFwfWKPBfms0X6/Qp3mYp8rKPlMha1G9KnRbK0NHQM5QXR61toFw
2wxib3ceyd1GW7dfpb7R89wcO+EXXdQlGOvublYptXWdsxTFyDi9pm1FsOE2lhurnxjJOyB2XoSZ
Rlj8JuvuiTiAdvVBonhHkXR5RG51ed4cc4pzPTkMTNsR8qrj1ay3bmSgNn40zO1SemzudCCuoKSn
6Ij1CKsBwHVetP3VIsx+NwK5gL0k9I4lRPN2xswJkXdr02iqDMOBpkyEK40D2qhGUzKqMCam8UOT
Yxb2kKT93LYxg8km8mwEuqmxH+V8bkZ9vteHitP9aKjLp1M2qm+RH4o3EFAZJNoEE17OJn7geCV/
Wlmf7ja3z0u+RdIF5IenVwsBjKcNMPbF9ZBOMsCTmhzttbm1XAvvxFAl3V0JUeot4Qzm+XKU9UV6
bvK25cnJ0FixCZmabhDgPJujfCqansbikNxpE2nAtYI8WuLHMRoO9LQ7TG5vPvuNdnGVGQ+Dvt86
Mb96QmnOpUGnrXTKo85ay9EmezOwNMZz2b3aVX6rLcPjJLRvlpFg5lZSlnIOV66nDu9EBfiTDWgO
pdr/oAXG/7KKH4PQyPko3RmHbc6z1LiEA9uBghnComSzSuIqxYxYTzqvemM+0EnS9qJDZeWVxu28
OIT8zc2+Ihy9LxolzmbrGfdzGiabOdzRZ7rN6mWX0VvN1Udj05xzYxUfC+ufVqK3oEA05XmsFXmn
KDTTe0vJMAfxQ+L4aXcTb5LLEFJz6Nel67wDBq+/ibXBDEAfLJi3yXnKOjtyewQGo/q40p/3EXzd
LD2Vg+VVn6WpX6tmg81E1Aws0aGaVr7uWkttPtEn7VpW5dAYyxu1mPoIL1fkVkY4O/NDSVDVHqBe
ez+Nqhvp5nKWhf5Sb8ZnP9jvQ/7UCzBvoomybTJwhb80JROIcRH0nIYKN0DRrqFmvW+ezU3MnKdZ
9a4YyMLupgHQrWRWklzMxFGjmZKTuo75GKpzYCXNLbhWuOZtvLRtxKXuLFYEwfSlGjBXFOkzmhv2
9cok4V3mR2+uUY0gX6That47EmBRV3eP8zje4KhmTprT8NqMfUaWSZCVuhpla3nJde3oRTr3kyrz
uKBOO9NviBvSbq8KjSIPaOjOUGpxa6An8TWv+2kQThZvxJDf0iC+X6j6fXvirCxm68G2rOPa0tyW
GV6oAe1en80xMx3zx9hMnAra59JOd5yLZDi41c85y+d9mbaAYOeUXJUsr5UnMsrrA7Iuu9obtvJK
5+A01hdbqDs/u/oYbM6yxOrU30nc91jfkKmhPEIZX333qPXpr3wvNfNXOea4rFFCQ/nATJJYpG+7
abGjo/I0Z3TN1UTeJWpbHGk/b1dKJuSumpMeD0/VBvB2sPr28NjW5c0uy4OXaNw5umH+XDWPdOMV
whfUo7CzYd8tphn0a8/wiGHGwVqroDF72IpkwTVXzWgboVfY4da7e5CBaqhqkjsnMM3oRK9qpUUv
Z/mxEoYbAvg7g9/Wr5QeInihuPPdMmoKHnNOsam37tYNUi4ngxV15FBwhZvLnrudW1neYeRyIxyE
jw5JD2SS5PrbaKUzQAPVJi0wIeTA8yAZ2LmSk2Fk4xllshYsw5fb9fDmlaJ/WLepeGUjX05Nk35s
ishezS1xrwUD9HrkcUkUm+OJvIxH8gTOkDxyKiKFkPgVwYBdGyEGGAh58Sb369n2CmVnGHpols0Z
7/d+3NpIc733RdKwo+2h0JJiMOYZ69VggS1Y5p8667Isix8pc5iG8VAwkVSw0cVhRUMwpEOWTNPR
utJt3tN20aLeLL70PN0hSfc1yjzfmcWuNIon2Q32odRazJA0qpEXR7Oi8CMR8q5wjhPGU6Yoi3+B
LNCPHr7zXv7YCi89e04erhfxVdWxqVBh+Eay5XsdUzDmoCMY2EOvWXS1WaLxefgZoRlvllS6aBL9
DAzefdpm43NyspOS50ctd+K8LPYeyAWn6Gmp9HE6Vz7aQXnOlERez6omgsIjqKLVWao9VWwhI40V
ikBCkFyGMWXJuUh6V017lkjp9N4tqVpHoHXeuTatKjZBPhwLoSjIBU0rsNvicRXVi2Is30yxuNzt
BpVCw9J+qRDSHx4NpnEsl9CoOkr9WX3I8uxpQccJODQ9mHI7rIs4iVq7woO4hyXNUX5MTxjgjmyM
PT1gDfI9c83dYBltmJscRaCWsdkZdBxV71RqOknOm/XSb6TVJqQ7+O5iaUfGIY/II4JpJGBbKvJV
MN0GKyvMq4Ir2TV2i5O0snOkPNRtxnOTv/bzt+wZdig8+qm2Ye5CIP1zSOw35NV+55hxUxkaA6ya
hq9peE9Y6KujRT4x85prY9oemyx7b9TuVV0YK+DAIbwAp3dyLTETUTmQVruRYbjLE9cNL6wBzA0Q
I0bFF5RnlA2JRvgwu2Kv3U2SpMCK+5Bn804k6O4tAZRBPQ2JWcXtRci3ubQaoKBygFBM36zVyNJ2
sy1xkG6xhxnd79uG0AhVDPCJxutqqTTS3DUmXdlyXAyDpJXKdJ8ckK5sc1oKdsPpb0yC5kemHVOv
7C8jzklJkYPqIg1likG6b7c3K2/u8vw8F0tU5a0abqXJAaZsHiV34bwVGgu4Zj9qhF0UEGmjdFO7
sNAGxmnPDc+dNamodz/zqZs/cGGSduAUfPitaoNb6BvhXTuOe9cRFl44xk3e0geaW6KKdXQ2fw8+
syfccI1+CVRkwRnfO56v3Adv8GzQkM0lKMJ1sO9UPYm3wUEM3uzpqTLUSE0m5Gzt6PDpCN6rNvZR
j5d16/Inwk0aP5sNkiV3dc8V+6YkPbhOkx96l+/m0mWyqCeEhTNsXBbtKJPtXlCCkMbA3JkRSVJ9
J2Ac6GhnPsbBi++DspWt5kayyDttvTdcK5Sj7jfIDoM6F6dkrk6GrDh+bhjJnaKKyRQ+eC17NZzX
8pMNJQkmz2x3tdLvm4zuen9JsvV0SX+GMZ4qqvqGV6sIAcXccxYKbJxqvmhAYQy4s8MGywvK7PmR
DjDtrrGNRcowWPui8I+rVAH4zNk+d8qvpJ+vgBG9mB6O5dXw4DveMhEiQZegE40FuemNMFnluaYo
rF7KeTxogkEK3CHO72P2XGnlzgAChiFeE/dugevaKDFv85aptnow7YHmY3byEEThc/xROEzwW639
rohd5YiR7Ae2kEBTs8uobKXpj+gMZXl2VaXax1jYzZWOkcbXevOkJpAySgMtA8ZHr57XN1utupds
G6Y9Ye85yUCjCKkZ42FVXheziOpU0qKz5hAdCEiYnERqpzia1VeZi+uhngIPgE49LY+pmYSuOj80
WhN1+vBNr5N5porHmCDYJ5KPsrdxqm9XDqtzR4O6naJiUjgOufLkDsNJb8fbentN1C1o3QrtgOYj
n72jbbc3UnM/iiy6KGNwAwfC6PaLRvOucVZW5574jXI+lANrkrH2uC+z62ECnjpN/Ic7XPctW3OD
dtgxbxgPHNpc2y2N8alI1v2kG67qST0jf/U9iYmjv5v0njoTSUedjDdGDVjbeCaoFmEjtlQiyp0G
dpJ6xPBJKWDOImDP5gSohm7NjugqPxRZMVfWplPvzKh/1r1moADW+nPeiB27bOhOY39ACh0oU6y6
FUUkz17m7oc1/SRdBs91S3etYdgiKUWJZ0+cx55ePqHl5X40rZ3ZsqV7xb3ey5d0laQZ4A7FiTFh
3MbMrqXfRsIqm5B2utjFgTO+31V2tG1ImpIhOXT2etVrGW+WPpN/nLyoynQsNFor1R3l5rzLmRJj
OVP8Kn+3utpPAAUNVR+pUxK1gtHuxrnB4GzRaYwN9NPYmYfW3oZwUwy6uMjRe75mpXdVCGAmDawp
i2voRAQb+W6/QRDpj1WOsmoj5bWs3q3SfJmc9YaeG4w0evt2DX5TxjVO/s2S6Z3SE5TM/IdEQUcl
iQls1vpTFxydxGp+I8IMSmAbpdXeq17xsFlHYtbDtdQfsnq6nhmasLB3nKjaHjNtRvokoU9QZXCc
wyXIJuJiN5cne2V/jGpZXBul3J56ylMWyJSGK+0UMzGP1lpHLvAkf9O2z57CCUDCg1duD1hs42x0
mZNX3lWOkP0s1TG/RpK03TTTclr0jVJHfP1GI/z/4KO6CNVw6136pJcMYXhuv1fdEva0iaLm0YCL
at2saCzl3gTX8FXDgXrBRUcjNatX54wlYKICTNdBJ1GdUW/0F9/kF+m57VyUdxf3m4uaU8Nm9Ptv
kuG0tbHQ49XXrf4dDAq/tEZPsPTLqi7uQd8oX7Tt3cdybPoHdzDmHYPLfgiVzS5+/v3L/I+K/H+h
0v4TEXmYZx/NOPxOeHn5G//QXZIai6oRLiMgD00DyYU74B+6S1P7m+OQLoMJEAsgckd+3H9qyDUd
CTmuGsJRIbnhz0Ss+S+7rIqOE78T8nLahxdrzH+juvy9o8UxcPDiyNMdi38JJ+iv1GevUZIxHxzd
lyToxXC3hjB3Km//m/vxBy/MH34KDUh8YXjD3F8tPDRoN29e+RS3MNdzQjf9udS6v0qdwXDG0/5v
q5CDcPTvVhZUPejuWdJ/eRvKCdqLznbsF+Ng6j7WcBRpLfHxt+44ulDpwZ2GkpFL4S8m/KSkHZAM
eeY03LaeDY5lmMb6sV7nzIZybmnN1SQS3UBKpprMmZJucXY1dd4cZXWTTeEwCA9xWT0ufbhY+ngw
c/qYMev9uNeAHSCLSQZtpdxiwOPwVehhIIoEs8YAvlTlKfEA9yItz7eMY4qZAFqurTpWx4lAGCer
bS2yxWJ8Ukn2TO8WwG4OGzEltov/n5jdIr8RDRo9v7Hn5TQ7hnVvOUQB3IAwUp+h1YjCB6hUPE1T
5alRstTNtanPQ7kbEvhQOyWvln4vB4E+Yh7VDfchaAjUEN7FTlWICeVPTk3qYP931TbqulQzpZ8t
mGHiRaQQs2a2/cDidO/uIdU3bZSVnqCFU9ms/J5gJzgpVobmddBx2sFfW9kJ9XkbzrNVmQzrGhpT
oQ2GrH6uO4QB1DumjDvqjFuRUSn5WgeakB1hHegB6oja/C6p5TuZwt47oYPLUw3u6XuqDIAQXUIa
MRwrbGDqaH1CNDK+TdOz6lfFEaDC2hKaD5xtVXdjD9WgdZHSjFlMb3Weo8GdSYZrdXRl956NTosL
KwlpTKTby5NK5gEVDqa/IsTeMepvQ0drMGz0hd7FoA9mwiwPBdte9WQ7R/ilKVYALnh6YKnU8VQA
YkKLBzLVIZo1H0ChFYk2/3BHdwCbYxU1XJbWzm+sDXvi/yzP/8oEw33zf5fFP77X23udvf9WGK9f
DDv/XKDVv5lMP3DlmraHnOBi1/nHAk1+Kg020PGuzrqFuZJF/V8mH1ZhdO/8mYcHyGFc7vIP/h9l
PCs74QU8VliGmHVhCP4vlPG/X9VA+jq2rTsGCzX+Hs+8RJX/1uE+4SJJBvSMaICJxI5yUalxJmvy
Qn9zV/5glb6sjv9ePS+f42g6jGQPJxuOp18ttatnr7ISY07rtEUqmqOF+MRY3LzoDvksf/5Z/3lN
7HzcbAdOA31A7xf/aKF3iPsbTlvqwiI5ViNUWQII/wIO8HuT8D+uyGE8hG0BbwN+rd/fubRHd6li
a/IzAHV3Vi/r0ff0LL0p3A2pqttD8Pvz6/qPe4j7+ZIicXlY2IbUXz6x0M3elR0y3tzssZmXWQaE
CZQWdLg8WeL/vw/75SZKdd3m1bhYtzR3XfY0A42nIuGkHUri3nZ//mH/8Yt5Oi5RKM4W9BqL5+SX
ezlcoGoWJiqjlYAAWwd92Gx1f/Epf3D/AGVjZ8ZWjJPj10A0rUKupKcjmxb80lORGTSUC2dDloAj
4b+/IJqtGjZe6mf71xApLSuNEeRQ4adDqx0sLibghZ7/4qX6o9t2ydVgsbjUP84vL29ZjVa5rugF
u9bU9sUIg1ATVv4XIIm/+61/9+7y6+BRxMXjXdIMnV9+HV0hhUpVMWwVSeq2Ydfj+qC/2LbpwDRq
GjEX027or9rJku9Jp+QrnfVaavsFbkbuA43rukd94W0P6h5EFIDuUQC5RDJ5tdaaO/mk4iIvnBiH
JEiTB9va23axjIFH5inWA0elzdfNWvINGdgQIRNfCFDWlHvvdnnRGG21kZGJaVX9vZerUjIk3zY0
+4jbXxN2xP8uTYV3nzvCg6ryA2usnb96tVkNKDOVixRkLVzXt1Y6/J7TlHdNNxT3GJIVH1uOtusX
1Rp9Bm3eXwRa/MEvbzgqsyAMTdblAfv9CzP0E7P9GbPgoiouXpOONp6BDvPPn+I/eGFwXqnqxcJN
8fvrEpdsm4JhwIFbIcc10Cdc0MagogyXhf355x/1H6spSxrKayJqWFM92/xlucltCHY05tDQFv+b
vfNYrhvJuu6r/NHzrIBNANOLa2jlSEoUJwjKwdtEwj39tyB1RZOXbPJnjbsGioqQScKlOWfvtbvq
hzcNCLAr16a+IDs7varQTrnvXh7ymXuIyo/V2YYxaNsrhejh0ieaCSqtz5CmyYqkiZMgysCfX1km
jkcBVOQ47PfhFoFddo6PJ6lddaltslPuGmFSnKTxvRbRR8xeb7scagU8IpDjLEgc635b8R+warpc
qjphy43NXSZn5kKPx0Pcd/X2Uf5sGHyiTDhBPr5p9VStVGVqrrgKbFy/DSoDnxyAN49iAWnnwTCK
zRv4eJRyNIHfWRq9yojzrK7lKncqxIeXR1kf8MN5zeIUvC437prfxi/r6//gjmVBqrH8oDAJ1NJ8
TM2y3AptzT/M8oeFHm2qktdC4whXOR6TPZtvsNn6Paw8TouoJkjSo1RY8stOoIgjRK7bJOBe9Q5B
TFqdIgOVX2gARZh2o7aEY8daT+Cwa7WHpWw0JRijsAocNHavd4Nh4tpDkkqeeda1utyljj36O2rN
/RB2xDN+w5w4QvNdC3d0Sbr819KOxJkNsu+sLeJ5SvrSXugDBDAMui2yqLg4c3MnabZEYpN+bdL5
RE6bWeK9VSDZCitUKICEbHu8coPJuYsVD2iv58TCL4RIHsBmYIPbsyr473XflSPSiy7qdjAq1M/Z
bMYlRFYkEXeOY91hIfbsAlbdMGLrYNE0EBAAW4fRXiS3UKrlsjPpBGSh44MB3hat2WFq9JNy2mSJ
Wc+AU0cMBUFnm/nZouMRBWnFOnZXTKsNEV8lysISs1UbyiVJ9jqNOuPSXxzvm9PMor0JDE2nJOtH
J7Ypu1EOxk1iVpnDEbtCJ3JmBDPV5hYhg/cFM7JM+Akn5lxvqdImhA3pNoekakdkwMU0QsIsVRk6
pRzTUA7zGBV4mSof5p72fbGNms6gZY7bzzuJFfrDMGgq+7vNS4BLzx/kN4CJyfhZ1GV079XDgoZL
8GlvbNefPwWQp35MuUm8hS7L9nrQGZaGhj7LNSUMKw171VJur6U5XsW+O8RUx+nZb5wMYMQOs3Qr
blrq2u7GB5R420uV3AmApnXYBFbztY2rFJGP6j0Vb7NxxJQDbb9JgNh6CkGkVY5Q0c0JQ4PMkoJW
vYUMxz7LBxDTe0eL4Y4mgtHc0cPpHdoSaN73BAYE7tqRxgBCmLqTbOgw2mIvIFtUm1It2NtENmbW
wUlaXPeBIbw7UZsIYckwp3CAlYv3fEWpfSqMJAXlmcm2/+GkwprPVYm689SH5QpU1yiAXInAoAqR
t/nygftuZl/w+ZrG966Iiv5mxrKtTnSLQiq0GlFhMolm75byRSS38dBkVyXRVfZpNdMh+UZoVjuc
lnOE2iUrh9jYu4g4bczneUmLTaWN90uWaA+5Z7aTfVdeMSEDqo0MVUIKeenMD9o+o5OsyUd2Ejk0
35QgnjzeVJ1e2mAzyGQ5cfnimx+t0aT0PeOxk9tZLxOAD2mmzcc5GJNqhxhcpGtHyHLXtoCr6SUW
lCUq7XQc8FvtKKDpZXtDM9jBVVY0yOiCafDxCQWLF+9cO3VgOyHqwgpIw6G8lJyj1CXEnbysSDzA
MUtvD++oxNrGgVZMOC9qg3c8GIpp3pFXTEmCO53nZ5T8SqK9OOqpMO6X+m4m0u20zLwJX4E5Jmpv
DZ1JD7lKGrdvN34Wud1X5dm67392qeYgY24sN3Nrb0fCAOTXk6Sr0iX/nPm5GYfTOAGKGGD+4mTI
nAU9mWdmcRzQ88hbzNoDXFuTEHRZxohRIEfeA3+lY+I1nZ52TWMF1yh10fnHcPQ9jH99+3nyBxg/
YznFLqJ2u6j2AKAH1BCOpMHXlY7okJ7IPtjgPF0r327HTjVIOo82mSmMMfRzjgsnog/cDg0w1Osf
49Lh+rIHoA7nfZ5SrcHFahuHeYIFdQmHc4CPjZ/IDZsWaMs2XUpMA/4Am+9kgrGV0oLB8yCmmiXb
tUcs6Fkfu80pug6vCgH6YaS1Rjv4gMYLb1vbm/z0GbsWrIcqK6966FwjPdyYYwy4m3Y6rCRgnN6W
g8V1bvJ2QqPQGB9FYSwRSuYxavhQmvhDJosSMRAfAbvpKL3i35AT0oMJZ3vepSo/rwufudmc6UZv
AM2NPrAOHzv5ouDl7pE/+lfcKYserBjL2xopRxSatSx+9i2S7U01Wu7K8Y6AXDHpVOmZXfvRN+F7
s942nCTsjY1vGA3CIJpvwgJOu+mzJAefnPV6P6UDApDeNBGpRa4YLsUIy+3QqzQeOI345AO4cRkU
e+Igis+91xvNFqiydT1NFWfIxiSMe9O1MUcJVVJARu+2yPuGpRORnmGlqAKEVd+VdY//Y7HN9jRo
UxSdluIkRBi4Zram/L58Fh678b0FMwfLjuzHcz4OF6sMkrVLh5ALPM/aQC8Jplm5SA3aWG7qxkfj
PHWl4iJp4d4gPANtX1ZjRw9wIlvjZ1rzjdzwY7o1nH/46LxAgOtul2SW8KFLw9PnqeqRSZV0R4ud
7jTIcF1ZCSkg/DW9BXtMgp+pqLCHeMIXQLiSdiIt6x5PQ4a+Nb7SkwNxwy5jHxsT1VFo6FGRG5cq
Fx6moIH06rD2BeT/BtVdDXO4oiZrNK3Od7XVCn0IqKgY+yVJ0R3PoI6Hiyqvbbx3TDzpbrKcGUV9
hJnwzrUQFBs4zN18PC1h7GIIDNo5/awNB8Ff2+Og2o3wj6N3DSlzkCHtvOqMiwDaMtzhoJqU/5Fg
hqb7FiW17H6NGaBxNO05upuY1YHuOxMzdXBlIkIa88ZC2cjcYp4EQZvcdHlMhzURcpxDytooBgHO
IwtB+gTiFl5UypRKUBYy67mnA9yCNig2Iu1cdZYVDauR11sBGYU6BeTmVrJiQWXvZF+nhq2xik4V
GiXI5JZ5UlH7JThFDIsdlparrdNsNFA9uiJHPt1i7zrgMmQOTVtOg7tK0timTI8JYlukeOnOXMQv
FfVuNmVzItzf2uvR3bTU/951KVz+3cC2Bf/awrp10HmN4zKbvPrXzDTrk7WTxDeeSW53mDJTROe+
7XUSm0mL5kUYTR3QqVXBZTxIArFaCkXAlDH5OVtzlhnIFHO0t4utEBj1RV6muDb1en+LVnwuy4Vv
xC8Kk0XOLcSyZ22A+lekwj04Xd9e2LFAHRMQ6WzvgMfYOhzAHX/WahDvVdv6cmsFnfzl89CQ9LRL
gacESQaa4gj2GDpGigbTL0xZ7tdI4F69Bi04CZjx7D+xY/jzvBlit+uQvGTZFzuP3O944prqIm80
szxqUZ9pDZvBfIaEWeNnrER+oFVRo9B2Sb2hq7Cihd0iwd+B/im4QXqQVGv3N0VTOKXGbaY9vJIe
Syn7z6mzyr2oNDKEKKrtK6cs7e40dmxP02g2SyTiHS7IvVcWNrbEYXHx2SjwoZtaaL50t07c60Jm
9TcH62p2aONoocLEjGqEdb70tMldIb0dlYUJTGJFXWcv40F579wqYw0086nY2TrNEYEUVnu2pFOi
N7Vdmxgm6wYV8pJX90O/WoNEPwW/F2L4PbnV0u5Sk7MaTbsun9Al+BUWbLe1f+i2ozVWpQUqYzMp
TXujiCi77dAsockulpLiIaLPmch3Ink2plzoj5v40Ew4AkvuQQ731Udt85JvrUHPBsFqiZltyRcg
SIN8Etr1Lvb+z4024iBkt1acD5xt/L2rGoOACmeYOL1Abf6DFfuvbFb7uGLAQQpGFodDKWH/0iB6
fHoz4D2P5oKnQfRses4cPo4kNPoomon27SK5T5MeH/PcRM5Cu2sENKvzZf6wmEBCUUh00FFmGDnz
FtzT4h78qXTQsILirT8U9OeqTw6aaD9MOLFhsoyJyj2Nh8z6iuasGnaEsKXRR47aeERR8qckvdRS
fiU4K/GuzcWzT92+kt7W1w1adCgqn8EMRMH7uUDif0ClHsuDiCIRrKo1nCRlB+/668sH3Ke3iBBt
SYbmylOmunJUVEnapIlien4bHwvUDej56CQKMmRebpkZN4Uz6+uXBzwuGFEntFAqU+xHyGTZa7fj
4Yl6mDPPyGcwIBNU4+8LFHp8mwv75HohpuPNYznUjOiQAAWmS3JcDZeg8cjPQafZGc6ubSt/XxC/
cIr2oNq9PNTTQzsgIn8tgqIK9A3rqFIUVFGq3HJlVOF2CtJ8vpz9tHvl3j0dRBoWoE12DmvXx1t/
/2E1og3KVg4TG5NEZ7/KzEo+dGUznr71UvhYaMmjM6Mv7x3Xb0ofDBmE/QaJczGcmKAa0JlV5eHl
UcynL8L671NS8Vb1geEdvQguNNyAYFvUQTykeqcoIE9sEU1Zh1J1rgh9baiWFqy5WDf5BMbjKuMo
hz1/MmFCQgJxrAtWplZiFzFn7zQx49zDDFpOwfbln/W5++6bQIPNVREBku/xfbeDRqCxWO+713+y
GzzjStTeK92UZwcBiuxQR6WSflwFNIdgsPpmppqpOIawr21AysxN47+NnUoF0KYezVtKk42GG/Dn
x1eTV96AFjsGIyB70qgxPeFUan3Q/M7Y1m/9BCnQuWurbW1BGNZxQypZ8GmxbQFbYy/dbimECkGc
fO4Qjr/ykJ6U6pi/UIvTu3Ys26Dg/fiyLKfDimfMesPLC31orsdTVrPsPS7j+BJrADFNGgnCG9+M
ddK0DADmJJejhTq6l7HfabTfNA+IiY6gNODatlDX/xnlf8qmf9Fse3DDV7bdv0l07+5LSHTXdVw/
bpvzx/+0zWlx02iiXk6jxaf869Jy+tM2F8Zf0C0NFEr8R4mYlvoDZZMJUpO33zAh4NAitfitf7fN
5V8wLDFa8J+k7Euo1Fu65pZcl87/1I49auy8+ZZJWV/SOLfXH/DhbN2ArHK9jBCz3JEQswpx4WWV
M19qXUsVQvTqlvvGg6dtV2VgXiQK6WWIGyZ5Jyyz/OUl1kS3s5DRh7icos8Zb/1dwmnmhhNBYuws
S7PHNNjBVZskNqwKqezQ39fCakH/jgIZkmGRt4h0npoCAUCDft+QbkUzk/x1L0x8b2WkOE79wS4I
tzphj4jChmKn/dUclTN/r6IZeKKpsyg5dGoIEvL50mS6lH6eriyr0tiOdBLam4pDfhCHIjbljS0s
UpaYI/09iUWE6A3ENk3Yc3tJqmBVNyZsrrGZOTvTi9CnkszI5pAR5oo+V5KD8kk5DfkqfcxZL9Js
fC6MOC4vYzQB3T7zSAreUkj0JQU/1X0T2YQoHt1YpjdxXufvKT/Zh1Fx3v4w4JNKiO6KzFUJ1E92
uezJthrm9x1uAwyNNtbJsMewHGwXDTKYfLzcjS7mtAHu7LSevi6gbaZhYFU+qULtbCi8pnU5KIDx
JdGfJn6qG1dN7jt8dal294rCI8Zh24r1x1X99iOIKZUi5x2rX/Qr4vMBAoKiDu+MHHSJRAtbB6b6
vhlMl4ZJGf9wIg7JG+Yale+CwcFUa5SF6UOZQQO4Iaelu/JzsIgHNw4GLPRUc4j+S3NMygD9EDoH
kbtQWcoysKDsqwawE3hsKebknG7dOYp/6UixUdF5z1tAXWrVwVM4mTYE36GlB3rY/mBXq5LDSIsC
BW2fpdggcZhrjlRkbm1Uu56UCqr4UEw4KCEgnpcNFqSR6mjTRreqgNMaWgUsBLbl52kwVc2BLxIV
WxXp/Kql+AmTg0zSNY2qWGpeT694F7jC+GL54DLP82IAvDe4qpg2lj16N9LWIz7smWLkGjaZzKHd
xeUP2UqMKMhsZ+z02JGbEMZnjF9XNvLdkrbpzyX1MyTLVVp/tNIy5SSqlvpb4cfjOVD8IN9x7Kfk
Zpdur3ZzW1S3SOn6b1lMWAR4ktL7iaw+VaczSXPf4iBLPsxEdaeQK8ZMENWIW3FjJUJYGwgoM56i
QWMHzRonhY/IyeB0yON0RTZWWXY+pilHXdPtFkEsT0W7pHId0p+mbJy3md2PpxAoh30Rd5BxSvyB
EL4FDQ/g1jNOIFqrgmWMtMkN3vLizg5E/lWAyO7BzK6oBTsGcFfMNik8Dir4bUY7wiJmogStQnbI
wGmcIrakLmAFYrtQH4ypTljyCo1IZND7aPpv3UI5euc5A4r5JcAxTn2YQhHXAFzXH43OCueAptJq
X8dgNPW9uOlhPADpHdLoZ0EKC1AkO4u7i2UxHJI5zbWYRt2m/Lho0jkc2NkVsr4i+zklTk4MBEo4
WjkBdw8iYPkpnhXJs6rB17BkIGzDoTOKe62T9o43ZjJ2ZHr59UnFjILkPo6aM0+R07CxwVTfWEFG
Y2ip/YlQMKoz5KdAgTl3iGfC5DjaamNS7bioTZ3CjIN5Z20wGhO01BRVp068xWN3WXvDoJlQO1iH
QQJMzx4mIgddCLunsrap/P1e1v63wv9rFer8d23crtX3fd2l98X/AyBV/Xwkklv/6r8XexMRM4r3
AAJT4Hsoc/5e7N2/JKzrVe5EPxuFFRDYvzVy9l+//zS/xVqMpMf4z1Iv+Pck5092D2wd0EW/TSFn
Pz7L8POs8j0ih3jwq/bqeKlPJ1xHYNZh38HF2jlRMciDjzJB0rdNq1uhRXaXBXWN/nM2ShgRuNKn
A4m9fXdZNLE3bkvaLC69jhE/w+S5CWzAQea3lfJUGrqjMcF8CYT+TqtF3Lu0GYtzvFR02xbbqNUW
miDtYdSg/rVRzZEMA2Mke5vlunsfOYS8bTiVg4yJKmCvAhdmsoehMp06DaCCC0pcNseBhl3A6YOn
+eHPbudh5Mu6/32wB2Ifju4IVQMqcyjh1rG+O3aWyW0IGPBIIzojZ0TfmqYuT2nFJKSICvPAkgNt
Kyrr+MvLIz8+TvFIGJldF5JxTAo84aPjQGJqx+a6NnNMqp+mZPNunszm8uVBfuvBHl4fhw1eOtSb
6ybUp37yeI9H/tncaRrISuPSCm1vbTrRn3I/GsKccwo8mUJ/7PW0wz6KwRg+ZqJKMK6y86FyrsaF
4OvtpJuc7uvcNXSH1cK86QjFeSXP5hIIeBGTVK0La2j25ezg0TMrjx5/wh6tZ4ZrvRszGKho9pRc
saiwXDihM7kDusZ+7F2U1jZ2uWF2rghKdn7MTdHWW8p3NOA/EV1QfNKjOX3tWi95lyeJ9aurpxW0
HiPvO3P47u5twyPmIrFmHMeWOUdb+k1AFQjCbr4hDC9+NtXQLCEOEbs9K1mCsq2YJwFJFndOdjmx
i1+2Tl3SVVDdwEzbOkb7Nc9Gp91RgO9++nTAWcHyxbd2+RIxL9cZTVIosEXUh/WspXHikFc6w+gx
6g9BXLD8Izeka+Y0lnlrKbQQIQh0KtG0feqfpQbjfDKM7XS1AIl3DiWNa0xpaUbct5uZawQ1OZn5
OdaZFC/zUgz11vM7ExcTKCbyewwWtshtvzluDOrKChKlXjk6rh6KB98GLgSquKshgVILkldqlI/f
HbHUKeS/HzXe1DO37cTHYepdqi6+OW3pOJKY2uCU44K/jgkVW7ps7+AnseduSa6k6B7/KUD8bw36
F6WOB9/1k1Pm5f2P+/hefb/vHp41f/+lP8uPi0R71SbTweNY6VJU/nv5wV3DykL+wXqS5P1eVZx/
S7RN8y/+LDmFHpoug+mPyfFvhTYZDZIC8VrF85misOW85az5eK5DX8iyg3yMn5AKJIfNoyqE3wCH
gYiA/TQpptPFR4gCOrR6Y4GFf38NXeSHlpxtuebH76vvSAPAWVaxK2/P6V/eDJq0ARdOM2HAm87B
wP3gKTyzeBxfFkOtAnd8S4jWIDcdfSCc14jGjCeMjoE03ieU6Q+BN4o/W6//2iV4MgqiRcqpFKcI
s0BHzy7h4TE9y2M42NkMap31FJioQmGCTOMVIdnjhZBcFgoBrILIb6i6IWJcJ4OHpVuR+1iO6Djl
JdPz0q05BPE+d9ILWvjXU5Z911PxWrbOeoP+szqtg1p4qnhzKX1z7HXWS38w6LzEMaBFSm6ObOOt
qcHheqiZdi511Iva8JpX3pDH26B1PNvGIICGiEqfz7z2eDxAr0bkI7oJhe3depgTtwwH4iXO+1dG
evrQbCpurs0EumbXHVfCKUzUEHImgD1uMp0Rzp2j00Ea9cYXELccBUV+pSDLHuLou4JAl8nU131I
m6TNz7IZfCovYwvN8+WBjmuX3DiXlAMKiTwskvGO3nRgDUO8JEEfFmu4Kwdd8BRD7YY+CUz7RtTW
LwWa6+TlQZ95WvQsUNIiqWcy+r2pffB2GF4kl1oD5Osth+KRAxkISKTYV23z7+PN//c3FmAypK3l
4z9E7x4cv/1IHaUeCTMPszHODnXt20R+g3N7+YKO7uLa6bNWGS0bDeyoiC4ev35AGZPaHxagb3P0
yXV75xDhYoKBs6MjT0pYEL/y2I6+r3VA6v7U+TzJRpP0qscDUmepGqg7wDn1fG4nFGWCIfDOOFJC
2iVe5ZUH9txwqz+It5GPSx5/zq0aUTdqkxheHMK4slexzGZIWtqpxSAIn3YKlKov39OjD41LtCiG
MrMTIU4b+7gZZNOtVZT78tAbpThtnOAqb1315gujesqrz5lsPeMdPzgaNy0KA/aYHukTp7FROqfk
nGS7JGrN3TTa3SvP7bmLWqcnSQmOl+X4uUFOZ9IvBdo+20z32iMrtAhi8Q+uilAT6ZEKavPqswd5
OPtWNmmXjeljqc9B90eVKLZ1B660xlJPFzo3d29+VGtbUK79bnfddjwez3OEXvikYSZG+PiZOiGw
mlgI3zrKethhtZQcfchlORoFlWsxYGYgg6NJ5RZPB7gSrer9y6MczU28drxrbDhwlOOkoNX5+Fp6
GajUX9DM+R0lJov/3SmgP5vexq/69qFcIrGQkq/ppMd9t94yY28ZvSKclkIi6nGmK4QLI0atObt/
+1DcOZzWfE2cUNf38sGMq5dBw14PIB7L+Bpw/XQ+pJbeNPOo3/wuULvG8UNrlfa3ebxXiwyzT3Wc
lKyPMeaMQWpBhbD2/sEFMbe7rCIUy7msxxeU2LU3EoZYhlCs1OUijMV8Z+k2it8ZVdC8YjJ6+tWy
z10X+992CT6sx4ONWQUmHMlwaBTKoDGSDpdGHfuvVCyeGWU1VlKyYKI12Uw/HqVEwAmvtS/DsWu6
HfDvr84M3frlF+HZQVY/yWoZx4dxtFKlg5klkckgQlcFZu7OeR/37fhKdeKZj4iqy39GOXo6VhPn
aVWi6U8hW574TWFvlr7Vu8IavauXL+jpUPhCpUWXl0xnKnFHdRB3FNPcrrxWd7SgKbMU5tsc5e6X
wtfilSf0zFiECK+VB87Oqz/j8RMKcqDCo0MKkE8G3HnuedVFP8bpPWeJN3r0mIZQW6xrk7W6Mczj
7vUYWaKea4aqmVd3bjeLTW5R+X755j1d1x3pYtM1bSgMGHqP3gaUXQCTKo8SS9yAz7d0Xd8Wce73
JAjHdoN6SxT+K2/g0zE5hOARZjtB15qZ4vFNRIxXovJERkc/DkNDDnWKRGYX0ZbFht1GLP7yNf7O
dn5wFuFWIi7CFoc3EKSsc1wJrNdabFK3cBg1zKTQs5sgPsigAQrYB7P/WYzg6Q6S+RC3B4mWsIjh
ZX21VKNuewyAEn6nJja9qdDPbmSQ6PeODkpolNgAiwNSdSX2pLzI88Wx47uXf/qnrxymKTbL69EX
596x2ajLVBybNsvRiL8GeeAyqIZDwYJMGb+A+8r78NxoWK4BY6xnmyelS4g1zdQ17PPGzOvnfZm7
1k3ntMSfkHvqJq+M9sybQBXTQCO1IhTYzT5+ExBaZqkuWf8cGxoeoFSZ7aqhgKWFQhrq+9DU3ceX
b+f6Tx69CybmWgOCDbV5ZsHHQxLNtSQiB/+lAmOfavlzXgycR0ayTVu8y2BRr14e8Llr5OuFysGG
BUXA0YAIi5USLcshyGtoT7H9JZjSy7ZIIUmRffvKu/7M8+NmUinC2Etl74lcqBhsT3ROGcacVcg7
6FVzLWgtnyKvtV9xeT431uoeRMFHtYQz/uNb6TduN85jgTjfV9MukbU4x4GSnRU4ZnYv38Rnnpq3
tlrQbPhYNtaa2sPdS0WPTPoR1O0laLAYtLl3Y/nK2NUOubwcITMSKub4lTXs6ZPzqarJtcHiIrQJ
jubGGsrokqYG34JU6lIt5I9grjFPg5RoncB0nP1bL9LHw8KmfT0YYy08mheFBQAy8dmi6XFCmz3U
KdyDlKiAIhmNsyzKJ1irrbt9edSnTxHfNNI+HH9o+4xjnyliC6f2NKN2lKIPOH5waeSEzRQ9UWkv
D+U/+faYv+yA9gjsqBUW8Pgp2lngEUSDXSSzQIgicXfKD23QgaWzq6X6XCx5cZWrdqGSPqNUeWWy
efoOrWQHhyM6p0mqREeTTZGy4qZNvpoMQLDV8MURQFC53ATLiL/FLbLryEX5/8qwT/ZbDgUpiY8T
NShHzGMhcD6080xmG6tdUAankx8XF4Gd+K/c2udGYQ6FZwlyw6Dr9PjWLgMqBOL2OJ+XQOi9vOtC
PEv6lTf0ybtC4YsPYb2DqzrdPLqFfT91iEXYO5rdnOzWDdnGnHseVzIu/2QoaiqcFWWAk339OB+c
V4pFd33paqxF2L1OLAnS3zHmcmdkYjq8/Fo+c+/YYJHPuzqhfdddf//BUKVJdHpqTcTlAnRH+cBs
Q6RXQerSPxjHokjE60/N63gbMlp06spq4WCkRvTyRpQUd9IXet6+PM6TF319SpROOOcxK/+Gujy8
nlhMnXJjl3Cs1iK1CZvJgKK1Cbown9CPTsi01L6HMv9Pro95j7j5NVT1GJOR2xmR4xXQ484N2rMu
EpD8CIB5o/uaiiiXx35oPfTB7TomXcXdknVQWUjvQ5fjUuZNB1i2lMNeeS1+l34ebRUYyMbzj+nf
p1ny5Hq8HN3TwvNyoDb68w4x/XWRdGuYQnFaG/ZJk1K8wUO28YnHOUB4sl75CJ57Mx/8BN7RihAU
k/K0NDkQkkg9oEqW1RftLO6nl1+Y14Y5mpelSqdZ8XGFgz1NlyDzbuyyHl4pST0/yDp9rOAbdv+P
vzKL+Dvscetea45R0/lG3BDThBX2lcf23Nu/tvwd9nbUKY8XGXgG5KG2Vhm6WStxTk7mJwX2i6oU
Oz4HdU0bXZgJuaH/4B6atB4A3gHQWrPXH350M1HUgVEzrLOklQ6TJVu+FLG2X9m+PjcDo6FegRCr
XnuVsD4chma1oGLJ/o6gwGBDMpyzn72eMotDJOr85mviY17pT2sFnc/uaFGxUri4o8s1iWbEkVYn
QEDttKvf/kUzDptIDvFQG1gnH1+Ui6xdg0IrQ6z8Kw95cOKDO3XpK/u5p/eOk/sfZQavIR23x8N4
9UTH3okH3gSk2tmi5u2QIKciXat8ZSpcX+bHUwdbKou3jw7iKnc/unMF5lpEsAPdm7GM9lkt2kPT
zeX7RJr1CRI+9Up9ylx/9kcDepzeHSlNdnBrie9og5yhdJktoacQ2DtgvKYo3Pq+4GSMYdgOuv5j
4jbGl8rrgxr8vldYnz2SsbxT9gyiuXr5U3hyn7HXsE+noUmphGbI0X3uKhjsDQhSsNCt2KeeUR4M
ihkfExvL7ctD8ZocXbjP5+ZwcqT9zbrqHG+aIyI2op5IhbCoK8FMOVdiCN57s+Oo28pujKzY5v7Y
akJlSYWOxpCT77K874bE7w/ki9YZag4zvm7zKU/vs1l11TYt41qhhqnddwUnrU8unUX3LCcrRcFJ
QbGymzvPvnWyvJfnE+xdDFudLaeQoPs2vhGsT7+7I+mIvWFY2O7ZOwh5Q4+Ba6ohcGxKWRk8mmCy
9PgurSn3fYpgVRB62ZMaEX0ujSI4UWXiIMOOszyNvjkBeczljlUKTh/MfUiHCXpgtI4gvkyvsb9F
1lx6c4h3siR6JsE924bENplE2Jh+hysQBAVaxfM6j3kJdG/KrCOsN7btS8QphIoQOqQSvWvtWXgX
JWEOaFmDoCunFI+lWy1x6GeLzn5MroimM8S1RRSCwZ6n72RdoW7dLEk7Yv2upgGZEZjqiXhjYymz
LzbZPaATpxR52CdvqIPgFOBGRQCgHgNv3xKLpE57HrAV9nMdQH5sSO7h0p3KTrZjjazygB1MBu9y
sneDcFQ4kS6ivG3n9/jbC3Ej4tJS59HQd8O1P9e2uyWtzTgbYuKziGBZlupna0Xzz6zWAuuOHssq
9BFMe2ctdI/lUjp51p1ahAjq0ziuoYGkBGh4twFuVeBYwyj90IsjNNJsqohgWJDoGiDMHXTV9jjF
abylGJikX4STRNYmZlKuN4PjdEjZ4ZTZzgbKTpLd8bXl0TZq3Sq6iqLCl2fAOXxvr0jOsr6Wk5lm
OxvoiryfusQoKkogaQmlCopuG+/yiqwklL3dZHyKk17DPhedku8rTJbjrlxag+sZq+BXh/fmZ1cX
ZBDgfirjE1sbpB2CZlwh7TmAfcJcDZywHEgJqFNjOl3bQLvNsFCA97fordzuZ5tGxleCXpW3AeQw
EbRnNWsCVJtW7b7Lq/HCmGWJOdAajeVLJ4YW1hbsBNB20ej1UF3YvGzMLk9Bs1tFuTEVEvmNciNN
QhlFRh1CzqhjUk8rg3cbQ6e9TQygn+ZQlpjnAxLNwoD22JrHOmGrBceQvUcUbn43LJWn23qYCTMZ
czFdB4QtdKeuoYl3TCwMXWHiqNoJc1W5kmz0pnX3VWNYP2O0ztmWdDZvOBDI4rigE5YJfP+Y91+9
rLSdy3j2GRgzPigVhCDS31QxJPtdl+N2bUYnGba1Uwfjmde4nLm6JCc+xI9mY96jto+/j/A1xM4q
LRvopyn7O2/J3P4GQmuqwy4WIyfenAhr2CWyvVJVbcyXXh5bfdiOyZRQe10gOIDCaL38HekAkdpX
LllukI19sN+DGMqI8LbIt8M46n284a2OnZCAcPt6ycWSfFlSWfEwsiybN8hA6a9nvencMPEnX8CG
Rp+Yuy1o60pitRZVUzHd+K2xnIzMmb+wLPZf3aHspnOKBtnXYFBpeT4bI2SOSLVy2rIHj8TW0Hn5
07Ai8yYZaFRv6GD1I8wDaxAHiugt4bNTVMu7oR5S4+NUl6b6UiJD/WR0on8Pd5Ti0SgCZzlnHoKP
v+B0PhUI5uoTN+ryJaQW1F41PeFuZFYK/9cwR0F9OveIWA9Bpq30ggQ74yvxeC7J5TP88APKoPin
PZomNgNfBdj8gxYWSV/Bkdgk7Bj9vUluWnYRVyNpl85ouF9kYigJUtaxbjODAztQDh+MFB/75Kdn
c2z45+Y8l6SraOKDyY6tc7Hzx5V2LqNkBEofzYkcNyPo/Q9lJBJzm7eKAGEjXxx/V/rjqL9FtPPb
S1XWHlp5neBLZy7xCAnxynkKFSDcjxh9u/GuM5Rx58sozm+QPOXmeaGEdE5mJ2HKb2PXxjuuzd4K
TZ3jKWcuGSzyxlRDyMYM39zcxmLleSh7KuPbwpzyb83QWv/H3nksuY1safhdZo8OeLMFXXkvlaQN
QhbeJoBM4OnnA9UzI1KMYtRdT9xNx+2WkgDSnf/85tUtMLcg/lIrIUOQ3sTekHIGdBs1yLEFj7Hi
9inSClG+kIzVBa/EFqXxzitYrqGqKUXCsrbMJ8uEWk9KVGRn10YE8TKkKio7SJiSwCOvdbqETDZS
hMh+IyjjPoaiWby6iyvBLg/IM7jxYmhjHzAfxLZDNg2nZJ6MRbnOaRP6TMSs61e4mkicZcdMI+Jr
YpZ/1oohcVc4Rw1XthYreWnPfLxN4Ke62EDLIX0oCOopv6hKNde/Orr9EzXTWH6Vief9bAPX776r
XBoQoEaoBGSW1Zi8NLPWckkgZsT5yLZRWF04RIUePLJb4cRDmkiscCWh4MNKqc8iQDnVoxc146KL
Xs3WbdNnDcGowWT3SZZMdeV3u6XPPz7lht0kz+jzevvSqI2GKV36g11u/NGrCBbU5zog6yrBBJft
O0vr2w5fhvxKNF1QXMSxHUCsm317isKUeqZ7rbQ+6/NVgLwmwGMEUxAMjQK6+l/JERPxUzo2pfhu
KV+xhFIiJO5ajDV+2kQrc9iToOZcpdA2sD7JjAm3DHckZiuq2ZZJ++7zHMaA6/OGUUuptP3Izahl
GqOZGD3cYArDfrHzSTfuuxIs8dUdchE/K970sJtGjLvuO3tujS3txWTcZfFESLiPSOVVuqY9PeHF
UGlrHj9rv9Ft7eNVkE/2cEnoNj4qWAXOclXjcIBFwORZV47A4v1Tk8xgcqaR4YYMkXy+zojs8C8q
LwM8V0ZQtatMjAZ6oLzQiR2dRtNaG35qNPdi6vAdkY3km69gLLMwMfQnY+xLWeaa3BlJG8utpjPC
jW2m0ttSVxYGkVdIqohDUqUbtqOemVtoKGiPypj0oYdYaLn5EVsS7a7tsHC8GWnn9t+bQB/lnR1P
NWiLl9uGeE6wxenCUkiyx3vNa4wHDyGOv9N7O/iq9bouPmLFICs4cnCEC6j52kCsNEobYuO0rLZx
T4jcifSUXia+/rWJJ0nccB2nHKVTOX3YX6b/n4T7Xx6IxhtCkC7tu0P5x/IH/rVIhmVLp9KDZE95
he6TAuS31tNy/1k66FBofep9GqjA3f/jYe//QwsGlYcOiyegVucP/Uu/xd4eWAJGDmAtSmHb+M/J
tx5DGlgXg3UQyQAV+BjSTh2tIBrGt8Pe18ytRAO5Qa3en0FUDotZ/tqAhiBUcfC0hU58jFsmxPmZ
veTi5udF+6kHlbrwCB++SkpOMQxp5PuchPcD7rmcyFfR2SJ7PyzUFTnJJZdBJ1QtKpNAYSHUU0td
5TDC1n986YffFfKfIpFDVOrfoWDDA0nxAn3/aKiJDb2otNoJhzavvqCjaVbkuiYvb4+yJ6P8X3m+
H8amIbTwYphJuO8cPpHhTnFiqIEQnjxoHir4qWRISq17NjUNP6Cirn9GfTkmoT2Y1lYZ3rAluL36
JKCucWLPxbuayr9/Dz0Q/scLBnFZQLQ/IG9hpRRVA78noy+05A5BLq1FLwjVNbMzWMghHPDvWBBz
F7cF5pJzNFZc5dzlMwpDQf/pvmnl8NJ4ubNOvUI7h8Lt2wLHLzpg5bEkF3LQMZsVie2E+n4RP4nM
ujK6IHpxndjfdLVW3zrjWD/ks9NeJXqP9KKjJAtbnezNtMIcctSIES91QspDGL7jdUbSOME3UX/9
9mw4MefAP5ls8LCwn7CWNtkfL3/iQ89GvpwtpYZtHreuENbmsH7/KBh4cgyDi4CpHSFCepUOXuLn
buhxX4/xgrRfcvJEizMIzGFPb/91mUHsZnhWY4Z03N5KA5xhyjx2Q9ecCSXH3/IyA6D6Xk/U07Do
8f9NgPE3cFzMMzjTqVW19Jho5bFB4+uyzLw/XqRpN/iIxglR9khWyVbtXe8igMLpbYmQM+6dLDZm
JMimgwjLx+ovDhBZ4npjYD6HEdPPEeLn+986s86DasK7BwM8Av7wMGvdOseM0aeT+EhZqNYNNfuZ
/eTEjgzxDe6vA3/aZGM5fHBSbWVlBxn7Ppf5C1nOhsldvrPpXrm4AUFUjr6/ezYxXxEr0g7hyAmO
RoxaIjtqwjOJr+qyFe+RuDMbzs77RwmowPA7AaD4C7uX5Cp6cxwQKZu7+qaZUSVMNWr+/2CUgAFY
Gez8x1jpXI6mocrWQXvbjA9GXaQbH+H5u9gR+4XhsxMtVD42aVzdj76RSXXblJwsXCxsrpp4rEeT
Vq9JnnwfpW8/FC1SD8gVXhqcu2W6/LEOPDwQXI1uKR4xKOR8BcJURQjb335th0jrv6NYXF2YcLSA
j7ctHatAMmd7RhHuwD6JbW9q5BsLW1K4xc/JlKarwvIfxiQ4s2GeOEEgDsB13/MJ6SAdPp/vdHi+
NWSf2DJLwsYR5RY+qwvcWp3zFD/sHv1+SMQ4NE/pD3gA6YdDeWXu9YqjPByzegviSkQOGE5Cjl2o
VeZVK4b3NVl+j8hZAPGC2yCnwhFajskeaXRFD0A4EWQ2iVKshZW9z47q9yjoSXD5pp+z+IofPhcR
qe0M9RKnwWq0Lsi9x2e4L7s7OQzWmUV8ap44OpsSxCCdTsDRXSe2Szm6ElNDhV/nJSwEbFdB5XaL
gvoms0ptZWp58dIR87LVG/ucF8+pyUIdSMz2Qj4Gvzt80hqTjsrtTfaQEl9uT7OLW7T0/W1h0HB8
e0WcmiwLNc/BgwdKunO07ipQTyR7I5+uk/ekSj9NWDfjTDr/cqPsxsfH9syAy28/vN14CMc5XRD0
YRZD8XCw0Ad6zSm8IDtEwGJtszwyr9MUIOPtxzo1Cobj0JCWPipChcNRVG6LIYoqm75CU6490Zvb
uiAS+u1R/v5OHn87xCpojXSJ/KNRHHwP0Ig1dtjVrfuc6Unwfahl/6OI5nl3Zqjl7zp+bwiyuXfv
m4zHki0TxJxHpYLhbujpS/JhM6yt1JqtdYq76X0gMc7AlUaOS3N/tMTG4R+LtdFKnbw4e0y/zBF/
C9zPOq9C2g+U5piL979SfSzmrZKtJ1YZ8nKMIKyy/JxLjPdC3S36cVsHdDIn6OX52uxHaRGHArQY
YOsHoJToYxMSgmMrMhhN5yWaenIbcgL1iI9M7ZKwqjR1vkWu0f8CMtbvacRkr7UvXTtsGn41v9d0
5TWGgPYLvQ6u9H0RVGIb84M/JxoeWBuzSh2SjIHMcAts46vII650zbRG5iwDoc141aI1Xg2WQ8dG
L0rbP9OePDGjaIJi7IbWCxrrsZV9ofCgxScIsxjhmLdksH7xJyO6PPOV//7I8FXZddCIeGzfR6cE
JuBAlIZjhdmYT9cZ5gLwzgOcwctCnJtQJ4ZCbggxCaU6S/Foj8naVO9qJ7XDWZXFDiQf4x0iVmOi
QKfCOXPunrjmLp1+1JtU4AuB9OiEwG0zwQaaAqryGu+7HBwjDfOiCR461RAezd0Mb1wvKLE27nRQ
wcwnJYCuTbqLVZ49tk7Qn3nVRwZ6y3GyvElY6SgUIbUdAw9DY9l9zRU3bHqzuOobCJKkpKbOhZYF
lYffTOHftg6zDVP4xQtWiljdkQoS4LjfzD0NstQB5lNWRR1WeEn02CpfP0e4+nt/5lfSZ4AKu6Qg
7T06/7gXQeCsRYWwnVdUmt9Ei7g9bzTnF0W/+VNOhnsXJ9nw8/3TkMs/1cjSkkZFdLh7ekmR6klN
3m5D8PRNmQ32utRTg4TjXDsTEXLq+XwABR1cClmeeTzjDbo7mk+D00koZHV/dsPAU49dWv+cnOzO
k/V85gA6sWmjOYfu6xMYAsvraOJbUYk3Z7zAJWgqL0TjmB8L/s/VPCi6xO9/kcBNmJpwmVhs0w5f
ZEU8DpcwwTXdaIZLA1cxFB5Wc6O187nAnFOPxQjosICdCatc/v0fE8XntJvHmivL3Bvywit1Zgd5
6E1vn7vtnRyJuQg7ifUDO+RwJDj86L0xDg7pb5Nqz7naE/DiZ9ua4jQ/8wZPbbuI2BGHOjjQ8GCH
gyUebnQVGoFQek1+OykbDzKK5G9vf6cToyxkXjTEKAAWrtzhKEZcGqMh2J6S1ijvc3qkBH4L2sL/
wTA8B3pdlAJINQ+HwVQmE5pkOihgjUvCT6wb/DP0i/ePsngiLDYDMEuOZddsZCBgMMJDpxfjo0KI
t47bwDyzcP+u3ynWELVCN6UEBRM8fBY8dWqnLzSYCYnFoWiXvyJjeDBS74ZQUvfMizsx5diFlkQx
Sl1sgo7WEZSNiRxNBuOAsT4ZdNi2gZ7IXZeY70e2FrsjcG8qDXJ590KcP9aRsjUCN0lnwLEt9m/E
rPytn4jxTP1+4u1ZyHgo0BbCGCvp6O0JI64zQl7w/9Y94q9xDlI4Gzy3vY/uwZLmGbD0iFy1P+1A
0BA2M/N4Pv3onq9wf594W+BMmPOlKw+6xatj2P2VBiD9ODfG/CPNZ+MZ253axRZ8IE2e37d7e2qe
emxrWV8L48lnAh0+9gzBKIoWOkubNvNFm5nNxsOV9mPfJxlGg708sxROjcfOgZkCywGB2NG8KVkj
UTHz1DEM/csOecaWnI/kQz9Hc8iGrT2+/Xwn5ikdEWyTkKkSJegebcLdqADD9zixJoYtQUPG2hhj
dwPU9uk/GAn0DPkPhhiA0odvEmaPHpGDwlVZT8yVxCh4FWRjdV0Mo3w3dIHeDLdk1Ebmfh8+HAqm
FXxNmzXd6vaDsCrvIyIP6Ea+OtelWT7/UY3DwbW4ipGNjLzpaLN3EsznzIiROnPMHzgVnn1Pm9bY
a9KkSSABrUe9cy/kyP3s7dd54gAA4gLjIhacCXp88e56QpForpD6kij/A2dRFJpFMp+ZHiemI2IA
jqwAJdwiNj98k0Aaga/Bdg99D0MyX5s/4XhVhrGR/BSRfP8GvYgBEIKDD0K2PSq0W2umMDPZM904
azgLAn3lJMjSpkyXmwY05cw0OfUK6bQsnURaXrTzDh8OZ3BtKemcMO9a9VTEXrGTQ3JuRZ8aBU0Y
SxpfIDx7jnYQLltLhATzHgu0D3SWh43MztYGJwdZFC800/xF73P4KCXhBKKNqENrnLJu3WZw7jqE
hpu359ypzQLUH3SVp0EIcHT1rWqrNbTWdyC8eD48Tte+Ui3mX7WRvc+kZ7/722Ahi0oWYitnzuED
JXbvcjfjQj83cD/yWAU32aA5Z+Di5QcfL19u8WA7dOPAWI92W8JRcu61zIAl9u8i7px4Q75OvR2t
eb7EGxuhg9bcdDqEhglF8Jmz5dTr5PbG9YBzi/3j6Bnj1JjiQR9ZwmWufyxQxn5Nh8C8r4J3eh4s
r9Pn2oP3xbLVo4o8+nI6SlpoHQ7XxdGfoD2l43OCFcxOWeO5VN+/t0SGov2OjQM2ATzb4ZeTrZnM
qTODWENNTHB7dUinaVvna6oprw8hk619vwqXluH27el5YuTFjJF1xkG4MMAPR+7aeXY1X1ih7zvR
LqcIfs5rx/9ADQqHKyF3a8NtL13Pk0kX5+2x//6WFIRcwGjT0EWnR3Q4dlAVePdRXYR9ivZmKcwu
+jyLL6fam88M9fdaD6B3I1WkIoR5fOytE0V+59QoD5YsIu8BQmh/GfXj+88XigtaTnRKMeJCd3b4
QICsTUZig0XNRIaHM+HPz285Rzo48SxMTVqlXApY63sU5o+7q18TasSJYHF2af2F25YzsUjlOdP2
Ex+Hqc8uQt+dsv24ieK40MkMkpewnZz1jdWPASGtXbwSwp4v354Hy4F4uKNg+rW3GbcRL/0FG5F3
KEsJTh6apUhf4mHwnyY4w19jKfRH9uhkMyam8e6DjEFpSnKYobNncz78VlHsBRgIK0BOyNJf1DTD
NBu1+Nvbj3biW3HNgJKCIhgDdu9ouzImzU49c2ZGUEZvBULSNU2hczq606OwJVM+UfMdj9LULmlX
PaN0VRZt+GxQGMpiXr/9LKdmBLglpdnSWaU3c/jG8OjUkrw3rZC2yQz5y5xXxILOK8zH5Bn05gRs
x25IIehxpeGGHRztvZKu2TQBlJHhVLdEO9V6tdG8fBAQJwPjUnECfE6l7W4EsU1rKc3yB6VqEISt
srtdoSXFxu0c+YSzqLmWzmS/Gydedms0OpAB2DmP/fA6Fz2T4r4cWnIoL9Al6/yS9Nyu9fdNklFY
DwA+tEt5mYdvnPSdKA1y1mDsxe6rBW//KhdzV6/IbkQ2ZtjpmU98YiLZi1fr0lChCj+GBCe/D+Km
5RM3savfysKat4lDDPXbE+nUKFyGFkCBqs06bqiYeHGjVyfTNPdK6wM/49MQDedW3gkwetmIHXSX
i5qaLtHhy1NMmcnply5G3di3BBq6ly6pq8+iIy0t9NK4ei3zvCGssKpvcz0ufsw5oeZrOWbi1vGS
8swud2L5gDQsTDGwJyDeo5N26nzCYDkJ0Yro9pNdeikhW23/bPfzOTXmiaE4fBZbTbYDPHqOVioO
ZzEG5PugzT65LzNR3LhTIbZyjrozC+HUUMBQUFFgCVJSHQ2Ft1H1uwWH3W37zXcrgat+RKDBSF7c
mUP8xHJwlns6YCCXMmCOwy86SG2KIMKAbhhRd9HOKrtLNC9Ykve0rZjScw3aE/OUnilAK3veUhYe
fbEAsz8uL7jER20E27VO0wtXxwPz7dVw/AZ5Z3g/0y7FRI5rkHX0VBLb494jMTOcBhpBbZ+4a92P
0xckAu/lEKLQxcltYePYfCq0rYcv0J1o+4m8oOFN126l5Xq2UQLX+bcfyDh+b8swS74T1yyDjvNx
zn3Vi3nMR4bx85iILGeXI7Sx0mI9K2s1dN5mDkz83posxGV4G9jRh8VJGEvndYmvzts/5u+3u4j7
MI2gA8S6OkZQzGIaZzw8FzpBUa+wXSbEbez9XU1K8/rtof5+bMAgJiaSHbSobJ+Hb1eiYyH8D0aG
XzbZVeAm4lqYxblW/qlR6DXQaN132I/juqyiaMuUpR+2wlVfDGcSr2i7Pr37UZiSeCguanKHmXn4
KFM7JM0gECFDnq/WSW7ijuqk7722ANUZ7MvYzuPiw3o+Ot5ctLqVkryw3PLbjcu99tqpgvzcZ7GP
941lHEgIFpUVmy/93cOnMcVYSpraVkjEm/O9htH4hYSR4svs1l6JVMxrfvVIjT7kpCt8RZDTfrXS
OqMvJrMhxaYrI5EjMkqCYNramx7Y8Jz2QpcFJpaj0r2XvCQbduVWjdftUiJPLuOZmMELL236h8EY
PYIrBf2gS+7A1U1VZeS4uWq0vk8FCqgNWZraRTXWlrHW5on4x4qlgnyTmCixUWXnDevOlO1N4siW
uFk36T9bXcQ9ryzUEF80cmzIZ5lN/6LohPZV4JCClnMsM3ulTDdFS6bjU5RgjY3xzIW/ZEQSRuyZ
8b0KhvyumLzp42gbNRanTu3cI2+xxbbIK8QERdnNTWjgcd5dklHRRohryvK17ofk2ScAZloF7pze
ll1rveh+b3xtpGmL0CtawjhEQRD8TnF1iTa+o/pbLgT5F+n3rdrGibKNbRegirhts4h9L0nNOrvM
8AM1Vx03u3gX+ZndbC1fBfiJ2eY8h5rRVOW6JwCH+E8c8cedCd0q/oCYE5Pbzm0IDSDvpbguFY38
ddWTNMXePdQZuhCta1au28qvjd4YH61JtuMqTyLCF+eqCl5sR7niMhH1/D2xXCh3IlBkYbK9dY9O
UuQP9tg1xI9HqvzEtSXNQ5l1dbSaOsSgYY9SuV05aSd1BFlFe2tqlv3RrCtRh8px8486/8w870f3
YhFldHDFcSndzn02dusxiNj+M1jNxbov55yLwQwNO6xqKUWYEiCrkT1mut+irELPESFsv4iHiv9i
RCo+cUd22h8VaSikJJsO3palpVkvsZ7rCmlfFr167TRGFx6BBmhaB/8BU3frElV1cJkmdnel41m/
sqDNYUJgWV8mLXI/AuEjNIOCmhMMSeRKt4pmK1tCdFrZrqxsRIULLa1UOzwLgh+68hA5NqVUTHbf
X+Juyk77xtmWf8r1KGhW2dDioutD+VAIJRP51DnjEsKMwxnOH17bllegZzGpPsYCj1H95jq5BKP3
cRQ1NkYzf/77OKqi3M2Rr26qwO9E2PZBdlHoTYE8y7SJuI6yzgjCym/Vj14V3jfZw+zZZEqPuq3V
ZMmrAmzANUW69QNeOLa/LvS6s8LJUEsKclE1NnEIGfK5De2K+abz01Ldw6NwvyZEyRZrGVROu+1z
YuE2dU+qeGgTmejeZKafyXtHdJb14hTGnKxcf4pZDGTWxqvKRq65Jr1ddiTK5V71CE9CfE6WFtUO
6URqwschOvpzZgm9vE3nRas3al3+qbN9vwkx+CbWtmrT6RWH/xarVIKDM/9LO5MoawSpqm8qBK7y
ooF5iCaHXtbnLpnJx2m9qWB/IEveWOVOkyAXV2P3adDV+BQbTq3CgHdxWVkZYuFJCGSEDRG885p0
bM8Ny6awkd/ZXJ/h6xSKyxdiD7kmP4goKLPqekgU8xiNN06il8YFNmnVTd2isgvHPuPjzYWNiMnV
n9n/xZemJ8Vr7VutcwG/r1noS03zuRnJstlamtsGGyvBuoKyqsu7VRzI/j6b0HSvFKlSmOCV1BWo
bQv1MUnz+GGcXAJDkRzPBFvRoi7Avf2pJ9mrc34VQb2Nba/4aqR2/JAjZSbEptTraRepgncS61kV
hESX4k3cRCjY1y2u8PGqDBTZyn2MDVlftqa57ouZVIZgMisyD1Iy5Ndov7X4ovREMcUb1TdEFoOL
FnGG7VclX6YuGh9jRI+ITpLOtz+2NmFcaIJ740uEW/KXjlyp8WowHGV9dd2KUvhyjCxanY0fRLcT
61euZNWZnzVjHCv2/9T0VjA+c2cjJid/AE9jbrZWJ9JtThguL9vwyyhsg0I8pl6SCUgW+eDvTEF1
E7ZFQISTNLLprgtwYFo7I9fRVW3ordq0qrLvtDRqXtKZ1NEQIpznXLnJMP5ctPREbKeWfM4nbC7q
V5w42+QSlz37Q1mum6ZzrwbdKn9NcddMISq++SrPRzmjgo6QayyNJnPD0hDDaqCer8Il8wx9f6T7
KSYuRn5lkbGhVm1l+pdOr+kGQvxW/yJndoF1pk3+Ny2Buc/zKSI07Mjsw9hRptoKwO6ZXcaG2Zui
rv6qBXXyATMJkmyl5Rf2JmZBgYUXRdqt5rnJmMBlkbobqMfe05zSNSeF2IrXUPKjK0sjLgl3e5/f
bsfZFGwc122+pXKoh50PF6dau3ZL7TGXQ3qZ9r5MtlZbCsBZRNZAs8FMrobSgpLcdxUhdpV5+tgb
qZw3HGEdySP+5FyMQRs8+3pexnxIF5s9nf4TFgAxW8bGZst7bFRq1MReDY294lKgsfYDbx5Xtm5o
17lqRkKg5nYoLpwsCR7naMQpX8df4G4oVHc39J6drOxkjjY6PPiAHHvhPjDRZ7WqKg7474aVJOS2
geKPhL3A8rsVWC9H93NkSKKMkep7v+zC0fCJVI2v3xvQYrONQGJif1GF2xfkZ5NTd68PdsreYTBL
b003yUxY8G7iPqW2YO9LXXeYtiT72u4nYeZq2thIBtud2RVwqlIxO9mtVpiT8RQEGLfstDxKiP0u
tHq4TIhbabZGkkpnG2EqKVdaUMivXdPL4X7KBuupmSPiiUOF7YR/URdqNDaRFzFVqYid6vOQjtav
ty/Ef5URxlKiwRWgib84Yh1VTlaeC7bzCR3DJGtU+1iy5Tj233uujB/eHmqBtv5EQ7mtLs2VpWhZ
fIndI9xCswx4I9ZMmBwsU84l1127ncVct/sA83k3Gq7SWJiXoiHmVYjhXEjvyUeFtADAtxAhjzkE
EofJPCkFZUw6B9u2d6wPbWSptV907Zlmzl+1DI9KN56SHi9uLHGPygyy3Wpz8qEl1xENYM2wp13b
9OqdEAUvlFxVW0f8Q3sFstvh9V9z9SryJCeXiXv6JvO4fQ3I/yFN6e2Z0vfEt4PPueAF0Jj+Nkac
db+Y+xn6brGYbpilBTnWSdMp9BPXumMjS7fZ3CS3Q+Y1VxK3lu9vz51TL3TfzIHygEHcMROizTSv
4goHpdyP2t00Rc1GOrRR3x7l1AxB9gJqgXQICtIRONsM5UwlJe1Q6+pmYytNbGyPi8Uko+DdMwRw
nmYGHQioVH+ViF1vD3lX+VA70iDbzHQFbl3h+D/ffqC/X9syCroGTjbQpWMLP4yyuMGAOIUmNjuh
OfpkC6msP/Pa/sZFyP7Ak5DYVUJbFhD9cCKmqQ/7IGYYTRTynvrb22ROOa5gQDfauhONf6eEGrhp
jOrOLQ1tg0dAroUOZJNLX4wjQHOc0l4NqjPNkGUJHO45dPJdwCeu2Asd9GiJlFMr7JoLdGjPrv41
Hh1tq3MAb4eIKzoOAHD/3CE5RwQ59doN6EELVQikdon++ZPMSJThUHOkLjudUa3wm+ASr3Agev/H
pQWxmEDS6ydk4HAUlQ+yZ+e0w6Eq/a0o5auuq3MNi78hBrSpCMHQUKM64nEOB+FAS/3Y5XyAv08S
fW8Mn6oaA3ZD5N4jbiLq90P9vwL+vxYRxxsK+D7hPp5+/TODavkT/0rgvX84T+AZgzxyZ9YXhue/
EnjzH1ifpB3TdEBvS9f5/yTw9j9gvHQZ0HaAwCCZ+l8JvPUPRzENEXZzEMTFzO49GnjA/qNltvSf
9xvZooTkWOKH/znhM9zW9N5VCSG8sBuvsK1xHszGaTXmjRl3Vx0i0QGyYFW7mCfpVqJ76zGftc+i
6yh2u8w2u09t0tndqgrc2ExWlPNmd41AOftsyWBMrhIMrNgiuKwDIxfc8jZG0rj+Zd9mRXqFC0QU
E7eYGfYOYmL02XOa6AHQg8AAEomNZq05WNSDiRnlj56cxi95mRsEw+aii3cZZe0zQESLdUgH0LzK
q7wZ167fYKFUKJk+Wq3VP+DGRVKp43JP3+lOF9fEOeXkF86tbPJ11jfdtRn0sXOVTdz0woJehbNr
K6cxPmDvJZtLjjGOTOyzCvoIeRXHl13dB9F6tLs43qpSjykb9DbQ70mK1rpd6XgtMVFRlShQZIqN
let1VZCF9AaRULKpsOnfZzUdUmoDHy+ZlYjaCXcyN4MFGrI/dGLTuLOeNOvKo3zaODiduTJEsLiU
hQrXunCYhjyen72sjsXLmIM6z5dp7STC/2bqqVLDdYWjgT48jp5IMBxraZdmwd0gdVfIJ1PDULVd
lQIKCdGOo3IEiFaKxUg7P80uXngD9ZDegjHhA9VR/I9I34OVGOrYQKbQ4T5G/qEgb9Wo80U+21rN
deNkZX+dDkX+BZJRnQ0L57j1H+SUGKQcqgT7QD3oqvE5LlgvGzvjUhlSPxnVU922Vn5rgTrlOOeM
Uq6sIuu0NejanCAoGii1fGTpLlGwGMyhQkLYeTn3PqjHKspl461q2QbpxeSYw6WoBiXIUoyCGV+1
Oh3XXeaYcmPTY/e2uAqAoaKj060rc0r0+raeJKWYStPqJcBl0MAgJe8f4nHkTxoWcy7EY8teC63w
xK6PZ/+BcEFlrAUQlRm6/FU3fCGC6528ai6CAfQRGDlVnzwvk1SxCI+WeetGY7p1dZWpS2CkyKQw
GYwMsovAhkxm42TulNNDYbKz1KJ+K3wKPel0yvxCm7LN136Kk1lYW+PQXmOCN2Jw5kM4jUMjipvu
0cCp7ikwiE+6UKMO5xu7+6U0GTu9Mz5oXYaloLmvZCiuqWryfYVDYiPVThQUY4G9474YciZPSAzy
9hWTDm+4IilzX1Zlve0nn2ioUHRN+wIMYx2KsX4mnTENnX2tlvaB5qWr/ncpty/rnH2Jl+CqE+FV
sy/99mVgGydUhO1YBStrqROHMadkhCnY3RlLHam1hrRXMOX9R7TGFJrFvui0a6FdJ/tSVO7L0jRf
StR2X646S+Vq7otYXUsmB9My7D0gVy+Frgde9zws1W+wL4SHfVGM/Ch5jJWV7xiVolnsC+hhX0zb
+8LaxdQz2epLve3tS2/yjF0ikeVSkrtLde7sC3WCOyhcZz3ISPfOtODK35f1iPbGR3ep9RMSXl2A
JRY+OIJIcJqsc6CB2KMjuyn3kIFX+/GHbMERBAz1fOOXeOiEMhWG2rZ72AFzuOIn11DAiHzBJdQe
oqgXtMLdAxetEfmX9h7OkAuyEe1BDth/AB7jHvzoJ9UOqwgXJXNT7wGSYg+WUD/rV/S/gFBYIaTa
a1Vx3S0gy7jHW7AmjJL6NQ9a+ezuMZmJNNOfXM1BalJLGIv34gLgJJN91+xRHXeP8NDMGOa1WoAf
V/kcBuagg4njoir8XbLHiWiedo8ziumIIqUHSer2qBInGQhTzp73UO1xJ2uuWFAx7rjV2i4C4zNC
bsU+YQ/TY+c0sbahvYDR1ipuzMG/nzRWMn5bRYRphKnDsl9MG4O+xl1cV47C+dviE3RItJvNouTj
pPNdGbw2hBk2hJezeYWeqakqNHrCP0PCB2M1rloZlEVoJx2h35Pmuo9pFqS9tbXdAtVjrjuzHxYi
0zH5gx115U5YVYWu2ZtIuwK/9FZBZRs/TGzdqg1NflFdNfQK0CShk2rWhFu3xcbu4QahQCSZvhL6
3IFaBIMXAr70Azp/TC77rUUQIR4cWhVd45VVtaHELgsXyTy3bluzSvIpFKSkjhutdcmeb9POGj7I
wB6eoxleF92Ron1gCfCskKSBLANcCS/LNOKxA8uoX2eTuQHum9TsNaIkCDcz42C4doc5N3EcRE2b
/8LH0fMvmRvNTIC3Y+GQqIpx+ZGYjDlwZTCBw0fULT56uZhEOA7JEL9oiaM1d3ra2+23TOgZb9es
67Je55GT6famn7vcB7D3MVLAj3DO9G2T9LG5EX6D+bjAn05fi4xteoWhA7haIeH3ozmIOjBxLr/T
ataL6SHn5eG5WGtpHGpRb0QrZwySfIMXXPGV/2766I198DRl2swcKdT0IvXRu5Oi8HVQ6bb95Bgk
5YSVUphszZLQ+3DuZPBLE9kcr/N8qO5Q26TPwWT3D2YQNYv9YTC/Bn1kf+Gnjp8zrZtvQYprkNgu
bR4LN+leLIJ44zC2KA22pc3xSHgBwutlitV5WFEE8quTOnBDTPUgkCSBCNJQUKRylbFqqVDULr6r
hSptTCrxcLuJxNKCMqrFwFL0vVzN7phv3bSNyx1Wfv1VxaOgfczz7klzlBxWKZm1NwGtIOAk36k/
Cl92d2McmVh+AFY++VkjfkghnKc8pz20NmhbxZvJh1wRuhGE0VWfaNGugCTbr8ZKVru5lNK7pNBy
Br5IY7hhqpyy2upWUX9w9LS50jpMMdYmpu4/+jlxaIgmqvvEDY1OFwnu1nc2WMwzlQ2FHCZV3v83
e2eSHLeS5vmrpL1NryAD4BjLKmsBICI4U6QoUdIGRook5sEBx3iuvkFfrH+AVFmScurctuXu6ZEx
MAJw//w/LsDIcXebum2dhiDHcibdkEKCwPBjrQ25mqYzhdOE3G9OOleLaIlqNLxW/+ZIcl1hi6bO
D0hZ15IA+EzPg0o69QN0v6gvyfzL3SCv6FwK6rpRgqyTzulPfupRIZR2o/NFNwoYtEU0Tn2VcoO2
weJ3OYu9NnRpUClC6w6rXhh1hCws8aLehT8LIDDHLwN00OdcGJKnrdKFRW91QHh1BpgeSHWohog6
wESFg7tqL91ANl+QWxuxh3jCKYOOCFgVVXWPyMtRi/dxe/3p0M+E4WdBKaTS8YMS6esGbYwllh1D
DiKYiAD1WeOENM6aZJqrYwEuiuceXiNS5izoLs7nokNaW2nXg9t0xkljGsxOjr8ym7fw5H2UpIN+
NhON0UdNX3mHhgA/70gb33Q/xVafnBa83zokG/Sd0wfwH6IM63ywXxv+JP3DNPdDRIX1XH9qtlAm
P4gtK/NPsMKcIwh+WvX7TXPmPnS95WcRSTD9VUxpnRZWSrV3mjJ8ijXcqXv0ZYn/+5T5XtIfl1Xr
WJEzt9EI9XamNpuv5WS2ZRNMdcwAuBTc8ipgz17tY+FJ/65bfe826WqukSwd5vvY6duGgao15oDE
UUMPdMZIuG8TwSkru251Mct/xbRAevgYWVXvD8dkbJdPNFJk7WVdaEZ6qNKpLgOncvolyGHbn7Ja
LVweS0m+TubF5cnE7OFERW0MOcRkl/yAc/59BP9jU678/SP4Q/r6p9NT9fzrIXx7zPdDuGaId1vE
96ZlYtfElcKPvp/CNcN5B8BEABNgCT/DJvM/x3DxDp8h6Ck2ru3UvYmT/juJTrwj+1ffjI7QRbCy
9r9yDKea45dj+Ob8BFIEzgNmF0RieL/Bzi3niAUG8M6cM86AGpThVxrg7DuBKCQLpJ3HdXtrGczU
D+7o93E499J/4JQ6vaxtyTaa6F5+sbZetakcvPJRLDqQodbm/nnZN+IRit7UT0LqVuSn2Xq/FaPR
yAc3m17ITnO1K4l1Nz+bliH7OABDf+2MySPkl2tWHe2O5NrrjKhYxARVmUhqKjxPBbXOPFvEgxnN
Unpf/cxrSF3OEvj4jFhtTmv4kA1CBVaHcP9sokDTqRA6AGjiaie4NLYOjs99Ql+k1olwGUYkegs9
PjHcDUzukadkY2ylINaxk6CuHom+3/q1xAE/mQUJ9GtupckhqY0mjnIxbJpwSHvUDNZSB85CBOex
dxQ8bJxMaGfsoh9lqJHn0oZqHHNEvMU8PrS6sm4UCy8qJsk4FDTDaPnhavlMdZ3dMcdUhpyXyFBS
y8+FlS4HTd+IXaH86rHIlQtCW1nyEUSBcArDl4SDOlRxjWHb5ZlxWFuzrCMhRkmyite5N5nGEhmY
jAhkktPuMJ8tbl6Y4TIhcA0TryvmM61EghTGI+q00VrNF9tIrQR9GjNVlJDXNgdSNEyZqC5yPVza
CeDbLunZg4bU3YQ2ogGRmzdr64PCPK0bn3rOfuw/bUFgHpnBhTozOqQsQeeMSBomdyivyomG5qMb
E00WDijVqkNZ4awihji5gO02SgQKDL4MJP7qHfpGsfMXuZEOAfQQObr7rfzvRe2PLTzr7y9qp/Sp
/gVU3H79+3pmvAM2ZMnSTdYM9GMbS/VjORPvcK+AKnqIXwH29pib/w7W5GFofZGdYaGA4LJ51I/l
zHq3uyyRSEJpIEn0/6XlDAXPb8sZ5xDYep4NnfgWH/EbwG2DwZWp/0STgZcHaasTBeA0BNQzoGfa
x06a2hV7qO4GM6eNmE4ffVyZo6RNCPPStOdVKmwkDZKehbBrdfHFxE2Qn3UpN9iFsXa5Fuapg4xg
oJ5NRXQYNOJ9TCzZeEEkiw8GQXYEY6NQRM9e9vk8MwkmyxbdKxEDkHVvlmiDnEFFWdrASQ8+IcU0
aeW5fl6SGDFeiMTuQzI2cvWgwZvcpRy+VNQr/dV02ja50hY1GGEs5zQ/EWYjWQLIiQ8g/Fx1SehI
W5ytzMv2U7msi36zEiHVnnn+qFGCmLRVyxFYUNOVm8b45nW6Kw9+no36eZNnvTgbYj6YyG0AlgMa
c5zivAOHQCKalmPk+p11at1xHA7eumXlMw8RzpeTCpRw9+NTRNMwZBxgktG5YkcRfYCQx36tjVq7
REHhmIFWisUJBeUAQIr6an/0+goh6tob7UXjyJxmj3bcosQLOesHDmkSbWJWPRHoO9Lu60nnlMSa
PxBYvlT3/kqTQJCVPijrklrFR5Eb+auV0AURaYDn163uVXeu2w5b/QK6PSRkdtpdzWuiyWNSL/Er
7bNSI0HfoY8gVmnCs3k6Yd0TsnE+pdK1T9RQZnao+3F30hyjMI51TMXAwVGWerZyK9bDtsndD7qR
zwmRfiYh63Ey107oN+ZYHVa3cuOzcfFdhE2VpyLb6lHAWYnVPatKgC2ufC8qNH2t+LKsTfW1dTX8
vwDIzLXonATypxkZYa2nbAoV6jZyhmp/PFKeMZ3Hcz4tkahta4iyotZuTbtbt/ZecooCgyvrciqS
jKRiPc3S86KlUzBwCCFKAjp4+fSMVNPMAGngyBAJAqqFK2UnGRvBkL5fVz9/FmOWUbONYv91pA1v
DYE51bMTL/XnTjhDf9B8La2iSU/j4jAjQbxs6eF4rtgbxEHVWXOnZ17uhtpiZ6+D0zo3As1UeSjQ
zLV0hVnzGi2j1zHhdkn1oimXvWdcXM5/WVnNRSjE5H6k/6CYQVHGPgVz9VRzCVplPJYkIt00liA6
jzPQXBPVTxATNPpQfGi73h4pOnOa9iSG+NIZ7f5ZTGxcIVUQ8Wc9TyYn8pSzrMGck5seTqoTb7pO
hHvg6ak7kNZtZYjEScLERurkQ3qaCG18yfyx4N35GOCDfinjLhwLpdxwjHs0fIYzJG+dXmi0l44m
7Omwkq3NtdfLqzi2V/2UCH9Nz6esiIuwlw2wCH7VcYk4BdMK33Rj92GlyIpBJu1N7xiPWzGkVI4q
DlaxgqoWfvZS5gjdgs4qpubYqdYrw6KzpkMnm7kPpjHWLgyaDd7iJItHJO61+RK7Ii8+ZKk7vblu
Nr2lUqcnguNpM0XYR8hJGGrP+OwVlvvZJmC+CbvC8D51WTfah0lHKGzZOWrBpgObWVFRvWXIXbJj
vJr+0+KoGqCqqtmQmWr9awc72avoGRruY3Lu4Ri4JMtQE3Z1UdFbsB6GBGg01vhazkH9WWwqgD8V
TJySv64aaQUt5PvyKSHd6nO3EBUereOGNdUW8Qk97eX0e7jJJBD1MV2eSn+eK5LkW6e7V3gMli/l
SOHIBc5W95xVI2YMa1xCCO2modClWRv30Y1Nr7wRLgPHkXJW763oAfOCelBUN7TwJNdGkWnjiTRx
/9kwJ68+Jk66AE11U3droNnMgs7P62OctghEeX/EJVkccRHT8mJBtjZWyu6iqfcep1oRuvbaA1La
alFhMcxLHel24c1nfTe2U9TPrvOAFDFuwlHJ5DYb48kLxRx39xTCL3ABHfLHQy41+o8QdFl3Ld0t
PsMv9qwwVavcxHV97UaZxwgVcmJlSopxhdHgyGD7kHtu4VPD1hfYLEjluCnteNq/9+aKxFVUdB1S
vxc2A+TumWEnuKuaHAzPTrqiD2nHIKwUv9UyQBOxqAWqdTlQNoRtOJGvNTF3tMgMICGjz93PpqdJ
VknX0hRiPiLWzhOuzwnJTkM3zdRUuQgLCcoQ9bVEHRhrRGQMOSP25WQt46MLTkAz16jTaFwYRgpJ
prf5N2fKksYIgIiS9mrkuG18mosqx0tRNWROqhLZ0F2LNlzfUANLRrR/q8c1XyjppPpnnRJi4Wxt
xgQ7xW0gdEiUpJAsy0Ik6Vd06ZBDpdGad4malrfZK+hKsFIgm5jpVVZfk7w0zwyD4pSb2tCM4vPM
2xIPpaGtBVcFwqmotudhOdA4Ll5li/LEnWznlDlzfues27zvTfbQR9xrV9VjrYRFphwn9AdyS1hU
BJdEdtWx5rYR5F9aAwR4sR80xjq/xaXgrVv5hLzMFEg4g8FiXkMYkXPeMOo4fWxwcT33lNCgqtO+
ut5SvwdFd1sySMruQ5zKVrvSWmNb8mKv/kymPvULISlHZN5FRtwP01turssX0Bv7pUqqpj5N0nKu
EsLV9KCqOTzxolv5zL+nbrWcv/z5D3PLO/j7Y/eH4eWp/pnL33//+9wtvHe4q7Du7W6Xn/PsTQMU
AasGmeDI47ZglL+gCKb5jjYzdHNwkd7WO8ePfozd/juU0ltohY/WZUvmMP8VFGEf+3/RzGzwBeYY
3wJg4Hzwu1fS8hiGV4W8sVsH5yGVoyQ+LqGvRe+uPIBg9zXRpy5PKXRZacn4aqlJM5dDEtfVcraw
Wuhhtzbxxk76BUL4qvKMNCw5A68+ovq1zMK4FUKZN2KWC42NhEEOaZBzXrXKsLIdsz8rwBxX3Bxo
viMGOafPr4eGEJcIn4Iwb/I5c3jqQcvqqSBSUm/c4ihRFqUE7vWe85zQ9LQUR69Z6l4dJ3JTCveM
TlYxRrIvXagUR0CdkQRD2W49r4y5mQ+B05y8xmmmkAF1zpLjYC94qcOVqpOiCLQidy8KR0uG8qDi
xeyiLpGyz6Jy+y4vNNna9ktek9B93didPRyXZckMOJ/UqrMjAxBpfcbKmM58xoACedmRGk0/SwuF
bA1VE26oKfo9rhDFxNaqa5omoBA8e1owC1d9XrRvYmc0xGqD5KNZT1y4joHerxuH1iwgf5vRnJbm
nSeR30mTemdQKunBprgWfNm56nOveFsaq4ZyyXb+Rd+5GG3aeJll52jQHjWPsbFtoAAr43lKRpsK
5kSH2+k2mmeQUFuMU5A/fF328LF3oawukX0UbDF5PYjreWeP5M4kmXKOLwmf6J1QUgGijsgOJjgd
k0Z1oJKdkSprBht756lar+sYK7mA4a8GtJuBGhdVX1R6n8AtGPxiEpPnE8qY/T90d0asLkQyXNjO
pD96+oim3kKBQD2ubbSQadlaoVoiqg80ZufbEKSA24T6zsTVE/t3QLELf7AhF/5Kd6xX/9HYWTyt
V2578HZ2r1w1E6qvJvqG01c8S9qEq50RRPZVQg+mO1fotAWdMSG7JjLTgr3sZdrF8O4PZfwuk0+m
QorPetskzBcjKcuI7f3VGs1zhFZYU05jMcVTNKuuMYNhV+zPSSvMiBQPcUspF5r+btf3GznKlGjd
df+NheMM2V+MH2Cp/HY5FZ6GT4CDZop3y+5frKErMSfutoIEWSUWA4qnhmDarQdGMibvuWPnT1y1
fIzTblPIdssCQTnqlsYtntrcTQ35GHf+AY4Zs4M/iJZ9ZpL9AfYlPk00ZVlRQp8QWCRuCeTM1tdV
n9xP7XczBafjqxKqxjjz3DKZroY0hZOkSgkbRk/G6BSlgzOjT9+tGuVu27A7ggmIF1ZijZC2+9mF
qxDeswnj+LDsEvOH2nwgXuV3n8vdHNIuKRU07W4aqWNqjnAwOOMXudtKXH0psZiAMDRXHLfWI7t7
6X2dU13hSOktduVbpZsex7o2STfkcaokzrPZg2dVDtqLI0vVIqK8MW31oaEYuLyuE9Uw2k+cAX3I
49rWqHlwcgsxC4KXHNbMJmRtfVQFB657jQ6hOQs1OXEE5AZc1nkIutmSdKEJblMj6M0O/7GITYnD
YG2p2zL9PnUNrtJCZ5i2Jt3oSBDwfE5vKOyzQwbY6FxqiWapc8JPZH+9DKmnXXLfpu7FZDXYifD9
yLkLNbfBPqfBHxN8oLyR1j/WyLFJvqFhTcevM+dlBDZTPLRh7zeG9lh7Y47kJSrbDqo9gNFeMHWl
ltsazz5g91qc17mWmLQsJKIDFPan3Ek+Ekxo32ZJBV2jEtf6uDGj5VUCGyVOpjN23aktB3Krq88m
Ug6650aNgsMqTI0Vfc0H0qBS1OyX5pDFKxN3oR7zHi3pFXqxdrivM8doz9O051DlcMPQ/ETNV8eG
VOKwm9HRyEDQu5Hx7avBP9K9aKYHk3QpcZ9Uve6G+FTUnWf0dhZ2uPeBVistn0/+0sZxJPOpuolp
8vKi2tLNJ495rDtW8QB3ZBJdcNMj9WXUBBbP4eK2S1LP7MYMfbeXMuyx0pbXtpwglXNs4Ph5kCrR
x4sP72YUQFJfrd5W2bCNs+YttrkY4TgNM9OpX9L4PZ0laRzkfjMt543V6U2oO0q+9khGPjv1ui5H
38/d61Eu7XXC3rRdGrp+wcBnkzOcISQ5W4sYlCCd+lU/z9BvcbZm3zWj2GBRObpa4yTHdCidMgnz
dlzS47qo8YnjSfuSYO0rrrXOlM4xH+qWwN3cdzhEAB8awehMlIWVSc/p14wt/WJamryLsoYNoAmK
CmEaTLNGQoHEvuEF4N1OFiSTZ2cR4mHjMhNyyThq2tNXorEdomk7cKojlAVMK9u3YlUd0dQREt1m
RbiYcXFhoTqeg2Vlhkcv5IxnhfL76UhimP11btNEyxGsu608eK6h2pDe7W490/tSrfeO7KkyI6ZC
nMYhc5oLLqh5iKQ/O2vYdZODm0W22eawS1+cuJReqA1quTBLWg6jtoOzPwryn7Gm1IQPJCK+L+Xa
8JTVVN74PtFKRKQt9VM19O0DiLrjHeYRgrtAtZHViCkoCM9C0hqM5ePipFoatX0Wa2dxb5q3lmNx
6u8lANhtmRZrc55vBo2Q4SO9YyURX0QzFNkZto7s1eZb5gPl8GV+HsldHz7W9CIMwFt5A4Ki+al5
gRlh1E+1O0p5Vit3ZQ3yK6TtCJBs46AIp2+1u9mGbXnJYC/NKXSUSxENhWXrddxl5nMq5+SDFFaD
XzU19G8IOoidzcphoBmwkdVwwPbr3pujaKkonDp32/gQJTiTob901jCMQZcmW+SwLtZv5czlfnTt
qspDry+BzVK3dp+KGbMzHEmK52grIL/UlQ1OtPRLPQYaOpDpYKJpPbcrPojAqS16uPLMGq/TBP0T
31urf+xqRbGe2/gMFQlVbWg/CYjMgkkmmNpqihRZjlXJm8+NVT7DoJJEFeupevKNBmVNJ9JHbayb
eyN1FhNXVYFts6RO9xpVpKsT7qEYsyw/cepDppRUEY3r/jnanOpttO30CrI+fsOMqBP/kVotvWzC
PjklVY04gNdJouFLOvNcaSMpt8PoIEywZfxJz6b+DZVVEz/KLierXOptNR/AplLzy1ya1fjQOJvF
MoRFr92TmXWGHmk0wlFC+dNh5f13gfzPnUy/q76RGpP0REIS6V3ksJq/EYn+KO1M448iUBb2mm+C
NuMDrroeD16BD62XY/fP+hH+6jVJb+DUQTUTySaQmL9piJHx2yOAhRu4+NgvLdF6J4o0KfqN5/VQ
ABR+V5p/m/8jeW3+xt+4mTl+tgYQ8rYVPmBY2F6QihB+/lPaFHBBzqaAmKRZkjuH/TbkMx4ORr76
h0RTEAezMUbmUGPdZEb8J2Fzv1K1ZLCRCIVcmxgXj5wY4/do5bWQi0oNuoHmhp4VH9Mtpvb65R9/
jb8SKNuLkCdrkOMDVQO57P3my0CRjHKYxTzQRssJ28WRVL/CYR+SYmxgjf5yvv0bH+fffi1CMahh
2Hju7ev96eOMDQxtGCmdYGDoilSiVY9I2vSrocsJN/rHr7X7Vn797jYiHdZqs3bYlr69mZ9eTKMV
YEW9iYsXHWfoLGS1oFOjO7WTUqH0KLeISE/bBM7ygiwezJae6xxSITFctgnrwuRZj/Ms1VNb1svF
qrXdP8uZ/utvmPfoUhyAUIBD++/urDFJ4FQnPvy88Sh7HrPyzNLy+Lh/FP/mNf8gMvCnqyJ6Uk9/
eiXZQC03T9Xrn/8I/8//Vq9/evlf52OTda8/Qy37A39INsx3lk9SLzwnaSnQXILn/MFxeu+2VHMS
uHC2YKugCeMvYIuhw2SSMLRnnphcaDyqB59P//yHRXcg36XOQ40t9R2hx3/95y9rTv/bv39eZ7nb
f1mFEESa2I5JagbyIWuIiMtfr+S8BAwu5RIOVZyohzlOfAV8yxwBdKjobce63jpa98XB6pp9HbKq
MO+3gOyF4AoGvEoxvycq915midU0PqZtazcvUyXolrueNzCQaKScms8dI6RUs/uAyRnkENarfj9i
CXtO+rF8xkqYPnqpyzFw3NHHIZuWkhybDZXkEEl+ASHL85u/45a8ZTDMfsczrR3bLOicmQNvgzzH
Yc0ld6Yx2NGKiBDTHiTNHa6P7rzd8FP03eNySDsqF6ItgKm4XXa4lVMF0Ku5w7AJHeRnrm1VX+3v
OC2cAKBtuuG3aW2Yd1SGM1euIEdfLaltDNyG+no7AOzgwsC0XaBg2OQhbCxXE/XPMjIcr9CjuSeS
8m75ji33CWIJVyGt/sSZImuvslbkgNHwnyI94GbBW+XssLXF6fRxILq4uFwK9vWDDsz7qdzhbtRp
hYBk3mHwxG6n83WHx9mBgMrFDptTvQyELnY4vZUpMsN2h9ntBgca+Scb/O7sULzYYXlnh+iNVmxY
yg7dL5Xu1REHBQn3kwzZcRBle0XNGZA/nGtywzgOESBKUfohciZI550qEKsjixBbaLPeaFa+PAAC
xVUUz7NufQOTp7hapGPjBT4VPQli+BRaxq7MtYhYvsHGXFOm/YmFnPF9tWoarV015HzmtsET6yod
bvnSp+rQFDolGMW8Egch9UEhgLTYYw8Us9RfOq8069BFX0QlXm8iau31wv9UozXMiOCP4/MJkasW
JBpjfTBMg4fZhLnAA22ik+VkGlwUpAD3iC4dV/NeptLnoiv9sqMIC6JqiZgzXUSMqYrdS8vCYnO0
3NXHuTOtT+2M6jRcCO1AodKkONwJvnLgYFpr/kp753xPeYf71Le4XQLPSbKMQlvynI/ToNs1Yk1B
D/2YjPFTbvgcojAO+p8yqYQMPXOu6ahPeA7Zjv3nHFMMdpkyQUHU9MVrLgl0iZpqyp6TObM+LJM3
Yc8Zu/mMwQaXVNf7ObcP6c4nRqBkPePTad9IYgHeyvCrfsRyU33iN933LYxlesAfpT4UiHCuKuiq
iQsEkopG6JpJupdlVYezZSVoJXMfsTCGiyVYja6d+VhL6PMJgOrNYLi7rwU3d4haErUPXdnSQQc+
qcdkcXLKv3tl5/RgbtFaiCTKG23uGvQSueq/FYQq3JZ94rjRIi2TluRydW6wl1Lo20kQiXOKtGor
HDSqpOPOjZ8qgs20A/MAe620VH6JGYsYKW3u4zJYCMfhu8B9RdUw9ocLx62XL/rUq2cxu30WCGOw
blZLjV2AkUdSdl2QHBSM9NZ/RKzdbq32lJ6cJ0mnrgpN05+JZBkFkWCuKyNdb6o7XhQdf0lnGVBG
Y7i3pj5nj2bs2Vx0SLIu+9Z1nptFQhgPkseRf5Mun/rBT29IVG4/SL9IJQOjW3/E8qPuYbHF5dzI
EimEiZSgAf8cIE3T4XNG8icK72SpJdXVmeyPFZrnLyUSr/wckUI8U3MaV3f0t2szf3GFkldIjyii
VuryGtqgbYiMKKk4Fm7RRIlfDR8qAIwpMtkRP3AA7yh2tFV1yd/dcNLW0tULeSkfja9vaJyrchA2
Ev+q4svQefUnqVVM7VU/TnpENgo52mNSYheyjZwWd/qsyXoqWIvCxGnQlIlGr4jbEGbyrIkSMtgC
bXIjikq7b0VXkZ7oDhBuUKd5+UpkgT1jX4rjm0qXrKXkiYxhNgzTe5G0nPSHhncN/kVvACBkmn4z
3Tkfg6kYFXhEu9RD6AwStHxNBseMTL913YOo4y3qA/k9HuxcUg1F+t+bieTmiwBbKoMYt1kRJonu
y7AhVPbBEoicA5QfYIhaO5q0vQsCkUqYABPkRNgfVRGLe64U6GM9TsWLHzdTdzD1Ov2cYCZ7qGYd
IXyMLehTmS3FeeH28RCYxQxnnxcyfq5INW7x3Ivqy1RibzoZFlWbwWC3XFYQE8Onjq+JEqDVhdBX
i5tafNWF900hrTkRwtTngRXD3EYJMY3zsdIsuwkhWbEU5YAd1vbfNmkwntsSS5t3qJpq7L0XzcJR
/oSH0HxPSFsmo9jSgOk4wce3ZGvBHxApm26G6wo/YKHpm4a9ED4FeizpqMX1ZCLzqG7R22DOjGa7
g2RRrKJ9OHnkXkUxiaeXraOaDlW5B8tZ9yvvh6yVlAQNEoABZlXjTBD3pfPZ7bvuoiQ07M1wugyW
3SjjnKCemF8WVtwAuxhqkkeKCtE7Eyy0zievLpVxUp5r9RujA5xV+634aECBv/b1mj9MjiiyYPVL
/jJk5ZsSFdqL29+K6yk0lKjFpUE8+3YC9830VNe99lBVIzfDvFQ2H1VdliKa2hRZ46Dp8VfNrEhs
qQleeooL8lI2eX2ZRFjQzWesbu4UmtkEFM5nbt7FljTeaDbP7w2Vua9dS3tRBHhVvNEAhbo9R3FA
G3u5zpetMXRv6FOHb5TIe+RmYdt7P1JYYrA7GWscrGverXzsauyjtO9XUE6z+OZZq0Z1p+jtgzGY
3HMxverg5gmiWZxxRn6jGEXRBxkel88Ye+U3y9XEdBhMRwF/zBZwBYxa+9TjzUijCenoN8jn4krJ
Unxi73PzS67/eAqSalUgI61qT2Vj+9UldkJrOHVFPd+RS7y++EaH5bMlviHK6tK5FWbLxAQv1QMy
dMBP6Bt667VFKkargUjnW4wJ/RzZrH4gTkubVFhNa3LfUmOZlmBwcv2DGrB9XAwpaopTQyTqZYZL
yo6g0rrbsusQs2dcQ4K1JjFu8pp7tM1WhxWX2CHmRsdYCVIZPXyeQPagpsSmqC8mwo7LrsnHj1nr
oqEgDyI/1RX8UVhzxTCMjm77visYICKWPeRa/Hu67Adz+MLhDpzbxLVwaTJZuMxatc/+jW+qCUmo
yutTQszxYzUt3BqDP2hXOU0Ya2ghI3zqfP6oi46Gz/MZ6/IT6E93n9RzbEajsnAA9XrvfZD2gnQk
bcy+QzCiAS0SLYYQCc+XdZxczbYv+a6nj0Zn+W/+UoMg+ZljEUA9L8VwsqxhJEwrdsevdj7gG1kV
yUUYMJR5QULp9CXB+IR8TG/rB8lq88FWagU4rS3sXwKH0QFjDIFhmn7AY4fSaXE051ynGuxVQCg9
DAXxeGeFUNrjbJviEZ+Nf+n0e8IeKoetubdHZ6UnEGfoLdbpIhkscgGbIakuDcrjmCcTT3vNW4cJ
oUUq6EcF0eMxOHqZpsRRZR1+oGJBqlb3KeLiybBxnDTucF8lqYv7SHPWK6xAyRyNa9zrUZqPZhH4
w6qPAOZxXBFhIMkySxFGHUlDJeu5hbt735kDamBjqoHzbDNj6PdlNqugoJkEV4f02Dn+9TP1bfta
f6CT/lVdP7X/uR3HvzWM41mSqv/69Z+c936c1rcz6i//OOzn1bvhtVvuX/uh5KHfj4rbb/6//vDH
qfdhaTn1fmuGWm3PlmTNL/oCTPz/6LQcZN2fHp6mrPz5oLw/5ocmwcKJsPV8EYzJidSz/3JOFuId
STx0ixAlADZnbVjgDykwmgSOyDrnYFcAxYitD+fHMRklA8/DD4EROWMTt/OvHJP3sP6f8B6T1lmb
oAIQM7FH0P8W44G7ojA9MiSZ9cfeeI55VbimtfC7N6QEqexRD2BYTkIjL5TRhja0ALP3OuaOg9Vc
G4vkyCpr2/f//18phsU3+Bdk769wlavs+bX71QKzP+IHoOKCf2BWITjCwvvl7UaXH4CKYQC2bPW5
/L4JCLPlTfy4UlC8sBtv4UE6lCYX0v9cKQAqNslCuqETWm8Dqvj/ypXCNPc7oMJ1zPORqUMWDfV4
v10q3lJag6GgcJC8NRBaDsNNUXosFfG+bChTZwkx9+VEQy6YBPQ40dZj+yw41r74MARB6u1LUrwv
T6pOcG4QMs2yVRBzhMl3LfQrgipZ2MhaHe4JznIQonxf+oYExa4mWBHHjbE79m2G0KzUisbHC4zk
MYi3tZQuKZbVdlthm7Rj5NrI/Qt9gv3kJOCqgv+xLc3uvkxXpuZfkigmHsttFa+UTI0za1vboe6r
V2Ts7rm3L/0Vm0C17QbzvjHgC/Ygc7btAg4z/9Bte8iUtT0uu21nUUVpXoxFy3aDIpatp9l2oSSz
hiS09s0p3jcqBMJsWm3f+G9xL8aP876pNXIiTWff6hqk3U6Y7Vtgt2+HatsZ3Z7W8iDdN0ytEt09
VjrxVPd+e97vW6u97bLFvuFWxAhc1fs2nG478lwOWX3K8CKhZssMrwvEvoEPuRgvE7lt62rb4XEQ
T5fFvu3jofPIeNymgXUC3A2afUhY3SE/5fvo0PZGJHIy9GMsk5fJNl1IQ7QyzPehg6DIzAxiT3ky
kPtgIihZvLa3aYVUCFeE9gIbTBUG84xDTZEdTblQl2Q7FJ9dgiPLyC6V21yM+zBkVVuQqRLMSMM+
L6F6NAiY3Oco/EvzLVVAtsPZn0HLmf2nekH2TpBKrsBKHJt5LN9Gs2mf0uJtYJu30W3Ul/ku3uc5
Ks6Z7bJ9zkOYkBwcD2+VgJc3Aoyf5f9l70yW40a2bPsrz2ruaeibaQCBaMhgL3YTGElR6FtH//Vv
gcpbKfGqlJZ39p6VpVlORDICEYD78XP2Xlu/Cc2kfC/lXH2NmWyEh4GNYFeHAzpv5NLppbCqqN+2
SJpiDhzGpO1z7Ef7kCATNMAytE76UvflYa4Z/277PIJxP4/m/OAmg1kj8k/m0lMgCT/MTgTqWmuE
1gWIQ6IvsovbNohokd8V3cTQtDYnPFo0WeYndak4gEA9qSHhKm19oXO0HfnG6Jh7Cl6sS7MImSZG
JdyErcn59nlWJHwW7nMmgZlpWsNpVofVI5rYLfKYTF3N4E3fOLDlsjwO7GUsj+XImC1wUv7w1m7c
BQ88tTqnbgjOmZdo5KWDRl1CGKC0j3K/ySSAbwWh/92kM9VTkYPpATOzuaFE6sXj2owU3gg0ON80
9GlV8IKmVgWzGN3HSsug3sacaK2Noo4q92Ejb6p2Vk/AW+wnUI9IQkvXpdeqZK3ogzCsp2/M6xXp
FwugNeqcQlzJRkEJEKrQZTsjwkdSlyU7XSUq1fK7RUVxq3ZCvKSxjoat0TBnQ8Z1HW9hFH5yGofD
QRjS/N7XCCRKb46xP9B46fdAWJeCXhlK+kCgT7lzZyZV29mQtTzqLUJwS7bhZQpOwaDCgvsB2ZbT
342rRfGLE2qsPhtSfbAwx5x9bN/CxJNv6iFL5M3Q4RYLuoqA56su1oyLZmadvnasDFyl285EDtF+
nJ3tYMgw6BYDinFmt42ygS6Tll7jyPYRSEV7RJ4w8+xU5Xg5941ykbRl224dXP4lB0QneUWM0j1x
4pI8rz1fP98a0vfMmoDy9FSyb84wC3uLrMttbiDRZq2fxspyj+1AeSyAMtacr3q3um1AdST45MH+
pJfj2OnzZSG6fA7yscHiE2k2rmqor4ysZb4UjjcR8XzZhsJOTU+vInivZeSUybUukHHhHZRJ7C/S
TnO8KAOdksUM52wzybY+1bK00FPykD3Lis/KF13KeckWSn2PSKls0Fqa9QA1VqdRkFUNLW5PH6DW
InRoVXhGpigEZ1IbjYuKwlw5IJrvjaBqc4Lr7bnLDrWbVU/IJ5TrMCc+4KxMplLlDJq0PKyho93N
6WAV+5R16zTPMlquyoXafOdWQ4aCMiqRndcle55SZG0UQA+YbnAhIknAq0m/mOUcofEZjlhturS7
LlQOij1ho/BoEdeX5gLNIIhzNDJ+72TySvBFMqcbWNLmOk1DP05kj0BBrYb9P6/ITslbW8nqW/dz
of5RfP9Vxf+/VuFTR/+2bnvnbomrH+v7j9/4XrdpiIRZDRWHRw1Y5MdE/3vZptl/KKoKTIE0jbXu
/8G5LDTqNrJ3GMcrQObQyPxlXRa68gd5g+vYygRHpmLe+9fh5s9h8e/mYPw4F/PDOJ5Kw6QBg1wF
TqHFUcL+lLfBfes0wLZDVtIBkW5Kr70v2w+FkJ/hibvA6n6jGu0WHwHmUkXrtvRJjorePGPOPYSI
fxqJG9hU4n5nZkOgtUq8qbSo9xp7Qn+cuH7vutcoNpC+cAB+Wc0N0VRsmig9ztQ9eW890IykxjG6
i0FJ7ma6uZdCNoHd6Wgy7a9Oo78NhaYgHkWYVHRXbZIfoEE/RwZthwz/AoiGfrovO7SXaI6Bj+vt
PUhuP7bBOiShy7o/jJd6GZ9REhh+bIC3zkEkCHmFsgPRTawOrOXLobR584Nm+LWRsYwTqreJe/lu
6sszhoJtljrxRiZj0IjhWzNZY4Bhz4Ps85pm+SWaVuDmaDaOBuoU006fOQb1vqW3gR2X38SSVkh2
+se2La76mVmBq0haqe6bmZwTQw88/X4SzfCcKmazzsYampsLrPkx0jxcKyNmlpmlLYpqcVemzHjY
zzAvMtFQ7RsnsxKvlmnj4b3mKNYsj1aOuxLE9k7BhZLreuHrU3wG3kdu9F5elsl4jd71kkOmt2id
J1Vya1wbpkZVPrHk5Ru3no5uFtlep5Qnswphv7Rtsp1wBaLI1RR2sTDdYc27jtN6S+2yw4A2baLl
2gjzk94WF8LVj7LFy0SG323bpzcRszd6GqIKsGF5oyHsNzGFV8K2jpPtAHxo+GEn1yk5u7nZidwg
vpP5MltPATCKZ2XTExUC/Kfak0l1kVNPUEX2V2Wr3wpA8bdZ60abMozw7cFW32n9ci+M6MzI2G/a
BR1Y07wm+USuJVqobwJTFRWiNe4HkiM9qc/hfYIF3UeJGQVMqvSDNo/HPk2XbY70yitydKBzK00v
NafGzyIDdpS8atvwG+XsyerrhzIr0agTD4fAKLtMINydYzkPtMG2A/aoORChOXlp456SFuk+CCjf
7OxjzEmZ5l5/oUJ9DwS0vbXcMK5cZ3wxkm4JmtwWG7VKeV9N/JhxdKE3wMQ1S1DjsT2fZz30ldz9
ooj8ZBNCGWBNa3kEtenCKItDjlbcn/v0aezVzA/bZtgqen2PmpOnUasuxnrEX2iExRYwxque9ifm
sNTBtpVuwcvs3fSUG6isw8QYD10a0QbqceUWxqhqG2OqzkTagPOR1rwzwJFgfHKLDZmlpLDSTR1V
RGMlWQObvBMm23p/xsj5i+VGg9+Nxb5oGKAQs+uTTcWvpdObW2bnQ4eMJQ5NkEFSeFoL1X9qNkJM
zdpCfKWNyaACXSKClNIvEhrw0G/2AOxbP+tntK75Ns4vcW42OK0SBtnXZSjQaz6nAAG4FdI3tM9D
T7eeg+MVkZe9l+OS3RhGW573w0xJCVw3utW1od5z1mjO6fAhIXYx1rfLKANNieIDh4sDjPbhOSeE
JJjVUH0c3fbW7OfVuQwee+qbjVFG5kXduaY3T2ZJy4nOZU+16iMbSA+GmPCEMuid3HHYIuYpQQdW
l/oynbIlOjYq7jZDNtlxUMstN0J9NbribK6HM5m7Xxd7uEvT8T4HJN3iUPCLSbwn1uAiRlZgd0fh
ZWTVnrFoR2OYzzgbcoI26XxbVupVs6PzQpXYy24NSTBHhK+VXpw0XLMMfIELRYlXVOO+EsNV7PQX
aZWxFuCO2vcjE4iIY2BvOkd8rxo2itLaL6sEqRCPjQWeG0Wx8p4iyAIUxvqFRCh9xUhZHJUSjpI6
wYJe2ulcwYSw6wt8cNIuRz+VkxlwIA/mobzFn/oE6qia9X2J7QWBId2E3MAQMjBcWbJ8vgvzw1K1
rN+9OnT3M3aWEzJoDiHLdunLI/JxqWxokkgEjfDdRtMYgz7RTPYHMF6jutRvSsbyOWdWdsqs+FLU
EwODvGMYhzh+W+fdFIBluByLFy0rFR8BAY36bCbyxLBehr7+mkSd3LVqrHtGZ+6ZBu7jSgRjh38u
RL9Zy5ERmXUco8Wz1QRIfnK/mGAL46E4ArE64FrAMN7WkIRwN1ohBpC5e59tYCBNlJ9ZoRMeNAs4
2BQtqUfegZcN5bZU2GOa/pR0zpcWyOS4mnSz8auiNlhooGqahJmETnyqI+W9lfkXFTPAFiGzGSAG
KbeVmRcB5CYVk2+J/Rm3ZzB3YeCWWPGl1FXQTU2/j2M3CfS2H7yuH2+QtT5NycLodSU5Ve1LpojO
K1UWgFHPrADQYnZyXXagYRmfEjuEtWRLVd1h3OF81jG4ISCjDeYWsE8q8PiV0lL2Wkm88bQsD46F
BlwfOyqLmnGojk6Azq5Z7yezGjzaGukRukb6mqTREDDaIcwB/BpZsWh5Nk1IHFVsJf2rEuvFYZnH
bC9io39IDG2+XxsfTzOUyGuF/APgyLbfmpdmFMymyfmK9IB6UG51YTwUZSbvUmUAv2U/lLXZHaoQ
inHcAZ+MxrxkN2eRFShTce4jupBj+OxKbE52zVw8Yv7mGw2NKLc6TkzC4Re8j9LSz0MaQD7WXHCk
s/mSpoCUSts8FKpQbpuoe9Bmi73MvgntfteNg/5gRFXima046ZFWbiKtKY+jSlWvN2gla8lumWd1
d6BJyFm43Ux4s8MquuzK9Bi7yqGf8DsVqldpkP3Mstl3rPEa3gU1Af5hV+fYItDzRhtA/fd2svqr
yWrRcIU1kJ5G7CVzqBLiMyS6B7NtP2fqXeEaKBKKMQZRCeMlnMZL3MI7uG48j1YEIgnC3UzaQ4MM
JYUlicdD6cV2imJGRzwMbnjpxP1tpOnPM8Ifd57YW1vs3EqQGMYXmU8eWuXeW1Lhuwx6rZRR/Sou
7t18m8cqdMmefX70zFz4qdV6IBDeNZnvKu28VBw/cWci0AY07NHeMK+iMnnLtfpskZbPILvwBmwf
dcSDYBcgsKMddoJ9CNSsarRdDvOVsivoLevIKM3ZweXkKy9FFiRzZDMBXm6yEgt+Bd87YzLN6W35
QoNA4Z2MnE3jvt83/XiP2lfzjfljIG1d9iXXbSqvkW2doeoVnpyXb8MwnhJYq4FJVERYyj1ioIOe
aJfc1JR8SeWRkb2xGjcYKwuYi7EfZHhK+va1lTcMm29rAyyVDP1av62q/Amh5UNZqbu6c4LBbQ+L
yM+LSBxsjvKNiRtD4A+ocN7604jnGV1LAI+IFM52/lZlzqOZs1WxNmRW81TZ7TuR8WfmyIAurM5l
Qjy3xgkyMXakeEENrHcZGKMBDVJijcfBGJ6WZu8q0a5qIqp5BkuFe65nF0AmnqGjnsvonLTCyFqu
q8k963PkO8RDOXhsW5ASlkLzLwSXF6ssZNXUnrXG6jSI+hOy+xfiljYZFmWvBb3om3X5qjXa3pLC
r7NTR0o1Ta3G9F0n47pK/sysWN/KjBubato4n9HMdIt7wglxWent9SDMgPXjZIFftTPnypzgTLQ3
usQXrBT407T8Ei3CahfRTgpxZV2rMeIWbCYNJhAGJ/HBnZ9QnAehlT8kSX4yKFRNqZ4xmblPjPhL
jVQeaUUCaU+FaayyaSX9FZLupwS6qY9diCCPuN/PvX5pz2+DHvtOmkLalbNfOgInkntACn3fWRQv
Tdcf51YJJk1vd70urpGkfWnqR3sCFGK5b9xJ8BW77EYD94ozhCk/h5FoO8bjK0oCkHJ1Fmi5YZzK
udZ3ZV3slwlXZ6pcjdayLTC7bFoQt3R1MKgU9ruVmPjy+/k+EcQPN0gSHbaxaL0tB/dpolZK2cqU
UpznCKaW6QsG110tMP6ZbgItyhhwBg0+zcPLZlK9SOvPMvbAWEwYBAe2gH4yDyEje0ZhT8Nw6eb1
BckvJ104t24f+lmrPxphtyFVRWPPaFsPt9GXfnnNrJfUFO+LfpYI80qxtlZD/4dl75qU171c+lPV
9Po1g+uvU5WcKsW8B2dpeqYxbzOj8+CwenEoLswx2WZOd9SMYUv+2DecCNdTNGyr+lFL7fdYl/sC
Bk2UKNMF4UYYeMLLumH6IAcd3DbeU0QiWkfXKcOYm01hkKj9gYBriAXW17KpMo8IsIOodM0j303z
xChPeS12ibZsoybew+F+xiH40NaWl83pFJgKdAqnJb8a0McLFqSDGKMLjHd4VQWLjc4xnbwTPHVp
DFQTcQYkK5Rk2TggXYnrbwT3bmotbPmalJtMOM7WVlnNE3vofLsb9YM60s+HuAee2bkL6/ipLqBo
y6E/p1t8UTfNmrFUrPSc8VgzjvHC2bw3igWxbEbUj66nr11t3FZCr3YkFL7EGrWk7lTNjsr0ywBy
BCNScxAFLWFEaI9D2DwVGXA9Cnh0NfFUePaYvhUrT7ldJuUYVpUdLL3Tb5LVQjxWN5geybDpnas2
RdKK4wgQXyWRjfWnJbIuyMIoN2mKhwCOA08UwOMtHVck39KVm6yJngSJa76QRrG3nXjcpaSTgDCY
lh3QrzwglAG0R13gbHIh9zMNKY853FI+8iR8UNUI9zVCF87H0/rX+kvauB/p82JPpz7gy8FTIxjC
K/C/oKTRtNaN/izHMeGJNrpGbOZNo3ZTwgZjnrINE1lvcnPculXzrtvqVd4uQZhXqjcj/F2J5Vkd
tGNYnuxE4zDRpLpvO43wJ4y3AeAV17NI2LtNiAba8pFCJZ8Os1ZwhsQchr1quuqwVm4iawjPcX7J
YqPXQjsz+rIMoOI0KLDG0kuwCEIISamUmiZ/JvSsOFgiwYw0vUWCZ1tJg9ng3sjsx0o45yOZPfR4
j5ZZfHPYa7EDPscwiPfVXGWs0ynCQQjWz0Uy3pMkdxCGxdE9gqwq2doQMEGZ0M81AuhBT2pnlKaw
cVir/BYwTob5uhbGuWWywtlqdderteLiZTK5x0cRH9haCoEKM1IZkDVYaJ25cgLgDsmLmk/qdiIR
dOdytt5hKsJjBjoUwkUdh4ckze1iS4hY7uGq7DYKTx+rBx7oiCwsqRNr3SyWF+UCi7mt3eMWeu2J
iVQn9WywywuDO9GR8UvErVba4i5xpO2rdbYNMY+jYgziso0YS6qMRjA0hzMxhh3bcloQ5wSLpvXM
sN+WBuo18hQtdTyL2j5CHDgHtSomv0eR51VmSR9XvyCh0Cu08tiOybtBqBamqqOb6PuhiM/A6aLQ
+IKz/mogvg2SV9A7CFPafjPgv5C9AeB7kM+hm3gyL17bbLxo8vgsn58iu8fnPl/rBrGMc/Yoyvq8
zpq9SdFmVSaZZMkRw/y1U6WeDhxfthjhSjGeMxa40lFH1bK/ioYHnBw3aQ0n1wA0Yzr1I10F42BT
ElMwVpItFm0ssmA9wtPZqUGezsm5iClPQxKkQjxlSz6fQnw8ueZe81j6sSXvjAjl6SLeDeq+Re8f
xrgBMSurs6RMbhhJuhfDlFr3Td8q275afEBIK1JK93Uk+TnpWEooWHcr9VykaONC9qnNaLlnqUy/
DDKindWM01HGyXWo1/HWVKD2ZWVz0Q0aiud+uV1yRsAjxjCo4g9dqV5GU2h7WqVRXSK09sA2P0YZ
AOqNpt4IV7ZURDn5i82mw/N4hLxO+Y6PNRu0DQNKpnJR/E1mbXUIldE9oa2baeXAFAvSzNm3SXZl
aTQUmfzC9Q9k5dwb0fJFc1k5B9I+z8LFPoBMOdEYYspWxBYbAzgVTolpstMUihytTrN+a5JdQAof
B0TDvkUMdZsm+SNMwvg/kOL8/9nOB9Xxu3b+bfLeti//5/y9Kn8yt3z82p9aDGwqGItWJClzyg9x
zn+bW0CV4uNSNBDbmPjg3f5lbnEJDMEPgy0GMY/q2Hin/hTtWH+gTVxVHZjiVquM8Y96+qsH6y/N
DsYG10H/Q8YuPf31/a0N/x88Wi2ohiJcnEMPU/2F9tXqhe/67lWlJXf44aP5hffsZ6vVx0sRgLX6
6GzNQOW7vpUfXorTfNo0zXRoYbGhZHX1jWJ2zt+Yzn79IrZm2QRRIW36dD1arTVoKKZDrVrkDCIZ
3dJl/DvT2C8+NKYz6Fd0Q1Vs6yPx94crmXodaTu1Fh9u99Uyc2Vfafp4DQYgvPhnnxnTHuwzgAgU
DoPIblZj0g+vZJXKGIcjvmKGQtUGLTWYzjqrpP+fvAw+PU1VnHX89PPLdIgsIUrVB9Dy+l0ft5yM
lLL7PvT7yVb1o41q/SM/3mp8XoRjKNzVeAExHX3S/KTuAnlrNPZmMc67nvEtAY2SRD8/410dwFo0
f5O89vleWF+QGRr6AIxlDg7Zn69Kk27b9ra+tyxcxF05K96qMd3+/qP71VXxaOMTRfyGNurTRMzu
qjFGyb0fEiNj6IszQBlp5RtCQfgJvetvvqnfv5z1ObRqjUQeFqHuReGaAYIH0+vqoruMF0bLrCPN
9e+vTludbZ++NERhGsM+PkJskp/MqYslrb6ayn0+j+Vzhdbhte4X2CdGplK2ZolKOZMVTnY1WQNt
HE4ScOvF1LdfyFyIYAwaJlaQqMxtDg7qbMG5xFaxLzN3BNyWV9YX9KR07GoZy32PMWl4yfLEFNft
pJHLnEvZqH/zjX1+epmEfgwwuSjN4gFeL/mHZwpRSGgka4dylubOJhL3VOD9g4kUJue///T+/cuy
WehY3tFsAhf6N7etBUUIYPMexoiyFUCAiJ+fh/e5oqQaaEBMf7P4/erKeBlldVsZTGo/3fA4FFVZ
R+0emY3E1DfMO8eZRgKKp+zu91f2748WV4Z9WOemtxlZf1qXJkonK+qbvbUsiyfLSpBdkQzfy4r/
ccH4xYusKzib3xrT5uqfvqieltmchtUeZ5HYoa6vNlCl1eD3V/KLz8xEAUEOpK6bFlbgn+8GuHlC
7e1iP3QV/fEJu1vKfGKTNmbzNyl3v3wlXsBcVZSsR+vl/nDfmeB7QMhV+9Rpk/MUUVBQVSVz0DHW
/5FtnR1D4WuB+8t/TOpZcH9+pWZWtEkVxX7WMK1FRYbFx477v9nOf3U5GoIDE5AjCGLz0+WQfNQo
0s72Y+mUjEdITiB6gy2k7I2/iST91X2gUZogVcYlD0Lt58tBKzc34ZzvhZvMu2rUE0RRzGB+fx98
VqSunxnFmE54psbjrny6DywFZqTepfvKdl9MMOun2u7r00jY0k2pDfNXtZ7q5//gJQnOpYBA1oHe
9ufrivFbaOOc7vHzxZzNY7IyRrXYW+1c7ue5YwQiBHah378opRZ/9uclfcXjW+yNKjuW+rHk/3Af
2nbfgcHNd9IiXHc7WCiwGPBZKBV42EY/XE8pKaRMDdl/3T3pSpu+wj76MFdWskW3qKDz+NB7jdmC
gxc06dGarPZRYWBXeg5LkLKJef/pZlzVYwPBbc42zqQ7e4zbOc7CYHPsa7nqzmDGtP1VOlQkZak5
E5QbKymdfNM1CvFz+dLCPCar6EPLBsf8xUxVOlVaYojZI+od6ZvVaOGlturhEtNt5DH8kMkh+6ru
xCTqOhg0Qs3h9I574jc0OhMQo06K1iv2VjZ8GJyb8G3p2mI3G9VhpLiVRThsVTebksOQS+cCYUf4
ZDHsZ+CmrsyvKWN+byAG3a0xJY95j93HT/PMGXg7afQuSpB4EB2ViAkdNI4gitQhA0CtzOckmHGQ
1eyQjkNVTkx0owKk/t6tm4wuR9O6hIPHpLgx2Mwc+qBAzkYYksOMam6BIAGlz55Tj0F7onmVY44x
+cOL8TgoscqPyKH4Fss5u2hZzkDh61142zQzyGSgtDW4O6CbaDMn9asBPkxwkoawpURqvWzRjE8n
wDt0Ckq3nL+KuW4hfoK0wzkXFyEpO2nenHWzqsD2GavQ3IRN2Vn7iCzN0q/cDk9mKcw496F2zDc9
PZ4nd8y615AHjDQRI1IsJkAt4+fZrm7iOmQi1I1TYer7BrFpQkjJqK4g5sR0zgc7TdL9LIvsGgFi
pZ+QRIot6hu12rXOlKvegvpp19bNnSXIX987M3te3XS1EjTmyEwAm2+/i8PJJrqJZ+3GoV2H3qcr
9SMzxex+Np3lOY8K9eRMU/RA1T9B+xVpJrdU+NBoW2I77yIStnSklI39WMxO1fs2OzoAgLnjJFPb
rSgCLXVdhRuyk69zGNmDPxGBl6BgtpKXPk7Nr7JLZtVzwwiEiVFXdXGWFhmPOANcSUd7nPJvCBRZ
1ohm0mxyCov4ZZkArh2G2gyTL7WQfNqLac1g3rouS4jBanEYoQboSKh2XQRTHWJ6r2dJWTMixlLx
HOBKaDNNZTlFtoZ7rilmzkYodekrAZOafNdoxY56KBJ+P8TiXreLSPXD3rYyr5pWyyxG3XkJHJQv
z/HgJjxISj/vYtY0uY1tVcnR3ySKShY480g/dqz2wVKbqtpbU9WGPpJCB/s91OlNGc+LEQCz7uMt
+UTu/dwDKfT1JsFiVEWKgQ4JmXHnx3pefKltfgsAFX58NCW9QVR8HBdvhHkntzn5LnI740JEImHb
Re5j4jS+5XO1Wt8RN/L/YoWF6KHZVL7Ld0HXqXDCGEtfhiw2McvwzZJJZCG4hcVOw6/K86C2pIZ9
RctTJCVWTA/cqLTpDTECw/yapjiOBaBvQMfCCJFmE5v5eD8NNcI9JphDZepejtIsPA9n6MZrm0fD
kafC0D0hMOi+78D/SxX5L2BIP+xqv3K/zIBv3j+MWyvn9ePn/9RQmn+gqFSJUV4BGFSpnFi+ayhd
4lQ5rvMcUvazy//Abf1un3JIR+akra8yyX91W1QkmTw8Dsuq+f1f/4mC8uetF7wMBZPOKRiOibEe
qT7VTHLWSeBsSSWbBsYJbicnsP6lSK5slqVbu7Wmvymdfi7SaIMoqqbAMwGggpLR+NxzAUptZtYQ
UwVOeeq3qiF8qYnXoWz/RNz8j8X6Z20oCCNO9fR3sJlxce6/pTjDAcpTpwMSsdSzFqnbvEaSotwS
RiVWNKD+AQqM7dWVtGUQoaTkfJJckrW5GhStRQM+QVLCykbUApDMPWzzFRiKh+yrLo01+kssNMjL
SrHPAcPWF7YINS9k4JX4sjKz274DERDkzkR4g+itXD93pyRvDjEACswEat2DvxSFWr1NalsyPKtG
O9pZ9gIIEDAghABOThJlR5mqMvcLks86PzccdE+kYBXGBQKLQl6B90q0bSfqOTuldTS99XUiz2CG
1fZLkU6VcSLGxr6CGxeeatSpUNSQQnhEsGGTNjVZz5OPp2gB9sR0RXas6m6WV5d5qoSnapky3WXg
lkm4AR2HxNm3wtZco2NVRhrnZmFjzBBSz0efGAErRj8xMc/cU5a5b1E0qPlTKeIOzskoirQ5m+Ye
qsVEMwvLhxvOhXrmQIkj7NGcKgeRE0f5hcSxSLOkOftKilpB3y4qrtUJQ3KRpfWmIzs8Sf2mr6uR
BOB0bE5mJMryzhlJUkX8UZnm4HJoUgbl3h4n0v7QbemTzD07CTmhbAFvjwsRP4oJ3W9jTQIu+mYO
ccbrNLib0dW3mQLL2DimhYhr+xJkm1VAMhNFY+d+TeMFpxPROQVqzsIwZsIbYCLayxXIQbWktKJ/
bheXS2/3yk0I2Lx4iFI3Xdgmahwufr0wTH3JgUogUnE74uCuuQB6R8A3ZG+WHnYQ2TYeGNIKL0ej
wHgDzaqac3Njo38tropEGJdhZwoZSDUZkEYYS/sAro6bqBnkXATwBteTcKqQE6onvWuikmljIooZ
RmT+0lkp58wMc4U3IaoCWWIX7duaHLJsu7pPSWBSaj2679uiQtvJX1OY3s5oGqNLAdgAeZkWFiWC
NNI6fI0SEzWNzUCRGZFL7WqVI8WygQXY3YWumex1AJKFzzhjQOJaoNqzs4HZIjppPrASwZP+dVTN
sT6OkhjSC9XKHf08H9j2z+BCxDToagVrhqcYS8zwQO+k3IdNs/4oZMAU6KZTaBeWyAh1ABcxWuYW
EyiWazRxmbJPkRtyZke+Ur8rVW5kezRwc3QmLawQntTU9hV/AdDLzKRjmzAmVo61QFC2jj8RSi7H
Fp1m128lfTTqUFjsCw6hcOqEVQSVOZn4t7OhGHZ0ne2IaJi4VndSKvCBux4mwEaP53qvzdKCuw/m
F5hOguWNtOvYRKFSC3JgFICrWVAMveKByzbLPSJ4SwmirkSdXZOBjPlbAH+9ytzalfsaDdNdpkZa
dAp5kJ2d2Wi9ehtNBrfvVhAOkN5XVThZe0qGGkU7VFizSZ+mUpAISjIfasOT5ZScJJRpEcQXS6QJ
fm8QgblRrAS8q55CHTpf42niA+L/vNkx7I2/lroB8zKGKE0AcY4TxtPcOFoFEEy6pkohG1vNSaw1
rRrcB4br5ixbJoforGU0h+1Q9CagPDaEws/UpJ9uuStHqDCxGcN3RTDH+Frt8oghkzG5LNZPmu0w
7Ke8do10QQKnGepNCOEVrKpwprl6jks0OtqTipzO5b7EYIcEIvKLOinx+dB605AgkXvt9OPXqIEB
AZ5zMMKwkq8DOIxEJ2R4HoQxfp00mqjNl4+i4H/ro/+CBP67+uj0Mldd9/5ThbT+xvcKyTD/0Jhe
rPR46gJ2baqU7xUS/0JjClSwQTPiZxe5ULU/KFhoZtIe4SH+MVFq/TfqCzgIOIQN/lX5RyOpn4uk
9YUtW4ehT9sezwvv8+e2CAHQg6ZnaH4qQoB3KWMwQjLiLDAz/Y1AhuJvxhI/d5fWl3MYRtk6bnTm
K4q1llA/tEMMMpMYwNeEakjKiYx1ApMFPYofvoCr7+2VH4cfH6jIv7ouf76MCWqLZplL5ffpZeKc
lFmRdy7Mctfa2kxhj1moIFrkss7mNMp2oZQlamP0IgjbneGimgzN//27+HiVz++C8QudQQ23n2t8
mla0U6P0Uz0SNFW31WtKttv1ku2WNEy/VXSlv8p+MDYcpeWxsJCOLhzFkduuhr6yzeory860Z5NU
6o0KvEbbpWEyvLdDkV/3Jmf63hxTb8Eud55IwRCdRV8941SokhmDQtmJXWJE+6k1DtEwTFQoAj1B
EytEGIFlxVSop90bG4LJ+TDBpMuUXgYVOjBWmnJ8Xtr5ynDr8MKqOfo7eVwFCPvGO1sALFNJO/eL
wSkWTyU49H9H3Cuk8ePsZP2WNHB66dukeyk/wQbWX/pzwG38AeKXYQOTB+ClqwHtX+uJULGtUXfa
gIzhuCpMyf4bNoCjjRPDOr/meYD6aPFPf064VQMsBRZYVhp7pb5q/ygq4+fnm7hNdDGM0THNrTMs
TVuXmx+eb3A8+CX75DlxYPoSJRkiI8TO8/sHa316/3qu/nwRRoCOvi6C5uexnFEUNoEL0f9l7zyW
41ayaPsvPUcHgEy4aVkWjSSKlOMEIQvvEiYB/NH7jvdjb6Gk7mYV1arQ8EX07MaVKBAm3Tl7r/2k
/Sy+KieGeZsYxrVZszn+85V+ezt0lNiu01Zi0jq9ncgBuhRMwScLjjOpVzoY3nZTWWWXZooXN2QD
dnSWY6rt8ubOLjMHSObRUX3k1EYAMPS2/rGa4iG88NyWPtHpc+My9JGIMeGA7R0Rss9fTuJTwyVY
YY4LqjxOKD5EREyjKLUtqjaET4QeFMwMdPPdnx/j7y5Mh4xMIGZj5sGz6TjjA+yVND+KAp+rgNAJ
Z6xdxNNZ02/drMCYAlvv1WQkzYXmzNKEO79llk8qEDQFPYbL6QusksqwlTV/bGyIoO/I8NbhmnkO
X0PV2+B/YGcx77sojHL2uHbnbTFp6/rCZ/Tyg6VJ6NjUOvhobXG+yLrIV3NSSj/2aUwsaxM9QhZH
FpoV1l9fiH4/EQkmDQdKHudaCVSBMWw18ZE9dLMLe6fZDtkE6RTyy4WGlPBevFTAxj7/m+YBrWr/
3J1auoahzSZ+NU8iIihDUk3AWz8yTnwKrg+J0pmFcDwDlmZPQ3jtBRFybVIMSABoJ3cWq9QdbOru
nY7JDanC9EuIFQXflXLF50Iv1e3Iwny6nsumDDcuh/VqOzBG5tUwzTbACJX4ztrA6uTeiKZEbeYT
6EoQy1wg/tNha30Fu0ItMx1mcAYA5hAbCivDxYTrcMDxBkfQgAkvRHsTYmi48525v01IDQBBR2ZZ
stOcwj9TjRDyriVerbz3ac58EC6kxzWcWrO6stF5IspPU47kmSUGNMhA+3aSXQVaUDdA+2n4lnxw
hxJRKNu9rt7WUxjCZNbQetZmXlTfLAypzjan3o9tV9rqcRq0Cfq0VgYSVHCI3hXhfe2hRhNsrmfY
FOO6UU7tUievkqsoikB44S2axu3gjNPw6MGtFDfz0tNdFVkyPMVGGX9TJkk8qwVdj5WMzZMbfraU
b0Zf8FKEb+fBMXD59m7Yr8dR+W68tqgd8GD3ppHGzXXTwX81H6QPXsHcUA1D5l71iBbSlRXCuArw
SEAtmLM37Okyxfak4IwW5B6V4a6zDIoDtRrAhNQaQt0rY3YMpT7VdZWk4t6eZc1209RO0b4lV8nC
W5jDIwjdB10FVUfehGrUtO4EARfJTWEpWqI7S4LMwuOSIa92fDQuRlRhAComD5DJ4xKoDL1qbcxm
aHHM9BJePhRYJ8aCCFi3yjEcuzZ5QR8wCIperhJJIzJa5YQMSZggNQ1MTGtIUbpHiGIz3H3gF+rH
rASmwZS2cBOsB3Jo6vB2EOQyTm+QQaWuuc5ELVS6xxhD02DlFCb1j3eUI9Oq2TjgVoWzqppa1BsJ
KwEfQgGrpDnQUSMNsqcdV7zCHJSZN8NAM2ffYoD8QXoELhRHKP8uiIk6PVRW4X8QaogIXJZu/j3N
8Xb/qEcFFZTMxhnHAIROkJ7RYLzuaByE+5FZL34/+bGNR9MvTXvvqbGYidFwhnuWBSd6PdYRAk6r
KTlHVwAe9oMyaXutOjlbPAwbxMeH2Ka+t49nlxJGR+HRveLsrkBXOpRpYEZEVnpjlXHz0cWJDMCO
LkGypfBlGevOCkp7b+jRq79EcUYeshsJ8jFH37X4q3I0xxErUdRHHzEwD2rXBbhC3026G8SjNQ9h
+BqgqJXv/EmYzkcirUBcYuIhkoLwm8b92iaNQG+fF5OFmdrpC7v60FRWQPDFyHAP7lKzcaHMh10a
dHdD0BWkSg8mDBgfcIka0nfZnCiqUlSTPP04iYqy7qoidapnrqGcfWtAh+BdxjCCSyt130xkAZRb
eEq9vyr1kN+3Dh6/lZWYzDqDYyOJs8DNm9skbTnwTH1t3+q8xrJRWyq/t/D3vQEqjDlgVG0EKT6v
k3EjnRBmR+ok1o++4YHu2iSN/XXZDkSCidpzKR+itWhXhR5iVDU27bHJwoqzp0LKCpsUI/UEe3TD
+wjq0fuWZDFzDZSX4ZIQY2jyiMjOWLdR4nurUg7DI700513F2ancEDErow1BglArQIYl7s5GAEum
TQl+aB06Kr4jnCn51E5aYIWJ0/ENKkZaMkFlZEjIW0rFAIiBIkLAdorXWkimdmtKnPclUdZPftfT
03EyI/xk2mn1tSf78nF0NOQTL7bT77Gc8VGA52ifXMM07+qG9O0NAEoE/X3fmTFpnf70iSZooTbE
uJMESTnEIITQqoInJygTim74hG/mKeoQlJe6/dDqNv40+U7xJbbxU7N+lM2XrqiAzboJur96LKsE
ZJ+tX9GwnYtDZkiz36HF94dNKubkC+BY554sGXyaRi8+Uz0doSqSPQjqt2uSB6jA7RNuTfmuNw39
lRkqTbdVnwT+hmXOSmgjQ2vFw+i7Oz2ZRI4Yc+z9GKMRMC4QlaFfjY0W+MVMpfkCwfWS+9tRZJ1t
WY5cBI//qmavSPvTmXOOeZpO4I6bxpBaUNru9jmDg2KaRzgKI7GYGX69PclNmQrSb0SEEJ3usL6Z
2YtObyZH2j/6JOtuQcLpB5wQqBJAlyIzKbOeyCaGTvgKQq3dbGj0EDBUBjCLmWiJtd/4vgIJAMyn
J7gx9cevkFS9bC3x7yWrcc6ir1PqlTaNxViQPwILqIB3C+eYzh6FzbyFq0Vusa6/KO1A3wL1wHuB
9ld8Rs7VWBvK/zgdxFQ6BEVh/KBTvLCRNtFc63DP31b0Gny07luyxPrbOHMIPy2StkzBQITZR4ZM
ae2xb5ARaocUXhduts7Wnl07b0WbjPPuuNX9XxnsH0c97H+H5L39v/+nJ+n4hMB4/JGfB1fH+Seq
L7aK4FQ4nxIV8K9zK39iWxxGXJAqbFnZS/772Eq21j854S4nWmEjSDoeaX+dWw14ihwnOC4Jeo8L
a1H8TbPwuAf/z0kB4TeNTJMGZsCh0l5yQk5PCrAU6RiAVcbZn8XGK08TOrz22dUYm4F+jsdHaMAb
4vCZwgwYgoGAHJsPGlCClBTk8c02WxHSBNnjBaMBH85l0B4sIG5Y8pouzaGWGnzdtRObZKM2TAcr
Cn25tyF/hGWBKdWGlAGrdANFHU+WtCbSiCxaUN8iCacZx28v3na0iNRGqtrBZQKm2N0kum+vZKSJ
kR1E/bHt3QrPUOJ9gVZaffv7z/v/N0qQbXJ0+e8f7sP36Wv8Pc+/t89LuMcf+vXpupRwhe/zdTA3
Mcnxafwq4fInwL4pqQg+9RMQqCH+iRxj+abpWtExR9X775KLsbgUTOkh0Ofg4Hj89N98uqenSx+h
MSJHC7eyh9TffHGsLyc4X2FgU2rJpbGjbYkEONRi001jcKGCsAyC54PkeClK2V6Ax4Ki5tkgKaUu
cHL7IQctYu7YTNUsNOzvnz3/Nz//vefl25dX8ZbGNgoALgNI6axu2lTNNCRNTiCcDxfHVa3clvTZ
9n99FcfnH6c6/xOkejrge5N7WFI81jyn+arg/LduO9Kh/3wV6/SYvLyd5XgMFor0WLS14uxmmGzo
xYKKX/ve9K3pbxsQwiPZHH2KQ9dGKzB7WDkhTE/5rYOvFiQ5LOlqU5lqZTY4S6s3dm3eeXP88Off
bCl9nL5LpuGlI0Go7aKYtk/vv4tbh/auTahdYREq0RUPFZndBFvFesOXNKGoYxH/8zWPH8j5RSmC
0G3AmILG9OwDGoCkdWEaUpIoU/8wAu47dKbNxnX02r3jF/VGYyQHYJTqA3MssbkWRr/YHfcuhKhD
7OI5jRyUlH/+vRbNyfnDoK7I4gRX12G8nr0lpe0JgUiZECduTBPauokTvGUbGw+YCQFOFvZtqhGT
9ZaQpQd3tMlZSYLqg5+ijKTDo2+ppClwS3EEJ9NDk5hEsAhyEQHOpJEfPREGa9z40p7fDvYwLhG+
nIQB18tt2IJjXwPIt4sLj/vlQAocBhAz0xJAhRD69BVrF1NxS1gfXtaZ5oeAENBEUm/+/PCYyF4+
O59aL0JrNGBLRtHzmu+cicl1EgE6CunbFpcBgatRAcmhIgYET+sl8fDv3hUfJkp1ak+8sbMPV+In
qD14hgjucuAwzYBQssDsME0XC3e/e4C+MAXF7CVQevGnPb81lU+ZWTdENXvuDF3ftAbGrV1e+vpO
q5TLHEHYGgVtF8Ybr0qePUEL5W+cEga0nmEUvEq0CUHQ79Q2S3y572rP3JlWInZ9z946z33vdZha
9m52kXPquyGEUePpQ509wBXF1Tx1xZu4wHxMX8i5auz0yRdBsqkisJrSAi9DmnZ745Sjuc2Bxq6G
qCHSHh7wgaDP/ML893L6CyhqsywJ+Kkm93b6BM0hq8Y+pjXfocpAGQ+8gwwdJIRBbq+xdrkbQ/Z3
WdYmf71UcWHU+MsGkd3cucvKVsJto8aL1/Ek4quAdLSV0afVhW//N5Po0olBn4VN3XpR2aWKgenY
XpSO1H1Zr6ZxP4+c38ohcNe+JiwU1F1z4aK/e6bsibESMtoI8ToratdOZw4sj5iTY1mAdkizWwOu
xkM+2A2GViv50Aus9L5XJheqvr8ZD6zLbDE8CPvYEJbf7FkHIWOMzHpKAMb06LSMEhhH61HD//OE
8psBjmyQ9taySLCJOhvgfidzFG8mk7FD+mxm2+MVgJQJ7ZARXfg8jz2P5wvSokBcWi4epwjsCOeu
IXuK2YAghlllynqqAd3G/bjhzJnutaIn6lbtQ+R17c4A6PtmUuVjXOScZLG47MvEz9E/i/4w2oRL
VX6Z/uXj/vnLeYu9iIogs8Pp4w5C2WDw5Jebeye+1/Nc3IUtRZw/P+7j0eblM/jPZc7eKmds3507
DiVlHExba+opvKCDpmw6gfMgEebQOmF7a5Jm/djkERTGHl1L0sf9fTJO4OJU+HXkCLdKEikOoLX6
HUmZn1gyAFz4OrofgpRqi5cWW6GzZFekRbG1+uD7hfs4X4iOqbqMM+Zqhj6OqdPHxcQMf7qZ5aqD
rOHDH/g2unnwnoGbmJvE6790YYmuK6X6Xa2qhVOrW2syQQyyz8ITl3+qOyOyltOdC27a8qItPRpv
4e0K6yHnKAiArXJAd/VBh0YySzRFGksOQGwiwgzlhhpcSMkRCdiaMnh6YTk/LjenL0qSPIp9mZWC
OXvxKT8ffs0cFtprJ4jFPVQ/mlsLvavPt2MSB9fsOhBfC0wRiHKX9B5fv10YMQnMt20Im7loHXlh
JvrNE18yDegbM8kvR/vTX6i1myjIJFSR0K/G97kjfhiNQ8UK7NTWlfl04XLW0gg9ewB4kpYWoo9v
llX59Hrwc2RbMphXmjyicbBuM9ft1/2YGeu+L9Q+Y0OJJD10oUs0GdFrIAJFMF4Ylvaybzr9NRgS
TPrsX5l9KRec/hqTn6klmsFfCbuoKURm0WPXu92a7XZPWHtJNduanTt7wSYYc5evdUA4F5VGf1uP
EECiOrU+13bB9IHm6zpRTQcLXwaPQzaAb3fkdxQAF+yR55Mqx1CT2gZ1DrBWMGrPBrnlVKKeww5a
lZpc+HHG1zwiEzi73M3+7ZVouXKwNbFUk15w8pV2TUOXp9EGhqryR1EUzb52wBKBXjYufA/Lcz55
D5aDeslEt2Da0oOxcXqlqZaT5YAUXSeN5Vw9HUbKRTsi5fRmTKzywuh78a1jol7Sf9FfsJM2g7OL
WXPcN6Q2spNpZxuI5gBbL5f7BbeaU27/81z28s5wU3n4/DjXL/qhs4GFO4lgcc1kFZIfJlb+UCmC
F8kLN3NH3Wd+Pt9YcZZeWAle6KZsplAKE5yHUXKw7z37SGjemF1HIDltgnbjm/3jUIx3FSqlVEHw
SPR15sl9Gutb9nUXBtWLr4bhRGvcZTNMlYHI3NN3mU8AOYMlWVOQTk8hDWBY2oKi91x96U2+eLhc
ymVjiECMG8YQcnqpNKy7xrPZxeRRSWKRCmCajbW3LWuKfRnoWABETbf78xu1ll3LyceKnZIhyAMG
QoHN+2zuGuCjIn0DrJtwKNujtU03uOugh2oNkS2zaXMHay8V9es66uRto8LutRX1wUFF2bsLv8uL
eXT5XWyXu6deRLHz7Fv2k6GB7jTwnrvR2NheC8Y8aHqTAEcNRyf06iUKwXxdu7sCfTsYsXHVQXi6
8GssX/HJI8EmETAdEUsCHJg3cvoi8O5LkucL8g7ZXb9hKqlx7tTVTnHc2ogg+pY5KtzH8Hc2djpa
r92wboEuWhMSXMP5OhZif/yN/le9/wdUh2cv54XJ5+F7+T36fBKFdPyJX6ozcmwQkzDp8eFi53eW
Gv3PEuiiOkOniod3saG4nEj47n9F3FjuPymAUp1nNKO/oVD67xIoItZFkIbAlQFPiBxcgL9gpZ8O
aAo3lGU5CvAhSc+kqrUMvWfHEuDX7EOL8N7FXv7RVSJ/R3FRsx6PPVRM2fnjlwqO+s+P5b+acE4P
Qz+v6jJNUsZlAcKdf3pVD7xz0pTBPeHAZJVMRfLQEHh2wcf+24twDnI9kwMRSuHTi+C2bfyo8+9h
WcuPk6faxyxqiE959rLf/Bxyzyuup2vbz1thtWZbwJKNhPDsVkiVbRAN+PdFH2NC9O1I3ksmCZxD
2rwyS++CF/t0rv91OVgQfDJLq+UcnZCllvbwjtxbMJtvzFE8RDgjbtve1xfu63dPjxPkvy50Xnwl
0w7jsfbuda7IevAI2TWVkV1YNX/39XF8ZEvlEbDENuT0FbmERRdx7N4XoR+85S/h/xg5q10j+aIc
H6R5vpZuFF/Y+5ydXH89RM9GV8zkCD327LJ5SpxonPv38FDURksVcyzopNyEdOF3cxVg0VJBuC2p
z39w/JYAOVFEXzBhEiggwh48fYov1lNBc63j3AqBShTl3+1jfv2SFOkAETksNOb5h6UUm6bUQyZE
2qvIslkSwSq9NanNyQ9bkENc04+7+vPX/Ju3jisePSvOv4UcdPZkJojQMtb2/Zh21rWtdLCZifL+
+4FJ1AODn5MA0865ZlMZaoix1N4HBcuoDcKZvLn+Ul3aOWsfLA/QoyVKh4eR4rMpO7uXOo5Sperk
dpwHz9kS16Y/BqmfV9fKL/xqk/gBgPjcwrO7GWyrT7dWOeMDko2wIJeaZvODGmoYbeaClAWKNYis
VrrklezV3NLBT1Uc3rrN7AcbXYGfXSdz4L7NCDqfVnTFwjdzWnJoaOKOfMEgSOp3mH/rdzAhMHxj
XlI/4qEl4JeavAnPl4AWTs4o9fDcG7X4MA4KJNxod+ljV5u8/EJaBw64ottGJqT7tZkkLQJMG8Zp
2zUlrGG7H28jQ4v7Ggi1jTAwyT4vcbzjmtzqFFCy51p7ZKziXaglqSwkwIq3SjRi3OFFJqBFWaq4
TwnxmfcZ/8MmlkkRNdFiintyrRpFXI6mDQFcQ37GummRnYFZR+3D+Am77zIuG2OdgQz5GvU2IURp
Kg9+SYToxtE479Y+PL4HnmNwIOK6CA4oRdA4MsSiGxcrdnFAu9s9miKz011UduEBZaLGjdTaOKBa
J26iLQxsTU5rZQ2kGBNQ/gM0YzGR8m3Z0Zb87Lm6tXUi2lXCFAYpP3bg0UeAAL8ruJPZhpYzIH2X
2vp12Evt70aOq08lsL1xReV3rjayMQRuaD+GBumQvfEgEqd5ExVR86oquMI6zbycpAqy4FaVb/jv
WFSiPf86CSF+7epPxMb3t76PSW3TiEy9mYfWuWnMIPocB96iHz4qK1w1Zh/xcaK3SI7aC7yjKCiP
igz7pzrjqNQg7hTVRgEAKNvEga6X0CF0evVR3uEdpR6OG5Wfk6MAREC+JE1h0YWQM4tEhJrH4phb
hCOYVfCKET+NoGQ+ikuQ5UVfnaPkRB7lJ1Gppq/mUZRCJFCyFWNmf/Dq3i02M0IlFEZHIQtGSNGQ
BbHoW35KXbQGLVocJTB+5usH1EbdbSMq8YMiJWKZzAEYaS8Kmuoopin7RViTHUU2+RTPGqnNIr4p
j0KcMncQ5QRHgU56FOsEUkucb0cRz0C69bieO7Q9DSlhS5DpIvmh0WSHGyyHSIGmaJEFRSYKIY1W
r181i27IaE3GTYsEKGFdQdG9yY8yo1D049dk0R7ZiwpJL3okD9Mj0qTUndy1vSiW9KJdkouKKVv0
TMFR2pRIKIqbNKiyQ3XUPQVFPL5qjmqopJTVoT9qpLjX+ktyVE4Bxii+mGYYfeI3aD+QQ4rGyi1p
ZQ520WQbfxFhBTlAAByVinCD+qjTknM/fQrLbo63gHlRcnWUjzL6yAi88sxUT8lR9YUZMP2ObhIt
WGiVw6O1CMTcRSrml35Tr6pFQFa3lnw/ikVVlhH3/hrRIVozM8iQWzhVhQbNPurR2kWa5huOTT2i
RLAWGnF8Z7d2DKH9qGjzOHS6OzIAULrpohHEIJeipkEXLWK4RRZnciAaVqPZvx9bStDribw1EkyS
GiVdd1TVRbPU761FatcQm5Ptm6MCbz6q8Qoqo+0aXWB8Z4oEvR6pDVh/AXSi48tCQrKQhyz6PoyZ
1g+tKPWuYqblcUOSCWpAFrCkw0Vp6zddHeX3mICnGPWXYQFodYiac4ZOwOI86gxHI4iwQ4B2AdG9
SBEzvntioI8KRdXBWm91YYh11CFhtCJZyush1dlhmCln3Y3M5PVT0auKc7i0kyWNozQsZiASxwIi
WNzKKZJbX6moXVFDmEt4xgh2eyKdPaXFg1MoH36q2dqvOiUJCJjwHBcbY6DTf20ETtwCPMmAxhMH
hCzMqe2aMy//HW6XUTGu8HPVfBDB3CyLXaSYNm09bXw9J/l2MDz7xhKJ96Os+kCS+YLYZhaaSHB6
gnCDc0knSw+wXq6cZDBvAMPY4MJF5H5STj7dytpEI2zOaLHpPbnGtyEziDQf8O/uWuS93bZKzeSp
L4rsjVnmw3dAPNZ39t+IWscy4dXXKo71oQ+jON0YFRz8rdH48r6247jciopGmPXeT1rzsZmaFCc1
QWLJFbFzUbed0USb61pUsEaNWBHFHdfFlG/IEMcF79GK++aMKWdbw4Mlc4XvxUnXo5culQGNee1K
5HUGkMVXHsK5MfKukPSm1nYSDakLpL0byXaoyShcD4VsPiAn9caNDYDtA1xglPfwXfruJgz4fDa0
i1gokXPwZUnUhMG6KWrXW0kRh9CYR6BEoizdzyMi/nIb2hp5pYR106zJ5O6xzLkdSX24tYthN8oC
C/DYtaijEMbXxtZMZRxtZd+7fIrm6I6Y0fLwqxglpXmdA4iOQ8XYIWKGMgtbjzzcTjTR0hW7Gfz2
XpCU3VqmDpB0rxDoGB1YZGSWDrNbrIO+GojD4FiBxj+JdAMxnK9+62Vhb284oGYkDS7K73VqxCzz
rgrbBgLRqDus5Hj98P5VqATxX4ODSkKMDMSbVEN8PbIUAC1wsnQ8FISsfEDZ4R9czLKk4BgLcomt
AvJEc4rCNSglP94MUdKG69KAxPdY0GIi6W22yMdbFQQG3c+F5T3ZjabTHwbNxP6EDOu1bwEiZhES
Bek7js4ArzRNy53NgiPDipaE8dp2c2ta+61A70Dfio2D0EPB4wzREe+ivrMKskPY7xGuUybNSnmS
/IJWaILovJTC7kaJ0PoBPJOwA4SPEFlGZCB7GwrA+CYhT3PEzueSSm+gVTOutJUWD64heoi4k/aM
dYMomB8iHsMerpVjmvE75DKw+yWeqGJPkwe6fM8iUu7yTvXErzMwiOYC7TKuW/SjyVd0sVWVbOCy
2xTJraA1ce5HDZTjAN8Fdv+5q8ds14MRyV5PNDGrMSuvh4ggm8M4S9XTyCD0cE3Elij5HKL6e8uD
xjHtxDj2iYV2qnVijLViqncwKYp+sm57YiyHlctOheh4q6eX1RVLJvtsNBzEYDy4r1OL9XUFiTVH
6h2kAdW/2WBexj0V70eDffbox8bj6FiuuincYegOdRpkA5ilJP3YJ4OX/yx+/q/uRN2JWsMfxHdV
8Tk/dTsef+KX8o74ZJwQ8HfpIlBDWurRv5R35j+xLFKRRzxHtVguIpB/VZ0s/shHn0azw0Vw9czr
aFj/pE+FKo+iI30rCk9/lcF9es7ExEx3GkP3gr+h8Y068OzgXwW6pZhto1if1JdEs19Pe5NU22dP
5GJx5tdllso4HU0Ug+fHWfwkbRjOcgERpO2twTnjoHRnbQYzqoFCTd7Dn6/HosQv/qwuSzIpizmG
RAyc1PPwp5/eWJh1rDicclZNwIKIrYsslJHNVVmIhLl1MjgRembTR81KF4RXgmSv8QcllBao2Es8
oDD2ysLt7hXZZv61tEYZ7KQcECfuM5zJtr3G1pHNCkW7ERogE5NUd85ynIX1hSQEg1G4Gb0pLMU6
i3LO8NTkjX5Q+y6xUpmT+9lLcgGV6D0vWXk13Dd9o3C76a+WVeOaYb8mAmqABf0OQjgHU7CqbXKW
P29eaz8oXPFJlcWU6E2TmBJc6GiaRk/7FlWt23BG8DxlgX1IyPsCkp9HHBzirBThRwczyvzea6yc
xWpsaaRcdSrh761V1xKvYsrGBdjRDbNHyFqZiSpMVoMupxFpn0fARr02Q5CeIa4SLyPvynHYA6x8
KlUZQXB4+zYm8pXS3sZj7tH+sJMC/gbn8SSw174hBUALGVOx22RZY+OngwZkqHtQl2Z8XfSDESym
MVOG2IoqVdwUjpV/kKTjuQcwLVmyTevZqjiPYRKNntrILNoDXKPJZlVS+GV+TGmnHvFplvbBwPyR
kDI124oAQBFbK9g6OiCRsfDtR2m1gFWjEuvTdkHkpd+qaMn7cU3DwzYmRsNi4ZG+2mFdC+KvmtB6
8b2sIMyxbydCD0tcWoripqNgYWxm+p6Cli1uFP9LRqE3AwQ2dfFO2sWUkaRkz25srIcZE+mrRGoP
PT/rfngzSiBPb8HOGNW165UGq0RhDjX1hCaCBHArxrLvHxZWokvGR182b6d04oIZUVjmq1ybWtxU
ePg5WDksKbSGMnLEVqT71GJbsA6TijTZepBk8XDwqnZJG4TujdtFjfua2KSadaYtynrJ2asCO4d5
5nTdwUI/psDP4vGT21H3bk1YZwTOBqR+atfseHKCA6tdpMZ2/hQMgqLJSmWSQ2GRtVDhOuXL7K4p
eG1vRNVA31dRRzS0UflZ8WAkgG9eAZ4Q1qMkHYazng3h6mCEMzxSok9XjssGO7a6LNqWA+A5EgZ0
mKMxw7uf3A0EJrk89MmpD80IjK65G9AHwt7PFRtKtfZ0YuZwbQEjHRqwge516nbz9Aq0XOyz569d
a6Pbfug5hUTzvJAIm0an1j5RbYJn0apd9QlTW6vvOZ2FsFPmQJXDAxtcmccr0yBbqV/FfZ49VU5a
dDfGkGX+uzSiOcrsM1thhyJWmA1ZpDiE7axfx70smvmtHkanndny9GD7hgdZSEPVD4g4RRK8Ys6C
hgeTyY7y/j408Ff3N4gGJ+V/mbumcwgTtdmDPqLMBG350EB/IPc4EQLtT6Uof6zSwYvSbePOJkT/
Cuthu/VSFxkLCcYDOkMduzHWH6vWwKIqptLgNfX7hI0zIV8cSFcwo7123WZmREnGEHW0IxAFiahH
Nrb5mihPI70mRcowtqLt/HCjKNMZVyOhiNQk0IVOPB2zrw8uE4f1zsgQVuzJRSVTuve9UF5nXa1u
ysjEjJ5JXgfHSriZ0CqJUfM3E0Hu9O3muS4DeVUJktiClVDLsQFFcSRV+ikyhomu7jBhtsvvg9IH
fHOHKzaMDRI0chi2F+rkp8slfWzcwohXUG4F7JyQVZ6uKq6d9B117Hglek5226Lo4d/n7px8+PP6
9dvrIE5DrE8RmGPS6XVY980ulxYypayGi1Hn9fCQVir4q2WZ21kWSSr+tDCX/1hMBs+bTtAy/cYL
uYzRGIF7mIuR8lhzaJWjbmUsB3v359ta/r2TRZmatsUWlDabsxCaz64XEvc5zi6GaTGPeK5A/7Kp
pdKBYcVqoZoSqlrJyfychbW+8OZO+zXLm6NL7i29LlrF9GnP3lxlToMbZnxjnRPmW+oF+a5rKlSp
lKw2f77Lly+Pm8QFBNiG8jpy7NOnymLtFIPDpXB+h6+n2M5uw96PLtzQy2e53IiNkGjRMoIbPL1K
Dyez9QQGWannlricEYapGRbORylJ7vMrxSo3pfHVABvz52v831b/H7y2Z+/6RYv5kYNoe7bVX37i
51afDvMyjgTL+/Kdsbn611Z/6S9b7HyJSqAzKTy+iF87fcEfsQdYFLC0wExH8jO/3GFEcdNWRDHA
j/7qSv9Ff3lRLP1n6HHug1dEM8k00XpxsAjOvv8UXcxoEgq9YmopnvJUx9ezJDw7DvvhQeNxp1Q3
j288AiQg8Kh2/+w5/eYAcDr8lstz9jEpwHE0Ar13rrqVk6CWm7NC9Y1rvarKuf9C1WF86LxYXZhk
XlyKxgGaac85tvOFeSaNKYxQju1SBReEWD+OXequAfSFG/a6wYW7evFQJeZ5kCDL7MK0fz4GBVBI
Kn5BDhSuTVbgARKDSu6ARRPsWrWbueSjyzbF2kF2Db5j3p3EBc3RmR1lOdAjUOCbs+QCk+G0eDoP
tEkfaVPRQZvDIa2udEC8xNop894h9payODb4Wu3UVM/XrTfln5xI2uYKqm39XuR0I3a4YOdvrm5a
e1tqVf+dgWP5/Wj7MwmSHIMkioXz9PdLJh+aNyy9VenN7V1tpMM1iMbiQnTHmfvleBnEeny8LJgu
dqizpaXp0zrA5ZCtCFNLiPSCN+esxDBXPAy4iJ+8MUpeFz3Bt2vOc5qotqEO2CR4hfymi1DF94my
4/umIddx3TRDZWz9CA89ZqbUfEjbinz0nn86WesqJ09ujtpXbI86sfJ0Z6i9yiZb7CYYiCnRZbX8
+ufxQ8XhZPhy4qf9jMwXnQY1uPM1BXtMMTHIsB73WbZzM9PfNQy3lZ4KTdcx1m/+fL2z1jxQVUoM
UM5g2HJBuDdni1gUpL0mjbFYWbG5pzQF8FS4myHsiezInojWfQAkvk8bRFeV/KRN9xozGpmS3b50
S/ZgPETc2Bc+dibD86cQ8AxcEo6YMf0jz+WZSMZzDNNhy0cIt3KSh5qZbFuE0/e5zXyOTwMx9g0E
0T8/idPVnAeBUnnZh/EImL4hT51+vzN+rzGS7IaDzK8OsW1muzJvhws6st9dhf0XF8JZTLni7Co9
9PI2tTkTN3lNV0eDYw3d1r3w/H53FVYBtPgwdwWygtN7mUbphsOCkmyGPDpYTkehPPDyv8ogOj4x
1jgkBXiCKMwsq93zXWVD9LExqoqhmDSf4c7oJ6tR8tuF12Ivj+T5iobRCMESnlGKqxRvz42cI9wI
ms/OVxX0TPZmrJ3syqX1X393LXJfh9qMPrRgjM0rdEcEh+cAb5xtZIGw3zS6zvUr9vKV/cpB8g+t
3iSo+JUonK69ggYDcWicu6o5dLSA/HU6Kvjt9tgmPumYXu7cF0fqKTVu8CHAPflZ2dM4uyZLvmbp
mUxrXhOkm/ZXFMAXeqqKOyKq41K+no981TmvCRkIYb1fRYQcBPumTAgdH45k1qlwoP+rKB2/dI6V
QWLudMlZvlApsvyW7ODX9RCJq3FSY/7BcMTkrbvKM9rbPKaV9bYXzf9j7zyW5Ea2NP0qbXc9uAYt
FrMJBEJmRGrFDYzJJKHcoRzCgaefL6p6xO0xm7Hedy1ZxUoyAnA/55er+Zo2eWbvp7Ef1mSOrP5X
pA3sJ30v1zA2/0qXDf5Kmq3+Sp2l8Gh2N8hKJQLuxm6NbT/dUmpv5QvZfrmF15qtQY7tCGs67GTa
evd111dmwlIajqd0bSnwrIC0LfI/VLpc3FZ1+Xa2dbNsPXJp1NZl23jBqoFOc/DyyNoZC+qUjeUu
6Rx3pR12e3sYayqQm56GQ9PpDK5vS3kW8Lsg0VdNlnMwLUX1b0YdkHMMLZfPp1IsxGEVGPwewKAf
zSKbKmkLFzSsrTyj21l6gMbL2tsnSCO5GBIsf9njoDVXHnCGd13sAvou4yPNNmU70OQ+NYtBMny5
Tp96aavf8IMTS3RWVnAs/Olf+6kX51vl7ZNFx4Fxz/+MJMEqtXyZ9CTN6r1NDciSFFW6vld2sZgX
3ZT5kFgaD8COUuqaTkxZ07uuOIRPNizXvAl7pxIPxqS6fmcB4hRbjzZWygGt0fiwevC/xGg7AsFb
0eNRcSb5lRb5RKG5GxTFZenAE6BQfF1erWbtPk09iXBLaJUq8FaFpb1Vpuy+yaEaK8QqxXQgVAin
A0DQ2mAoEeoIe1qXfPBY7AjiXhcrSV0DE+EUBlQOYN2ixXlyZD8wNnqOE6NedL7Y5EIjIYQaalmT
yjzu8kBb4txaFcKdoJzL02yM1Ve3cGvFzZpZcK8+doiNDjpUxdAmDederbikC3bFn0vQsfr7nXDZ
tRfD/gp1pUEkzKbRm15qw90C/A1XCdEfHFvSi/pTmWK9fvBE5PGmUGpg49+0CerMOhogYuKpLNpP
pyigZmShwz3JaujZ2PMqrFI2crfh6pFXrvd40tfgYZyU/ekbXds+gCBn6as1gK6d6LlIj5mk7zwe
W4zeGFMm/NGKckk/LgBWWqQuhv4sZ2XcSD+NSIZSCWvaUSFb/1iiYn50ckHONPWz+CSJu+68YaOq
1Ct3rhp8P2mnlhjMrlmqlS7s1u3josKHsbcJCEE0lVksfb05Bc4hrMcVYRMRPkcCtqr6DiKc1EKf
MzOKwzBXLkRThpRGr1EwJk7dhyBJCpzHFjIim2ycauhY4jER5TS5QPon3fXBDkcqlEO7c7/NEiZu
79KkkO/8UufvlmgaiGCac78LZwguduMUTeLATZ/1qKObhCuipBWDdHv2rc5/4Y+UXlLU8LTUN7gN
QQiFIoZY0GNSiB6liFn2BEZMXu0/Fw6Jn0bYR8S4mMK9VG1Qk1CcBjCXPl0N2bYQ5KEhvGqjk52L
pqdjm+lzQ6hX7xxts02fYfb5G0/Syb6jbLSuhktbyxG92TLHQM3KxOgUjcirRLRSKeG1c/cwpVBr
R/BGNyN9fcb+6PuLAIH2Vfez98LlbEqLclm3qQIrnqZcIJiQUZO0nFZ74AyLTto6d7odaTlqjIED
ZZw51CMPwWrdryTKZElreIoq2ZV7jQh1TGiggdaJd1M6d35kGOe6m23i4VCSPwrZ3eDjugfMz/CE
iFuhLN49u7TIsC/DckAfRTrHH94F9bEQ4/qzaW956fPakc4V0PTJK6uHAalHjoN7E6CSJeJKZwvN
0ZXBOtj6GT0kZiTJKsNA4P2I3Mqy4zyfQqJUA8opYBNyEAUjk8bDMhl0TpuE9BHhxs/85RJKlO4g
RAvrlgMUknxfSGpV57Kdybx3nOyj5HKqT25m51bskaYO3t34xn2WoirZynFpntF8gQmVVpHz4Iix
eKkGHb5Guk3/yDEqVWx0nW3esU0R8utUS1HvKSnN/qiQpoIjebjybWGCg47NlDducw3wsfHJkQ82
HaELxMWlfX8ZRwyABi81bR5ISh58MFImxnSyX0WaD2HMURJ+gq22j54h6temUq6FdTOnMw87REvU
e1ObE9Fn/rIkiMmd8DFoS6EP1kia936ZF6pRbh/I1amDZj7lqosmCk56wGjP6+ZfcnJrvgnf7AgQ
T41W8h10xA61SKsA5euJaqTBR75FRHnIz4w4RhBEmsaBwLiKa2rk8XU2qREAIg/27bWKitu3OsFk
XMk2q4staX20IW/GoqfYXvQEvuxAhoLswUEpo58N0uZETyheMASnhl9DCbFYGR0xZR0svGW28DMU
HTrQY3jsqEkAGaCsMuWUXZTzZ8xdiyD7Lgtrmaiq8BGk/TXY/Re49A8Y/P9jxv2/wCVCIaui/vlv
u5+q+ZcYl9tv+xthsv+JaxBXaIhWF084iv3/iTAZ3j/hiXkkcBxDGwcgkP8LY7JI6Wbah37G3M0G
cyN5/x1joqyEjfkmmyfvFm8EkNV/AmMCs/oPQzlJ4EhXSQoHsmJdIrX0X2d/UeXSGjsb1qURsTXg
0WGmjpzfgwEZQjXWRNMzLQRIQv09qmP7s86IuZryA/izGdM5HtmbjmkjT4cEgiHd0tU9EujBXGe1
UXBe0xyNqaiSHinfzuciPZBLCn2xZAhz0t7cDqps4tp97fvhtMyIqYSdFwmJA91hVJF/blT5nBvr
ftZqardpRhZfo3E2Rv7O7NWmp40JlMLukhBi5D6cXJquOZaJvytEzXc4PPWMJsii0sdlWd7Tmlw1
Kg+wY+0k1as730qz9whNTmwF9d1i5T7FIKu5nQG+Pzgy831L1VDMtVpsV+Vo9jyO5NRUr3Iqvft5
sJ2jcMxbn5D8IymSTtJuVg+mX65/PKP4wYgotvZqCTpMqvJoI7FNJD/0voxG91yHc/UIFGcdJXch
QWdqei0C2cybMdXWCRk1+Ra3aN0n0vGQyGTeI50F26X1f0TUrn1rys2ZQ0ot521NZfojE+qUbTvl
pnehrVuLn+quF+S9ziUKzLpJZsjSXYZx4E+XW16S55xViTcgiN1EhMJ8NqFiynG0rR6yyg7eRZc6
8G7Fujw0nZBXh7eClEd56xfJAgefNrPQg1p1fSn64E80iMKlUaxaJwSX83JcvCjY64VYUDJYCWUr
9n5GPYQTl3Xox6OaCgS29UwtwohIZjtnMvqwSxf/jFJZujVUhydMUhATD5OwrZfOzMzr1AePiKjc
RK4W05wvREXAauk3yDu1wWfXIe0p1h5xnYNgsBdannDM+/dTxLeRV0WbQPqv92nfXkES0E90Tq2v
LIcO3IpcThS80HNS2zhlScHbN5Z7mBp0n+GaLiis7R9S5CTFmWY8aNikIqWBZG1qKlIc6B/T23er
52xTO7gFXKz3S+/nJwJkmV7hxLJHdOkLwt36ip78jmaJO6TRkIHTrZfvI+jKS7bKJAuLM3LfcIuJ
JMmQt41/NT1C7jm1Qbsp9hKqW9owiFfwlZ4RpLsE6JqcKdgLiWi8Qs8g1QviLHq3bLHXpt1vGG6v
YGvx4B8H52lqnjuv37fTEmf2L7RViV4WPk/zw/RK9TRW4316Eza43Z7jaNz1DhRqap9F727MBfLO
qTHGCb1pl557kRGillMSreEBeUVKM2kRw0HyrRrROSza+shXRV+gPotWxzCurLtoyrBT0502+86x
LHJ1mhB8PXiEUSNKJf7UkFmQUBLTPvPa3Fnlw5JhGDJ/FNC2uQn6snr7JSxiruajI9dNtNbHZSjv
7bChSzmIAcrPLi6VvPjjcqqw4pAu4BT6dUbxQNjZsKFGZ+82gRsHaZ+kefAaiPQWKCk9zjn1IyVw
6y4vlynWVfGHHrEHUbbqJgUP49HsPtpu/jZSjC/oL4Oj7Y5n9OLbUYtr3VFJUxR7yyDvaXCsL2Ib
dXYRGGy3c0F13VLWqXikFjdFF9AQykpN5c26vQ/MpcCEa7dXXBBxUzZFdkTL1zu7sk2NbTlV+VnJ
fDE2UpR99prB5MPHRrusg8LPq61hLsmixHNW5b8Lw/wCLeCIy8PqUa5zvBJfiN1yTWrfJfQqGI0n
VnqKmNb+CRI4feplSoxQZhvXMp8aJ0lFNLFCmtF08VLsAMAN/WFucUZsiAM4ZllrvUWWjbIfGeOH
0dRTbLt9mhgI05/oOgFvp4boZ9Wr6OI6xS5L7QEZrr0mPbJq8ptvib6eixnTfIYmr2OvCD+EEZJO
KdBGEoOOfmEy7/qiLE65wyIRZkyvrl22d4Ti0aUkIjQmYaxa+WKJ+UF0zHJDW8U9W9hdl9blPTJw
zv78NVh4MxpzeO9ks3OrnwVbrJdnz0GxIKxqzN9hQeOhn55q1RymotqTAcqt4vj6nE1dmxhVh+LH
voTV+EvqQsWpcpu4aqrH3rJ+dQYBkUs2cvlYxUFS1BrPgZ20fpVEpExuyKu2UHm4mLiDUicEoBax
Ac7ERoi1RDioMp2RFTdHiES+ZvuLHOEKxWN90mZUfk+zoJSmqb+jvjnNVW/ugqyKpefGFNSNcU1M
aZnKK97A+46SI2zUYE0su0kVLHHatduWEsraZRN6W9dPRXxqR150zqfdM07eHjoVNO/RNN8hyKCf
zy2TYdQHz/gsjHrvVAFFe/b6HoTVvjQ+SUo7jN18CVz9goOm39Q9Sa48JeSH6E3jBfvRrB97Me3c
Rh/XzOd1YOV2g+kBUcm9k43nAhRqU5T1VxCwy+LjuNireRxVf5xrd7vU4hJ17mva5R9AGqdpGk8V
D3GTNxvy1c+1H8VjjSzLAUWCFrhiFTq6dDDK4LIG43uxGCfbcF4MPJwojUhZjOrf6/TcqSDfWVNa
IfIiS2Na3D9+6iVO6e1T+6dL5xI5W9bGzPDDa+8ZSv5jUX9kIA6TzC4oUjaoSjiJzfJKCcahTXuC
asPioSTR2R7zB5BWrEeY5TbeYvKa25sJGcaO9f6SO2fyVstEil/0bR+z1ksoDduWbRujJl35yOdd
pOkzCGOHrx2pqOcgVrYuUTrtO2kYx9BUR8GybwANI9++lXZucvWe6+zsLO8LPp9QZjutl5hIS7Ep
TSqgTFA9upqmp6mLDtOqH6ccSTo9AMmYRt+8tNtcOftUKGo9gnQ5ep1D4OtsfPtte8yjaMcHFvNo
xIvIjw3OoXAN97heSDo3tqb/QrD2zx7uwUFqv3JsZGbR8QL21xQXCWXzT3Yv48ARKJe74zKVcSCj
mLSZrdU5Bfp9dG9ldQkV2PAq5GelfofCvxIK8GFbyw6s9uBW3s5rVww1LNaibrbohIhsP9LGiSFl
NWWMQC3aU5fE12v626gat56Xc1S5d8g57xYzAne2sscxGF8bMoS3cv5c5biVvqCEepLBWSuD0OMg
Wk6D/OarPFY2n0nDBjXKC6/WBjfGdqrck38r64wmOlg7gl1q/J7+hLMrGOcyQWtyaYMOILIIEjpw
n7I21XwT6qlj0JiG6cHIuRa1tfUQ9vdrbm4iU21tLPqW9rb+PG7QdT5r9ATbBhyZd4KQOhrPxq2L
5uywKvcjiqb6ZapdHACeis6RwePnT0jPMdR5BEgXH1bzQmrudWidZ9C3rYc4ZDSGxzzszpj07wJw
y1nZTJxutEXIdQIP3fhZ9+j29hM+3IO2ix+zGT4Mo9wZEd4wY5uv5h6HxmbksxeuupNz+ELa5LQj
wuH7dqDvJB49TtBpL7zoJk187ZDzmbTv3WbTHbhQtDG5taM8TVCZUf8iwfaGXbC8uyVyItMVu7rw
xr0KT6KpSSwtDhPWysQkRj1ZPI9HvQ1BV2ViRPavrP+icrTYM6rnPEousjl7fEPa92kt4Q9b6PTk
BYJYHpsjwOK8sMt3PAZJgXYG7QnfG7hwybkw3XIQoPK4ObCUbZwg/TnguhsncXUa1nheJIKtYkeq
JHXmnSLKW8uLdNKrm13T4kfdMJC496JS+wktnKe6zxtcJ4VLKy1RA635g8KCHTVq7DwEqGUrZXhN
4jXhpl3/9mGRIRJScEZRKmfMT8Sc+1IvSVjwhXjGC4ahY13gafKLPWvrQTvjNrPJacCvFsuWYCj8
AHvCeeK8dJNOeH5SNbjPBxj8zk2fgu5HKcMlpsobLtR9ckLpJF5nYMysQjo4HDSLSzwVnnUs8avE
QUC8Fw4lj9zuCjgkFNVbR1tqsQSHQkdXbBhhbIgvyltj1/qJx/NhcYMvK/slzFtwYt6hgixPo/UO
Y/PTqzDr1M5L0Vf5TlJj4FKOTBDhzcPhAos2lCL8yFMLs1XWcZHWYdkZm9le9mvPIlncqtO6vn/u
MdS/5bQ23H4tWy5Kt95uwBOVYA4h1RHQdCMVDbG2y3zlUKXCMUFPg1t9Qbl8zJzPmyxLwfGM2yPp
TwlWmQd7cb6kDgoCXLpnSwe0ts/rCZ31u93lT7Pn9u+lWX3T1rYpU2LPDEhda8bLWjx6y2Amdltc
09H8Vp1x6gvpYEqjI6Gi4jftvzt3jhceoUiHF8IxrlAPCXYkI45gqDem2ey5+RMorruMq/ShjFj3
bMuoLvXUldc26iMK5Dyb6VRQrJ1MohwjCyOk7K9susZuqiPnOM6V9ywGW+GvqPOPgRanHynoHuDm
KuLCtdWdLxjrUXGuP4xswL4yTTdbjxVeptWIDlEIFRBbdjsp7B6zvxvEatw5dNPNW8cYTbDCoJDN
1pKr+2dq83aCHajna1U6433m3fzt3hr+hRVDSQCl32TamdXnxdYa07lJVGG31h0WOXPu9nVl0Gd4
KEnpC7cpOlHvTZoSBW/oTVm/p3fTuKR+Vux50gguwly80UXJ3LEygj+084R4AugrQJeZFteocEj4
DozhiCcEzTPAfr2pRA5Ga+P4IQQwy0He1wrfEdJLxKMsHNPGQGxJtQfwBxAHg8X7yDla8L3ZrKKu
MPzDSq4VKaHk2upYrKqsMNTUGpVY5mJnyoVLnnrFsDFbHN4MqcPBL4vWvQYoR22c7n5xXJWBZlVl
C2WnfdCfo1FEL43kJkDda9SMZDD2Mf2NPNHkRt26tXUTXNMBLL4AXOYb5F8eRqbfzdTn9WXMVv7y
4PztIxCSWMIEwmIu70PL8PwdLYrr+uK5RVFtF+0ZbJAR9QlLZBVHSZpdunWNdHnr6oZSTt/lXUIF
cRs7s2Xjl2arztlqcoEFQRp05KVG6DupMykr8zgEDQJuEsy8vnIO5VqZHYXZVme1F2NyKF9AR88H
dUypFRd35UylAtMu3QkwOKs1sV8HOuivYhm6Gb154FM3SRGY9ZsFLg9+F1iO42lWeANz8Fr9IYt1
vhswwcEd+nJkBtNzrPuwONhr41tPnTuituUksM4pZglOpgJX5L4m8zrdewOydKrpBUBFx2nCedbW
4aX0w7Dd+DTEe9tJa4S1Db/ESBChZNyUtC/K2F9LdfEVdDv6AeNmFqgq76vxnBvFMEQDrCl1BvXO
XJf0CJOWp9BtevL2MkuZ9ZaB+nrYGzO4x0rutcC7lvHkK4EAvY3GL9t27MfF0up3MzChiKi6Rdm1
WIDqRZ1ac2o+WwtYeKMrz16Ps7mYRFZGKX4DKRYEP5DVKDbstXvKi7LFSJlmj2WapjTtdqtfbHyd
9Tss2VTYozeMvS4vPiBf1HnSYnkcoWFBwmfy5XKOATxLa8r+UGXWbyo1oiMkdvTcDl74hBerucDs
eo+ma5HoVtWzdepVO/aJL73ofZhL77GjVuG2dpfVTG6i6gc8UGoB2EDofvKlbG/f/lwCiBRe9MD+
5MXY/csjtj38Z3nQuBsvJd5pp5FavBOvOvwx+5BnHe/hEhPvWj/XeFXu66I3dh2CnTMFEewL1h2m
A1CvoGKGkFYrjz6xgYLnw8QD4YnMfq44Lj/Iz25PpdVkz+nQM4+4s4qAsibQNo9h/CoLOyK7fOH2
lkVaRkiYdfazrkW+B9Ffk1Ip6xeedbwfw2TJt7JaPGDGjK74khbZK5aA/reV1fc8R5C5Q1v+McrQ
4kGdCUSAGFdcMXzO/s4Pi6spTEDSmvOFoT1rx6eyk6ShUajpfjoNMfAbQShieDe0of9u6ZsJIAvU
ZmmdyQL6sVjfcOQgSmhGIhwofdcrmB9Solcw15nohNmcDlbU00zTuAzJ7j3WSI4rCmf2remkVOKM
o9iNmpJXYDjn6OnMe+gtCow2q9McnfVH3j/NiBjiFCX1HcjnEgT6OZic4tTxFp5wJDi7IhgabzPC
/W6lYRW/rWplxNFWupxsoq0fsix0n2enZkFwVyy7KDRfyANm8QWCVvgIPX1BGOCytrZPK0l+V8vr
8DOi0z572NwOfN7Do8MJw9jR18msX5wKhMAGYjiIqKN3dGiMOMs9hc8SSJLvwtTnyrHAX8J+2gkH
TXrnSJ7uuTbjyUtBVIfrOGOGFlynXrnntRL4XaqPbvGee5NJuNkbOjprmX3XrtgrQUkio02gxFFG
ywHnL0NFytixpomZruPdHJK6SImQFbc0yPNw1nRQBQDOVtNPF7eZ05NL3wTLT+V8+3Iw3ssMW/LO
bGb/rcKsOTtWMtkPaTcUH74qz0vY9V+aFqmLXLTzZ2ZwKDeLa05Qv3b1IbDQ/hauIz4td3BP6WJs
Q533SV+n2K5BZIL+MOVhGx0HYShakNqq1nueT5kfJyJxPkRQl98OGo57ElGcX+7qd8iKAgy8QeWK
V6Q71qffRO3VUSa1rXOpjJ9Z35HxgXvomOfVSBOOVeO7MqLpnv7v9XEOhhTYHWHKV9m71ckuEHnw
H+1H7xbhg3jpu7VEcJczISEHsavpJ3Zw4Il56O6dWshD2HnmvliNgJ0rWPc1YZeGUz9qDT40pucF
DctGDLkdT8T5fiy9pFcjl3YcmWMdy+Y+4wrc0t8F8RtlpGBnRXQ0UwqnOUw7E7svF7nclNHtldTF
sMtX3CY3W29ZdyH5mdkZWKuMQ9zaiSssOOIMjHcdI/9tXnWia+fQ2kb+PQQe7qdGnQddVElKGcyh
SbFMVSvxlrg374IIxD7zomdpkCrcDGo6qIU7yCK5tAIQDag82YgmffVtl4Ym1y/vaFJCddEOfuI3
y/oQqOZTF/3vctLbUip2la5kyarr0wgUH5Pf3VDrm52mQb5RNExaXef8DJYRYCkvjZ2PMn/sxj08
X3pswxIgZvZfb7ThtZ/S4H6sS5AWQ/Y7MK1kwcxLRZhBqmg19vd+6z1Pc4bm01xb8kKC9AtPzxky
Yjt7A9LLxvjsWhDMhp4kV/IYR+3U01E+bYbRCZJw+i69meUisg9trWS8DNNjmvn4iGs+F6xIQTKG
07tGOMV77F0Bbco3xs9q33jTlHC879OCAlGNHIL/zfIUOuUWXmiX3TpAJ6yziWs1C6aSyTuatDbR
WjXyKtf99LkgimC07gErnMx4EN6HFzZ7NfanDGg3WW7LjeMvBD9Fw27KyvNIedxhIDJ53YQVdh6z
H4KY3qJsWwk0RMq1753eByaGIrcq3iXaDbje6q0PUBfOv0LqlgE8zB3rdXu0bDJFFnBDjHTWk0Aq
NJiBTOi/wqdvdVigsh8LNDAoW8vENA7vLmZxs4soy5tJa+lcb35AO8HjwRwW4/mGr08D3kBLH5Ue
DsIFeyzzon+cZ56YSugrlMLAWeeXOyFHcSdpbn2OUvMSRco6joZ8wc99Z2f6W+vg1LXdOVyDu7It
36K/oL55eGaCp2W9ode1tQL9nQHc2WXeX9UUGj9K6PZ736xQL9DrRdNbOybQyuIcyrpk+OAvM4/N
+ujb1dcwQs+nvGk57OIWrSTdS4rCs1FlV9nnry4gvlk2EvzeZrIfj5hrY/Sfj1CEBxkGhzwvBSol
ze00M3458lCpPlHGeF97A9Gl5cfN0/i4dFir+6V+LEkh+UlaQPiEiFnQ/sZJx7RkinM0ZIwV2nbR
kGPkFgLp10wyb+839c5xwDElLMt+GsRwNwfOyQbEiydzvqpUjW9RVOX3KdXvHjEhTyQaAbkNCJDG
Vrsbi/K/TR6FP7sOWvEm8rEv80wBHfK29Gg2LoDYTUNn/ljQkB9qYglCfJMAgfN+djJr14wOxi+y
/ald6k9jLYcvXZJh6w8VNraxfnLI3TTr9S60/CdDWV+2k+0FRyIm4Jhv9OQMlBFFz1UNa5MVBALM
9hFf/Tmr3KNdM59HzY8WqUxRT+fZkAODOFovt0VUp1bgxLYVQOsc7JGg7U215i9nqret4G9Tlt03
boSntq/OyILuRY7rkuyjDRC/v2dbWg5+bua7yRZvC+DjlNvO6yij0wiQR+gH7jD5FyzIi6BzW73p
pVTv6MmSqoN1Qc/UYotb7J2FyJ7wr+6zzPKz25SQBTDcKz0QetwFaBQS7uUiNs35I1DBu5LNM+us
eOWvIwkxmru4DY8IQTeVC2Kss3Y7ltmd45El1p5LAKSHeTSL3bh492Xxje6mLDYomNx7BGa7oK5j
zUL4iV9Of/W99u6nYh6+SXMY/USV2PC0Hm9IetFFaWzwCiLDMgBJN3jBo0c0fySuVqGO3jJWEOMM
Q27cO0tYf9Jh4f00b5ib4E/p8x/d3qewNYkSYW7rVULCcrdtaSaUWwKjB0YYJMkjbIq19+wZ1DlV
E/kL5OqElC1esENV67YPIKRcYa6/gpwRAzxG/mYYzeARyykeAkEEClr9LDtnDuQlYPBvUiLIckiT
Ymjmvc1gFueoRj+dcV7mS+o6C+CmKnsDAlFbsWiG5W/x9X+JQf5h32La/1+hAuOQ/9vz+P3zX9qo
/vpdf2tBHO+ftBTfTO6EaBOAFiG1+DtYwHb+SWAl/9CbwYRPaev/loLY/0Smj3CEjmNm7r9CMP9d
CsJvwpVHAuBNWW9i0P5PFfr8B6W+g+2NblUXf4yJpwpFyL/qQLI8zNnPcZuUlvniVZmT1FqIU8PT
ivAONAbJbef+f6T6nO3/qgnnx7pEslM5hU4GxNW/eYN+/XyipE/9939Y/w2QmIdSTG9N39RlMvLm
6H2zeOkHGUtttC3NaYaTUtxTEX0TOOvzMXix23L4YhdZMHFggz1iMinEwcAJbu3bcfDsN+3f4CLb
V/obv3FxonVUmTundPlflFZH76kaB53t2nG0W8Bmx6dZcJw+0oELLKaNpfcucOEOB0NYLfdZxscA
PeF7am8A8ZM9LqrwF/NOVF0Q+UADFyhdm5gAFsuEKTTa1iP1ekKX9mcoTJV+BmPqVNR3FmSks1fw
aRNQ0lVcsE1S10UAVsRXzLoR6t7wP3K4i9v0yK0OdsWg75XbNrTH6Bddh+m8bdi56ke7aMwv7qHy
s8nh1vc6b3vvKYTOvBDQNmdv/CsNKKDDaDV2fVegXplHS/cb1yq95wYd3JsRoreJ50Wt3KPEILe7
KHd7X226cQpMAxkjtZh7mff6CfUy9e4kLYUJyYGAXnk+mgfOeF/d4pNSEuln7RX7URstduxGGpei
1Ix8RNo5LWCklxGWoxr/vpn7WbIq9K110JmRI3ttiArjnkUVlciAszbYeFivzVgpwubQvIRD/pIH
8svubzWK0YzqZFsA0m5mufo/2qrBfl+WGIwZw8cGLsEbaWHNoxF+x1pv4vDK0KKKU7kuzYZtEfzK
Jgn9I3f96XMIBoQDsG/4mM0orWoWawuGlnQGMvpwChXQcoRXtgAFa22ecfuaOx9XwmvRT/5nmocQ
8ZPP57Zv6gaTkTEObKZNKnIUn5GSHZB9sR6jDABjxV23sfOg/D0y0v2WI0aHTSRyKoooSMp/K7yv
N6E0e0+Q1fW2w9HCLNa0TNdIALkGZUPiW2q7GZrVXmaE0ZDSf0cu3rCwM3q4qqhW0dbGKdLi25Ra
2yzEaf8xrrnHNKzm9jtTWd8j1y3aE4kU3avb2l23Y9SiH4rGHQ/ODgFrAAc713uJg2+I9eKk+yDt
eF5Wqoc6al/wbCSiSqW7dcfMe4qQRXwjEy2eZuggrncNTk1hcvPGIut3yWqo+c7oS96msKr6J4oN
ZkXuwTycgqLLJMNZW+3I6UNx27Q62Fv9kPGDpV7vIiRFKUIqMrIgyRtA2ZApoYmjlZ+3ieBlUFqi
qvM3EoU8ZpblZmmR1azQd8wTovWcUL4RrurWRto2Y/8CStg+lhVmftpJe1RSWmIc8JT3o8mi9d2J
0pYcM7scHwjRLP4He+ey4zaSpeFXEXrT3cDQLVIXUsBMA5ZSeXFenJVKX8obgZJoihJFSrxIohoD
zGYeYtaz6sXsZjk7v8k8yXwhJV0KSs5MJ6Or3I0poBtVznQweHjixLn85z+9yRTAzmambVxA9KvW
Z5rVBKcPTnbtje76Ip5YLRYf6/2GVaWbvWneAIDN7jM4OBYYg6R1V/eb2ftpuvHt+rI1JpLsJ8zB
8kMmN8G37lenbRIT4KzqMwMmppYW4wFr66nW9jcMfW1b67iO82aIdCvsSBnEVKRWjW5/0phSXUut
BdxHTZ8p0sBkG5MqlaCq4c0/1zksvSlorcjxaniobZdRxdetZqYnnZoVGgl46lkAWGYSkNlfTV3D
aEcp6s7cHCvCozdAwrS1cT3wTjdZ5umgjhpRIz2ld8SqXrvRvNEYzWgmbLxh/s0ipv8BjoKImuym
TxELOoLVlPxJ1IIMo1OlO8tzT60NJI1k/BdLc326TGPtPR8ZVqlNtLTqnWmzNgZSH/sMPOA8GeDC
JvTVmOdmmAWU0bU5WYnpqbaKreagmVLrOAPZ6pnTU7IB0xWEnHNGwFIrcxtag1zYZhVPrkNKNsFJ
DJHNpmNA6BWfj6FkgBEvrUUpfdkkkAP8rHmtlhg307oFnx9zrcEsns1nM4tmCoMp2FBK1uBxOG0a
IeCvVcucZud9LVmHEdMGwmb9jbiiIOaY1qDWOV9M0rDZ3VizFjZuvJhMqhGVV3Lb11ncqvk0opJj
bN67M50ZAJ2aF+lVYVUD82yOD2gGFNuNGUNyQfsYP0fV+WzdjaJJTUylhaz9g+6t4s8Z6bP3K8FL
1E61ZdUJgf2R/q26q0Xb9KtU77LJqnG27I/r3HWNcfUj1q7/eROvxlfJpDr7PJn2rYtJAknFiatp
lJTjibUI2hPQGyJD0U+vrWxan5yMI1CBXXcVhHdNbzH+MHfd5I1GJtZOZ0kT/J05XQzqGfRvzHdb
88JwDGYQj27mjJ10SQSTDg+5x6m9NMi5LaJ59R3GgwaczFiGN1gsmndQXgptmTaOLyJTn6y6XEIG
wKPlgrodEzpql4E+hgHBX0Nc3fbMwLQXa2ZT4aXP65z9NTPVT+Fx3AzhLYPRIoYTjuMNNc2oZo0j
OsZBZnZqXHTU5/2peecCX0u7zcxgZoYBrghOtJZfHUa1egjGY+67vVbkGaTm0GkIQVa8aJrN19Wk
s9CWEZcuJYTx6dwfjxtU/qYZ1gb6x58aK8t6v5kukqRbBTbZOJkTmpldnIUsOluHpCc7UQwe4MSf
uKu4y6SX5c+rmonJCicZRSMfMDuGbrGY9TuJDiRNYzr88rQ1i5vzbkub6slJy0sgJF2GJpA61wrx
87NVo9GBxN4YrTnWjfZkk45tl4oH48nrEFN3yMDAnVP103RCsD4h8T33Nvx1ojHzpg4X2vSkSnTj
dgwLupT2WqsBFsIEewkAybB62RqvCY7SyMMHwSAv05MAft7m9Yy+Km6h+YT2LUPDfOHibJhOMtPE
s6Nmdd68mCypsk3JDJsUCzMDNG1kNWGYWtdJk9TXs3BxbrnjkK6A1hSL3owyP+lswPPP2zW/uRaM
jBklno2HYTrNQvwf6BNN5pLSfuRfxCtmRnStOsPUz7JNI910EgbhnZqzwGy+8cCinMPaoS1Plsyt
rLa9PkFfFf5gLMWqufQom/f7V5BRA1CYJpqut2GeW1LKhc4PEdMM0zgnvdeil4nZVx9WYIYwvnAk
EfLO9HiUEg0C3KfeRUl7NabWOgv8hKr1bF2/BdZq/bRcrrVzfUMnHLXgBvbDXTBVqdrUGjcxhY5P
8J+urutJE9s9ofPxBtVcf2owNt44BfOxIu9GYveNtVyab6E3rCbAilzPmZPHul0x5i+ha2CqfeDN
oVS0oF65p+VjmsJiazYgpY8p97SbmVW3QzMMuKKAeEOePed00uE3oV8yoU9mPZ4xiz2YaJ+siRUN
M1rvJp0xvJdRmxGS7sc13sJtv08incb46Qe+VnoxX0J7SZ/KQk/bDL6Yfw68zWZyYmiecc9gJB0u
fH9tLiiQrqPVWRiT0+gvYipwaUNjXtwytCY/r1KfCN8nVl6fLVcWJFXkGegXcvt0LVECpeDbCReM
9D6paonZ8ydhwviKcRPMNi6+i4ZO6aq0cFUakFBhYqhuTZr4g7j6WDAY+rEAlIagZzHWFAfcbJkC
9JuDEGjXGgtGrQMpb16tqK7eNfzxBDCJXl/OYD1piZo6bNC3wNK0zw3D1d5sljiMQGd082OAwt/G
/qT+UytJrIslHLcxwodEin4cl5LQeqXF8cWiZa4anajvgqMGiwpuHjat8U1jmrScYObWPsHiCJ1m
PNaa2mk1IMF6AuiA/ZtaVg9OYdte6BfEbNOryXotrh4L1upTZk9Tkm55G8qb9SnGoZ0sgyo8W5pO
Pyh/FS90kTC/pWtRW7/TPX9GirQPABneU9rn2skinXsdGusWyVkKa+EtHNQzr4sngw4yaDJ6CxsU
zTxgTgCdbhja0zYpfb414VX8OJsny3pn420ATLtZsLgAqDSpn07cuBmeUtfSnMDsu7OO5bnp7Arc
RDw+iXnehuwIZBb00cJl1LNI1jPFHjcRZtLJbEPWsQlEqu95OHnghuGXiSfLuHHlNal+U+5dkACK
Jotb34XyqMOoy6RPE15z2qTvZwpSCihwa6T3fe/jjEPwbl1bMC6W4GZN046ZWePOXOvPBq5lrskD
xYgb1uDawNoY5PeWFNfiE8539RNDyfBb5wKlggWov4sMvU+1WeuHt0uSL3QIhiH7mU68CZRhVTZh
QOh6p4fTvsaO59a9v9BN82QV+eZZPV5SCPY3Kw21oMSLC0LLxeIkNjYizdwIIrDvkxYIJDqMiXuS
hba5cvGRZ90WmRugTphVkAEa3RAdz0hr5+AZEybxaYulqCON0znVsNQE0rZoxp3FWpgpLwi5Dcd1
req+wdgj31YrM+hf3nDDdaszV/uYAgiidowXwkzGcLrsJlALIeTVnNYPfKoGYVaTSu7phF5DD249
CKXa8JD0E4IrI6S4tORGpElybdI050VWe1NdUvEztfH6Y0wo8jBD5/+TS78zDYNBG1WSIYx7Euwy
Fqwb3042vR5kjrffcnT07z+0ILHSQ5rJfGXBZccQZcEoU20I9qicv7L6ipxik0alOqkpfUuM8pBm
ajGFBSYaUBYG/UgCkf9dHUcFXgzS7AwDYxYROTCr2aKTSU74UHHur7R58ikL1nNqbku/CeVbHLlV
oqf11MRzroe0jF6M4Z9sR7UselNb6AA5OiBtIusuJoqhwbMWLf159CmMyRv1YeSdRuYJR4305wmQ
57o53Er3uxTvbzWB/GETorusG+BHAcJwouzOibnz4ry3S/z0NoSB+J5s0Et+6fGFKs520fts7vzL
74aQ2CZiB64XSrnMOglLSSe3O9pu97EFfJsNpyNW1gxYUnUAobU6aRzxDxoIjNN9+Dl5UJKBBiQR
+u7Hu0OwJ6FvyeDx19sJ8/HfeewNdtK5GJGRFGNjSslAJ9Ur5nfU6Onbe/Wa9QoOkdp2JO/23cm/
8pwf6dXF5MdSr956RTsULYZN0b4o/mHBPRGYr8SLM+M1//FO3X4gEQhW31ISMJqv6LPCzsPntftH
koDResU4H2bDiYksP9bXp1G15LtrhsUHZiBXlRtk/7sbotsVUmMGej7/rZ+hFV+NZ2fs+aOt2fSc
+Jh1/dYv5Bbj8OcP1kKYBNiKrV8qL9tfFXZ09/Rf7OqfJbO6Pdh7P/xnBoDt/af0u/HBLz+8/P6z
9v9IetWj75D/4bnn0JMxHGfbv5I9vNWNPcNYd+zAHtn7TkYNFfhlkwcXxdeT8diqZ5HjBL4djPKl
hAhbVIXKLnztrL2h1IaNQ1N+2Z7NpVu5RU6RU2HblWtvkTpYrXzprQqItu6yL/Au8BJnVOklduLE
+XLb1cW9W3b1DgtEtl95PXMibyh9VlxBixP5zSewmWd92o4deYOBI9c/dQw+zOh4eU+sf0yBv95/
hwdQvtK//+cP2xHyFQ3w5Q/w/v4fzv/+H3WFg5Wbn/z4SdvO//Cx09O2xxEKmQtT7F4MYv+maJ/7
5bJ5lEo611Bx1O2NjTpTQsl3uN2voJIvu+GLqKBlgg2v9KJxZDvSNEr4ZxUsG9mLfJWtAAQvWtm9
vgmjAtBANxSI4DJd2V6Sb2+7WzHuuuxur5yBDUlQvtBuXQUa9nZWUIOmAkv5E6FWJG1VzHQvK4Ke
nY68yuvIHhTYaIUTXHpxkKSySRejKcqu+nAhiT1XujMvOriXDAXS/uDESaVtB9N8v0I5DMHLWnb7
PzszR1I58C3lV70JKyjd7+NK0YfBry+/+lnIsoCIBiNmdXFPS0cRGgoVZpkC16ByEYv9SyZfr3IN
QlNT/i1eD9LKdRpLGvmwugIZ/eWu2+veve+e/GtFKI8TIbCi/jNnpVpnMgDTheDnpOZTf9LaHLus
fx3/A3AXWbD8+t936otBAT5EwLE4iAfk3wuH+GBP/M6PEGC8/lz0ROnBLmrfwys/05F5HWC7h0nB
wdWhaC25bpFDfJsHki3U9+20yzy7uZPvansjwiV+cPi+b9GbMAKDeMzF38aoBZP6fWu/TrFIB2OT
CB1KirYXCtzkkT1vs2G5gPLM5Pft+a04CfLNSAbbAnFImrteg/FWYDDKPeMWd8ENi09pkkaH85n/
NUltkGs/eEr6S471uQEWOmMXFJE8olVnLoMhKOl1Zq486k4890Ft2+cMHQlFwW9ymKwWXPkNZjQx
5/ixi/q5j7t2YkgOE3smfyqMeKPFmHZY9imVkTYkzVJQ4RcI8dp2x5EzyFcSJ48OQuiPUQdTDLsy
darU+Y9zvXvBg76Gw5UbJxk70cGFa4np3TWkWDPQEGYGNGpPPva3u6WOCek5d9ae5A7upP23eTpm
3v/tLobgazitMBcgbqCybyXfxj/ETeu7ZH0kf0yB6/46cHFXc5UVB+ngKtj7+M+8wdu0xq3IPO4v
q6tY1wnkvIlBit0RWgT+8kjV61kZr3YapcHIyxcSIhBj68ou2xnbo3wVseahW/D9cr1z5unAx6iH
nytYo0qHqpuULa0/Znye+fFOnFk4JE7kMU8/T4EGdkhUR6GcWHja0+d8uk74WJqtE86oG3N97b6k
+AaNxzKYzxTP1xzs1vENvspIes5jF+pzn2PPncp7JxpJ/uWjLsgzVz6ZeAP8NUnjBTlpWY3vutlc
inVFpa30oovUZuSaR9b7LCVwkmxKU4FN6UZeEsnLmrqCfSdjDyZJabumgtN5z7E/s2eFBJSlIL93
Zg/kQ2gp+Hxn48I1cBhpfL8ZPFQEChTlP1nny38nTmX0+4tlSId2vp6wG4xvzP/z5ffMpRNkkjoc
CT+/XxZX3qDoFVCELb/bK9z5ZCxdLnpdgZax34IU6gou22uKnK4dDws5XxXXyLWdhUkiq8OjPv4z
rfC17dsryQbrDQXyZdnCogpOMT0V4bBQl1WRxby2U6yvJ1etdDEksOy1sVu5mDcA/aZg6XAj7C8F
5HytrYloKlDjGw8XX1pVxZWxXVW+iXQBAyor450Z1pi8E9tpvtxWFi0Finz35a+M/ZNvJF1Azcpu
+47IRIZEGFUFbmzPyYZjx/cdyeOkD7T8jh+yaweZ1i2cp6w4ek7guLZUMQW5qmDTAm1hV66cMJAO
CuPSFCz+reHvJWPBw85vFTf/fShHabCDKRDBl/8MK7DMffnrFtFyG335r2Doydloo6ZA1pSajk/f
LCnrezvYFA00c1XLS+Yd5F6FA15XoNDkCR4ZFFFSGKC1vIJPz/zh8rLokoeh3iS5BIaKC/bTQQwC
4rf8fj95s4E9WMkWQwUgYGdDD8+34IMoa0LbXlS5x5mTjChVifIrP7NF4FHlO5Zx/XVqonQg7NFZ
PFYTTX+poxzkl3/ETCxIGNmhUvGtg1HIjZkrjXCkFPgO24qfvFcxsrG0yju+66WzfCGxWRWIqHYY
I9jthXbuRBuHnn1m80hPUeC4th3fLkDlREdAaZmkvgt6UtpuTcF2T2gftCMJW6MCBHMRIQYZwqsi
hunGSbGQKtqDygq3s3GGY1m2KmKYU+8Ax8wwptK7PbWj0DmGz3m0+vnMzMEpuMmhdENaCk70mTcA
GVBAzbUUfLkzOqGC2MlyqQpb0VLgAJ85ESAueVkVcgDbLktXRdDZiUL8MMk00B6Yi+TlScXzNMDm
SELQRZNH2eN2MTwwDjT8KVg3sX15t6JLpuxu3zhRQcF0wb5VellgfKT/ZACibigw6Vd2sixog4oQ
5cpLxmnRNdFVVB57fri0p8UtK5DxlYddTxzYXmAHzz/ZNolUVyHndO3MKHZFrry0AhN/HfojZCKt
21Bg1q7DwC6mWhUcEfLCibxZFeHaN0AxcMDlcnm5aQMHt7JlW6Hiar4V6NxRvr2tpqmAy96C2ksL
eTSmMebPebkY7kh1FYINQ0W1S5xo4BSSThhifGVZq9nbWs0IaoJ8rV10oOBu7s0LfTNgrvKHvFzC
vaXtD+xI0gnDUHDZ9VbOSL48DBVBUm/lJZsdFC1/+a2EVVx576aiNUlyLkEl5o95uYzf7friLqGE
HIVy2KiiWvlewFXQuw5IoHyzW5koqdSFAReU40ayQquIanpOVMz6qQAf0BjgCIzQdaGzpqGkv2gH
UL62h86oGOnRE6/Cn2MabLiUpN1qUX1WgR348u/C/B8LzUxa98W8Xig8GMoLferTj/vtUmu7ds+y
IMf9/YuzTbvz/h91RV6xfLuj43ubgkXJz+jLDUonjBO7cldoElCSMvcrPdtf2mTj8m0KUyL63cte
jWdgmZwZhf98KbHwYVtD+ks29JkpgXMGRQpc+f66NOvk//lyMd8g4Mh2U2nH+qOdxs/c8i3AoJm8
7NNZgWPa+YjOKsQUb9tPyp63HzCVfbTXpvG06vx2XwIntfWPCO/+7IKVo2NQvrMVRBCvcRYHtjeR
F1YQXb+OaM6UIwgF7jh9pK5vj5x4nJuvrSenQBDXmS0y6dKyKjY8TosfTUGsAzVvINODCTb3sjcQ
YOtBOJK/mYrMUy/yKlc0AEsGXYVnT9VQLgCpSAtxXbqVS/F/vdd3uVCFlukqkEAXFPICp9DjBR1Q
/qCX38asLH865gmUX/WNPZdNg66i8fwyi9xsUzRn0OOV3/AuALkMC7BtvaZAxDucwJG1FRzpS7g0
puNDkSg411e23OlADFNezoR4dnhwRBoKpEySk7ajgi6rcN5Jc468pYzB08U8irKGk4XtrHimVTQ4
3DhzGX2nmwo+3S1eOyWcY3GubilZf3rgqugqqoW30Hx5c1i05W/4eDfnM0OOHtkne47ZyNVh61jo
CrTjfmx7xbQy7Jz5c15u8e9txnQdSBqeURVLeyBh83V2PpaKHQOTE25h0cwZKizSu83AOSKOuoJ9
v/echIhUkocKU/eWjvtwWWFsdZTOK3+qdOlmCpP04WTuP47J5FUFL/LwwMs0sGPmyfHI/F+9Yw81
6yoKQb05HYN+dsze0Gyuwve59kYjsppdO072hbbj/fq2eScl8qwu0Aep9cbelCb2AKl9/dcdzcr+
Q6GioJddQZl9e6vYfKDI8//33/4jntqZXTmLMtpZ2ME5HVkzO/9qvMnuEhNHFcqGZk1FP849A78j
jW4fucXFZJpTTcx5KntvAi+f2tNc3eM/nXh2yFxK3uonum5tOclrNkxDRcfDSTgdhQjw3p4SRnpy
mqllCl4HBR/v0k69yJNwWQzxqjZNQYFZVm63tuZ72hDIE9zyab7eLkbZPkNBco9KnXtkZQU26Mqe
J+OCW7MTzZMX12+XWDpGw1E247f/NsIL+Jtk2M+cMHJlZ1qFj3eXxgWH11BhEe6//A9A+kx2wp7G
Se5LsvtQmPiVUr85++XfhTK8jtKBlIVREK7ByMSAhx0ut21HA+Yj7tsNBZURaChSz5cLIyocc7Fb
KjnS3amiQinasOHxpIIhLa0icdKxMxAfxzwpFW5up6AdKnpOT8IZLSYyH60KpzJf9zjJgoqoHiLj
Ij+yCjAQdb4R9MKp3I2loivyHGZPb//s6SpM8hv0uPD9GHidP+bl0es1k+DRjGKrrAoaDjJISSw6
DKVoQH+UyuqZocAtgOUkFLVlyTtl3kZ5ieyYqC+9JIm3XQ43ztKTLYiKEHD3lKt0KDsFhhLLB7LL
G9mj7fbvwwG8ablYtjkEFfDYe3IIO/l00MswPmYMmTebP/flCroT1HsPPD0E4QIYImh1dlbhIAWl
gqigLfrd43HlvYfHdtTIQ3pZ/r3e9R59ggJFbgNTLbBkGCogEkydE1nnXARblVIREvZs2SsyTAX2
jYRiUunCqQj8LJWPsYrmlJ124sIk4y9/9Z1Zti8VRhDn/1lC/8ULXNs8QcYpMtxCRW579wK7W6Dy
h13fyh/zXYtPW4Mz78lA9rfz/AXK6h8Sa3CMBlQF9pfK3OfQnx7JMzK31GCEQIvpVAxBtaAyfTLN
8Nt99x1radlw7wdE+0SuyEvJBXUVydk2xbxCQ4sKJvt2ZG/krmoVzAkdSkxS9kFFHrUT+mGRlUtF
+aA7JJaQkYgqJqKcEvgMx4JSrcDPpaJz49T2p99E2Srw2s5SgDxSBoK8a36tlLgMycJTAZJUQ1fR
sCmKsaRPpOtbtxrld3zrRGm+yjY1/LRRfZo38V2UFjdrqDgh78HQb5i6I304iHPzF/jWh/vtroHm
EQLospfC/tuIN348Ibz/23nSc2/2lbSZ7/r5XinpGJm2tPDDNh+5zv4eOBt2I5MYM2DPQkkFVfjR
bXqRi0lRFe65uFTCo2GiChxVJxSx9R8uHRD6gfvHY1G2iph3C9cSEx4IBMR1c+w5KjonO2GYe55S
LNZ4sub0tFE89SZebqiEpVWB0TmlO0zMY8nHhW07drxhdAgefHTy1jOzWg83Pu2P2QE4UQWe/2H9
LX5OfGyRTPk6yUFgQ0fSR1Fx/ZFmlfAah1MA0u/vpHDoBHzQ0O07XA9PSHX4+Z9JLwHBTa4U37q9
nlatS4rIAxII+Urbi1wFcVdnHIHCoUJxJBzTny64Pb3zG2dV6dj+kTYwFb1xN16BYVFFZ9x7O6AH
R3aaVGSCbmCylFdVcWaFgD85IA8LDctWLVeWl6vdrZcMyeAdvVyYQaHgAfackqF4hSN8vWogEn6R
d1LBceSSioEuHIdOqujV2iXFzh2f0tM/VV7HpJ5jeC53+XRxYin+Af/ppMFY8lMYDVL+o9yHUzxw
SVOZZKtiXaCV+TLCghkqwNj3Ka3Zhc0q0MwPfF5vV184TRNwctLGVVRED5xMRqXnD3n5ke0IZKyo
TeWHNl9SCLxBKtU0mUXSoFe2SuSigizhoW27tx1nytTUIIwqb1OAfviLR904U4Crqoztssj1MZ3n
aYb2YyHOr4PrODYHp2zgs/82D3HT/h9JMdqv9JZHBvD8473lsTE8P9hbflMPdl2qD4mAoY8D+uf/
AwAA//8=</cx:binary>
              </cx:geoCache>
            </cx:geography>
          </cx:layoutPr>
        </cx:series>
      </cx:plotAreaRegion>
    </cx:plotArea>
    <cx:legend pos="t" align="ctr" overlay="0">
      <cx:txPr>
        <a:bodyPr spcFirstLastPara="1" vertOverflow="ellipsis" horzOverflow="overflow" wrap="square" lIns="0" tIns="0" rIns="0" bIns="0" anchor="ctr" anchorCtr="1"/>
        <a:lstStyle/>
        <a:p>
          <a:pPr algn="ctr" rtl="0">
            <a:defRPr sz="900">
              <a:solidFill>
                <a:schemeClr val="tx1">
                  <a:lumMod val="95000"/>
                  <a:lumOff val="5000"/>
                </a:schemeClr>
              </a:solidFill>
            </a:defRPr>
          </a:pPr>
          <a:endParaRPr lang="en-US" sz="900" b="0" i="0" u="none" strike="noStrike" baseline="0">
            <a:solidFill>
              <a:schemeClr val="tx1">
                <a:lumMod val="95000"/>
                <a:lumOff val="5000"/>
              </a:schemeClr>
            </a:solidFill>
            <a:latin typeface="Calibri"/>
          </a:endParaRPr>
        </a:p>
      </cx:txPr>
      <cx:extLst>
        <cx:ext uri="ext:featex">
          <cx:featureExtension feature="mp" drop="onModelChange">
            <cx:offset top="-0.093844048678874969" left="0.046922571957111359"/>
          </cx:featureExtension>
        </cx:ext>
      </cx:extLst>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3.xml"/><Relationship Id="rId5"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141111</xdr:colOff>
      <xdr:row>0</xdr:row>
      <xdr:rowOff>131031</xdr:rowOff>
    </xdr:from>
    <xdr:to>
      <xdr:col>23</xdr:col>
      <xdr:colOff>471311</xdr:colOff>
      <xdr:row>42</xdr:row>
      <xdr:rowOff>25802</xdr:rowOff>
    </xdr:to>
    <xdr:grpSp>
      <xdr:nvGrpSpPr>
        <xdr:cNvPr id="1038" name="Group 1037">
          <a:extLst>
            <a:ext uri="{FF2B5EF4-FFF2-40B4-BE49-F238E27FC236}">
              <a16:creationId xmlns:a16="http://schemas.microsoft.com/office/drawing/2014/main" id="{55DCBDBC-A082-FE9A-1F94-3196C434CEA4}"/>
            </a:ext>
          </a:extLst>
        </xdr:cNvPr>
        <xdr:cNvGrpSpPr/>
      </xdr:nvGrpSpPr>
      <xdr:grpSpPr>
        <a:xfrm>
          <a:off x="2560159" y="131031"/>
          <a:ext cx="11820676" cy="7514771"/>
          <a:chOff x="0" y="0"/>
          <a:chExt cx="12082911" cy="7367312"/>
        </a:xfrm>
      </xdr:grpSpPr>
      <xdr:sp macro="" textlink="">
        <xdr:nvSpPr>
          <xdr:cNvPr id="1029" name="Rectangle: Rounded Corners 1028">
            <a:extLst>
              <a:ext uri="{FF2B5EF4-FFF2-40B4-BE49-F238E27FC236}">
                <a16:creationId xmlns:a16="http://schemas.microsoft.com/office/drawing/2014/main" id="{A85A93F2-F841-0344-F85C-E2216B9B6AD3}"/>
              </a:ext>
            </a:extLst>
          </xdr:cNvPr>
          <xdr:cNvSpPr/>
        </xdr:nvSpPr>
        <xdr:spPr>
          <a:xfrm>
            <a:off x="159822" y="1207914"/>
            <a:ext cx="4365385" cy="1433480"/>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a:p>
        </xdr:txBody>
      </xdr:sp>
      <xdr:grpSp>
        <xdr:nvGrpSpPr>
          <xdr:cNvPr id="3" name="Group 2">
            <a:extLst>
              <a:ext uri="{FF2B5EF4-FFF2-40B4-BE49-F238E27FC236}">
                <a16:creationId xmlns:a16="http://schemas.microsoft.com/office/drawing/2014/main" id="{2AAD744F-8442-D287-A8B0-FA3ECE07F73F}"/>
              </a:ext>
            </a:extLst>
          </xdr:cNvPr>
          <xdr:cNvGrpSpPr/>
        </xdr:nvGrpSpPr>
        <xdr:grpSpPr>
          <a:xfrm>
            <a:off x="0" y="0"/>
            <a:ext cx="12082911" cy="7367312"/>
            <a:chOff x="0" y="0"/>
            <a:chExt cx="12067517" cy="7190281"/>
          </a:xfrm>
        </xdr:grpSpPr>
        <xdr:sp macro="" textlink="">
          <xdr:nvSpPr>
            <xdr:cNvPr id="59" name="Rectangle 58">
              <a:extLst>
                <a:ext uri="{FF2B5EF4-FFF2-40B4-BE49-F238E27FC236}">
                  <a16:creationId xmlns:a16="http://schemas.microsoft.com/office/drawing/2014/main" id="{4083FAC6-872D-5A39-2C79-135109287BC3}"/>
                </a:ext>
              </a:extLst>
            </xdr:cNvPr>
            <xdr:cNvSpPr/>
          </xdr:nvSpPr>
          <xdr:spPr>
            <a:xfrm>
              <a:off x="0" y="0"/>
              <a:ext cx="12067517" cy="7190281"/>
            </a:xfrm>
            <a:prstGeom prst="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2700000" scaled="1"/>
              <a:tileRect/>
            </a:gra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p>
          </xdr:txBody>
        </xdr:sp>
        <xdr:sp macro="" textlink="">
          <xdr:nvSpPr>
            <xdr:cNvPr id="60" name="Rectangle: Rounded Corners 59">
              <a:extLst>
                <a:ext uri="{FF2B5EF4-FFF2-40B4-BE49-F238E27FC236}">
                  <a16:creationId xmlns:a16="http://schemas.microsoft.com/office/drawing/2014/main" id="{78977E8C-6276-440B-C9FE-11BE1EADD1B7}"/>
                </a:ext>
              </a:extLst>
            </xdr:cNvPr>
            <xdr:cNvSpPr/>
          </xdr:nvSpPr>
          <xdr:spPr>
            <a:xfrm>
              <a:off x="159821" y="142613"/>
              <a:ext cx="4260601" cy="984709"/>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p>
          </xdr:txBody>
        </xdr:sp>
        <xdr:sp macro="" textlink="">
          <xdr:nvSpPr>
            <xdr:cNvPr id="61" name="Rectangle: Rounded Corners 60">
              <a:extLst>
                <a:ext uri="{FF2B5EF4-FFF2-40B4-BE49-F238E27FC236}">
                  <a16:creationId xmlns:a16="http://schemas.microsoft.com/office/drawing/2014/main" id="{B1D805BF-755E-A969-38DE-F5ACEF41E15E}"/>
                </a:ext>
              </a:extLst>
            </xdr:cNvPr>
            <xdr:cNvSpPr/>
          </xdr:nvSpPr>
          <xdr:spPr>
            <a:xfrm>
              <a:off x="4587617" y="142613"/>
              <a:ext cx="7333380" cy="984709"/>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p>
          </xdr:txBody>
        </xdr:sp>
        <xdr:sp macro="" textlink="">
          <xdr:nvSpPr>
            <xdr:cNvPr id="62" name="Rectangle: Rounded Corners 61">
              <a:extLst>
                <a:ext uri="{FF2B5EF4-FFF2-40B4-BE49-F238E27FC236}">
                  <a16:creationId xmlns:a16="http://schemas.microsoft.com/office/drawing/2014/main" id="{9DECE88B-1D3B-E116-3489-EC6EED20C4F5}"/>
                </a:ext>
              </a:extLst>
            </xdr:cNvPr>
            <xdr:cNvSpPr/>
          </xdr:nvSpPr>
          <xdr:spPr>
            <a:xfrm>
              <a:off x="4583545" y="1211422"/>
              <a:ext cx="1647723" cy="1490214"/>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p>
          </xdr:txBody>
        </xdr:sp>
        <xdr:sp macro="" textlink="">
          <xdr:nvSpPr>
            <xdr:cNvPr id="63" name="Rectangle: Rounded Corners 62">
              <a:extLst>
                <a:ext uri="{FF2B5EF4-FFF2-40B4-BE49-F238E27FC236}">
                  <a16:creationId xmlns:a16="http://schemas.microsoft.com/office/drawing/2014/main" id="{C6F8A711-B4E8-1D95-3B9F-B745C4C302BD}"/>
                </a:ext>
              </a:extLst>
            </xdr:cNvPr>
            <xdr:cNvSpPr/>
          </xdr:nvSpPr>
          <xdr:spPr>
            <a:xfrm>
              <a:off x="6326908" y="1207925"/>
              <a:ext cx="1478439" cy="1562983"/>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p>
          </xdr:txBody>
        </xdr:sp>
        <xdr:sp macro="" textlink="">
          <xdr:nvSpPr>
            <xdr:cNvPr id="1024" name="Rectangle: Rounded Corners 1023">
              <a:extLst>
                <a:ext uri="{FF2B5EF4-FFF2-40B4-BE49-F238E27FC236}">
                  <a16:creationId xmlns:a16="http://schemas.microsoft.com/office/drawing/2014/main" id="{87F95B4D-B9DE-815C-EBE1-378E74E6FC72}"/>
                </a:ext>
              </a:extLst>
            </xdr:cNvPr>
            <xdr:cNvSpPr/>
          </xdr:nvSpPr>
          <xdr:spPr>
            <a:xfrm>
              <a:off x="7874000" y="1209324"/>
              <a:ext cx="1627909" cy="2104221"/>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p>
          </xdr:txBody>
        </xdr:sp>
        <xdr:sp macro="" textlink="">
          <xdr:nvSpPr>
            <xdr:cNvPr id="1027" name="Rectangle: Rounded Corners 1026">
              <a:extLst>
                <a:ext uri="{FF2B5EF4-FFF2-40B4-BE49-F238E27FC236}">
                  <a16:creationId xmlns:a16="http://schemas.microsoft.com/office/drawing/2014/main" id="{73FBEE95-7A99-182A-6CA9-2055AECE5976}"/>
                </a:ext>
              </a:extLst>
            </xdr:cNvPr>
            <xdr:cNvSpPr/>
          </xdr:nvSpPr>
          <xdr:spPr>
            <a:xfrm>
              <a:off x="159821" y="2675270"/>
              <a:ext cx="1364792" cy="4124165"/>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p>
          </xdr:txBody>
        </xdr:sp>
        <xdr:sp macro="" textlink="">
          <xdr:nvSpPr>
            <xdr:cNvPr id="1028" name="Rectangle: Rounded Corners 1027">
              <a:extLst>
                <a:ext uri="{FF2B5EF4-FFF2-40B4-BE49-F238E27FC236}">
                  <a16:creationId xmlns:a16="http://schemas.microsoft.com/office/drawing/2014/main" id="{45C92047-990F-CDF9-EEBD-A5D61A6FA09A}"/>
                </a:ext>
              </a:extLst>
            </xdr:cNvPr>
            <xdr:cNvSpPr/>
          </xdr:nvSpPr>
          <xdr:spPr>
            <a:xfrm>
              <a:off x="1750482" y="2771627"/>
              <a:ext cx="2917470" cy="4014834"/>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p>
          </xdr:txBody>
        </xdr:sp>
        <xdr:sp macro="" textlink="">
          <xdr:nvSpPr>
            <xdr:cNvPr id="1030" name="Rectangle: Rounded Corners 1029">
              <a:extLst>
                <a:ext uri="{FF2B5EF4-FFF2-40B4-BE49-F238E27FC236}">
                  <a16:creationId xmlns:a16="http://schemas.microsoft.com/office/drawing/2014/main" id="{07D83C17-56A4-323A-0FFC-0C41223FB5B0}"/>
                </a:ext>
              </a:extLst>
            </xdr:cNvPr>
            <xdr:cNvSpPr/>
          </xdr:nvSpPr>
          <xdr:spPr>
            <a:xfrm>
              <a:off x="9407941" y="4459914"/>
              <a:ext cx="2581922" cy="2524585"/>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p>
          </xdr:txBody>
        </xdr:sp>
        <xdr:sp macro="" textlink="">
          <xdr:nvSpPr>
            <xdr:cNvPr id="1031" name="Rectangle: Rounded Corners 1030">
              <a:extLst>
                <a:ext uri="{FF2B5EF4-FFF2-40B4-BE49-F238E27FC236}">
                  <a16:creationId xmlns:a16="http://schemas.microsoft.com/office/drawing/2014/main" id="{B1078548-941F-8C6F-4BFC-361C21958D49}"/>
                </a:ext>
              </a:extLst>
            </xdr:cNvPr>
            <xdr:cNvSpPr/>
          </xdr:nvSpPr>
          <xdr:spPr>
            <a:xfrm>
              <a:off x="9575511" y="1188781"/>
              <a:ext cx="2394720" cy="3139320"/>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p>
          </xdr:txBody>
        </xdr:sp>
        <xdr:sp macro="" textlink="">
          <xdr:nvSpPr>
            <xdr:cNvPr id="1032" name="Rectangle: Rounded Corners 1031">
              <a:extLst>
                <a:ext uri="{FF2B5EF4-FFF2-40B4-BE49-F238E27FC236}">
                  <a16:creationId xmlns:a16="http://schemas.microsoft.com/office/drawing/2014/main" id="{E6AE8537-C682-B4FC-CEEC-46BF588F7374}"/>
                </a:ext>
              </a:extLst>
            </xdr:cNvPr>
            <xdr:cNvSpPr/>
          </xdr:nvSpPr>
          <xdr:spPr>
            <a:xfrm>
              <a:off x="5052313" y="4098758"/>
              <a:ext cx="3947997" cy="2543085"/>
            </a:xfrm>
            <a:prstGeom prst="roundRect">
              <a:avLst/>
            </a:prstGeom>
            <a:gradFill flip="none" rotWithShape="1">
              <a:gsLst>
                <a:gs pos="0">
                  <a:schemeClr val="accent5">
                    <a:shade val="30000"/>
                    <a:satMod val="115000"/>
                  </a:schemeClr>
                </a:gs>
                <a:gs pos="50000">
                  <a:schemeClr val="accent5">
                    <a:shade val="67500"/>
                    <a:satMod val="115000"/>
                  </a:schemeClr>
                </a:gs>
                <a:gs pos="100000">
                  <a:schemeClr val="accent5">
                    <a:shade val="100000"/>
                    <a:satMod val="115000"/>
                  </a:schemeClr>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US" sz="1800"/>
            </a:p>
          </xdr:txBody>
        </xdr:sp>
      </xdr:grpSp>
      <xdr:graphicFrame macro="">
        <xdr:nvGraphicFramePr>
          <xdr:cNvPr id="32" name="Chart 31">
            <a:extLst>
              <a:ext uri="{FF2B5EF4-FFF2-40B4-BE49-F238E27FC236}">
                <a16:creationId xmlns:a16="http://schemas.microsoft.com/office/drawing/2014/main" id="{2483C572-3A59-482D-B5D6-A2F1CF084A18}"/>
              </a:ext>
            </a:extLst>
          </xdr:cNvPr>
          <xdr:cNvGraphicFramePr>
            <a:graphicFrameLocks/>
          </xdr:cNvGraphicFramePr>
        </xdr:nvGraphicFramePr>
        <xdr:xfrm>
          <a:off x="1711028" y="3114219"/>
          <a:ext cx="2914184" cy="3532966"/>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57" name="TextBox 56">
            <a:extLst>
              <a:ext uri="{FF2B5EF4-FFF2-40B4-BE49-F238E27FC236}">
                <a16:creationId xmlns:a16="http://schemas.microsoft.com/office/drawing/2014/main" id="{8111357A-A437-271F-4D77-ABC6014D3DB6}"/>
              </a:ext>
            </a:extLst>
          </xdr:cNvPr>
          <xdr:cNvSpPr txBox="1"/>
        </xdr:nvSpPr>
        <xdr:spPr>
          <a:xfrm>
            <a:off x="1308296" y="380472"/>
            <a:ext cx="3049860" cy="5582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rgbClr val="002060"/>
                </a:solidFill>
              </a:rPr>
              <a:t>Sales Dashboard</a:t>
            </a:r>
          </a:p>
        </xdr:txBody>
      </xdr:sp>
      <mc:AlternateContent xmlns:mc="http://schemas.openxmlformats.org/markup-compatibility/2006">
        <mc:Choice xmlns:a14="http://schemas.microsoft.com/office/drawing/2010/main" Requires="a14">
          <xdr:graphicFrame macro="">
            <xdr:nvGraphicFramePr>
              <xdr:cNvPr id="29" name="WeekNum">
                <a:extLst>
                  <a:ext uri="{FF2B5EF4-FFF2-40B4-BE49-F238E27FC236}">
                    <a16:creationId xmlns:a16="http://schemas.microsoft.com/office/drawing/2014/main" id="{8FA83409-03D5-4F65-A587-CBECFFE60038}"/>
                  </a:ext>
                </a:extLst>
              </xdr:cNvPr>
              <xdr:cNvGraphicFramePr/>
            </xdr:nvGraphicFramePr>
            <xdr:xfrm>
              <a:off x="269696" y="2885422"/>
              <a:ext cx="1224235" cy="3936913"/>
            </xdr:xfrm>
            <a:graphic>
              <a:graphicData uri="http://schemas.microsoft.com/office/drawing/2010/slicer">
                <sle:slicer xmlns:sle="http://schemas.microsoft.com/office/drawing/2010/slicer" name="WeekNum"/>
              </a:graphicData>
            </a:graphic>
          </xdr:graphicFrame>
        </mc:Choice>
        <mc:Fallback>
          <xdr:sp macro="" textlink="">
            <xdr:nvSpPr>
              <xdr:cNvPr id="0" name=""/>
              <xdr:cNvSpPr>
                <a:spLocks noTextEdit="1"/>
              </xdr:cNvSpPr>
            </xdr:nvSpPr>
            <xdr:spPr>
              <a:xfrm>
                <a:off x="2824002" y="3074206"/>
                <a:ext cx="1197665" cy="40157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16" name="Chart 15">
            <a:extLst>
              <a:ext uri="{FF2B5EF4-FFF2-40B4-BE49-F238E27FC236}">
                <a16:creationId xmlns:a16="http://schemas.microsoft.com/office/drawing/2014/main" id="{2AC29EB0-30C0-49CD-BAD1-F22C3A8247CB}"/>
              </a:ext>
            </a:extLst>
          </xdr:cNvPr>
          <xdr:cNvGraphicFramePr>
            <a:graphicFrameLocks/>
          </xdr:cNvGraphicFramePr>
        </xdr:nvGraphicFramePr>
        <xdr:xfrm>
          <a:off x="9489613" y="4722690"/>
          <a:ext cx="2506907" cy="2349959"/>
        </xdr:xfrm>
        <a:graphic>
          <a:graphicData uri="http://schemas.openxmlformats.org/drawingml/2006/chart">
            <c:chart xmlns:c="http://schemas.openxmlformats.org/drawingml/2006/chart" xmlns:r="http://schemas.openxmlformats.org/officeDocument/2006/relationships" r:id="rId2"/>
          </a:graphicData>
        </a:graphic>
      </xdr:graphicFrame>
      <mc:AlternateContent xmlns:mc="http://schemas.openxmlformats.org/markup-compatibility/2006">
        <mc:Choice xmlns:tsle="http://schemas.microsoft.com/office/drawing/2012/timeslicer" Requires="tsle">
          <xdr:graphicFrame macro="">
            <xdr:nvGraphicFramePr>
              <xdr:cNvPr id="31" name="OrderDate">
                <a:extLst>
                  <a:ext uri="{FF2B5EF4-FFF2-40B4-BE49-F238E27FC236}">
                    <a16:creationId xmlns:a16="http://schemas.microsoft.com/office/drawing/2014/main" id="{16B09FAA-6C71-74B3-425A-249F853E8E5C}"/>
                  </a:ext>
                </a:extLst>
              </xdr:cNvPr>
              <xdr:cNvGraphicFramePr/>
            </xdr:nvGraphicFramePr>
            <xdr:xfrm>
              <a:off x="200254" y="1192863"/>
              <a:ext cx="4144810" cy="1495894"/>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2756067" y="1347770"/>
                <a:ext cx="4054855" cy="152583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sp macro="" textlink="">
        <xdr:nvSpPr>
          <xdr:cNvPr id="18" name="TextBox 17">
            <a:extLst>
              <a:ext uri="{FF2B5EF4-FFF2-40B4-BE49-F238E27FC236}">
                <a16:creationId xmlns:a16="http://schemas.microsoft.com/office/drawing/2014/main" id="{79D347E8-5760-B4D3-1DBA-91B5173AE8CF}"/>
              </a:ext>
            </a:extLst>
          </xdr:cNvPr>
          <xdr:cNvSpPr txBox="1"/>
        </xdr:nvSpPr>
        <xdr:spPr>
          <a:xfrm>
            <a:off x="5151484" y="1077094"/>
            <a:ext cx="1133327" cy="13636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600" b="1">
                <a:solidFill>
                  <a:srgbClr val="002060"/>
                </a:solidFill>
              </a:rPr>
              <a:t>Total Revenue after discounts</a:t>
            </a:r>
          </a:p>
        </xdr:txBody>
      </xdr:sp>
      <xdr:sp macro="" textlink="Analysis!A31">
        <xdr:nvSpPr>
          <xdr:cNvPr id="17" name="Rectangle: Rounded Corners 16">
            <a:extLst>
              <a:ext uri="{FF2B5EF4-FFF2-40B4-BE49-F238E27FC236}">
                <a16:creationId xmlns:a16="http://schemas.microsoft.com/office/drawing/2014/main" id="{CF5D73A7-D4BB-1D09-CEFC-82AB52F9C7BA}"/>
              </a:ext>
            </a:extLst>
          </xdr:cNvPr>
          <xdr:cNvSpPr/>
        </xdr:nvSpPr>
        <xdr:spPr>
          <a:xfrm>
            <a:off x="4526084" y="2115797"/>
            <a:ext cx="1728109" cy="519402"/>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1797ED7-B558-4686-B462-9C6EEF3BFF0F}" type="TxLink">
              <a:rPr lang="en-US" sz="2000" b="1" i="0" u="none" strike="noStrike">
                <a:solidFill>
                  <a:schemeClr val="bg1"/>
                </a:solidFill>
                <a:latin typeface="Calibri"/>
                <a:ea typeface="Calibri"/>
                <a:cs typeface="Calibri"/>
              </a:rPr>
              <a:pPr algn="ctr"/>
              <a:t>$4,379,992.43</a:t>
            </a:fld>
            <a:endParaRPr lang="en-US" sz="2000" b="1">
              <a:solidFill>
                <a:schemeClr val="bg1"/>
              </a:solidFill>
            </a:endParaRPr>
          </a:p>
        </xdr:txBody>
      </xdr:sp>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F0F46A64-AB63-4CF3-BBAA-D60A396F6D4C}"/>
                  </a:ext>
                </a:extLst>
              </xdr:cNvPr>
              <xdr:cNvGraphicFramePr/>
            </xdr:nvGraphicFramePr>
            <xdr:xfrm>
              <a:off x="9587145" y="1355790"/>
              <a:ext cx="2177475" cy="302136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587145" y="1355790"/>
                <a:ext cx="2177475" cy="30213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sp macro="" textlink="">
        <xdr:nvSpPr>
          <xdr:cNvPr id="25" name="TextBox 24">
            <a:extLst>
              <a:ext uri="{FF2B5EF4-FFF2-40B4-BE49-F238E27FC236}">
                <a16:creationId xmlns:a16="http://schemas.microsoft.com/office/drawing/2014/main" id="{4F934BBB-651C-4ABC-8C1D-7D27CAB45B8F}"/>
              </a:ext>
            </a:extLst>
          </xdr:cNvPr>
          <xdr:cNvSpPr txBox="1"/>
        </xdr:nvSpPr>
        <xdr:spPr>
          <a:xfrm>
            <a:off x="6375457" y="1289253"/>
            <a:ext cx="1378549" cy="10664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solidFill>
                  <a:srgbClr val="002060"/>
                </a:solidFill>
              </a:rPr>
              <a:t>Total Shipping</a:t>
            </a:r>
            <a:r>
              <a:rPr lang="en-US" sz="2000" b="1" baseline="0">
                <a:solidFill>
                  <a:srgbClr val="002060"/>
                </a:solidFill>
              </a:rPr>
              <a:t> Cost</a:t>
            </a:r>
          </a:p>
          <a:p>
            <a:endParaRPr lang="en-US" sz="2000" b="1">
              <a:solidFill>
                <a:srgbClr val="002060"/>
              </a:solidFill>
            </a:endParaRPr>
          </a:p>
        </xdr:txBody>
      </xdr:sp>
      <xdr:sp macro="" textlink="Analysis!A34">
        <xdr:nvSpPr>
          <xdr:cNvPr id="19" name="Rectangle: Rounded Corners 18">
            <a:extLst>
              <a:ext uri="{FF2B5EF4-FFF2-40B4-BE49-F238E27FC236}">
                <a16:creationId xmlns:a16="http://schemas.microsoft.com/office/drawing/2014/main" id="{AF8C138D-35B1-409A-9294-8545BFC8878A}"/>
              </a:ext>
            </a:extLst>
          </xdr:cNvPr>
          <xdr:cNvSpPr/>
        </xdr:nvSpPr>
        <xdr:spPr>
          <a:xfrm>
            <a:off x="6356255" y="2220092"/>
            <a:ext cx="1374850" cy="493679"/>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88EABAE7-0A6B-4F60-97D3-27F7060B4B87}" type="TxLink">
              <a:rPr lang="en-US" sz="2000" b="1" i="0" u="none" strike="noStrike">
                <a:solidFill>
                  <a:schemeClr val="bg1"/>
                </a:solidFill>
                <a:latin typeface="Calibri"/>
                <a:ea typeface="Calibri"/>
                <a:cs typeface="Calibri"/>
              </a:rPr>
              <a:pPr algn="ctr"/>
              <a:t>$41,260.94</a:t>
            </a:fld>
            <a:endParaRPr lang="en-US" sz="2000" b="1">
              <a:solidFill>
                <a:schemeClr val="bg1"/>
              </a:solidFill>
            </a:endParaRPr>
          </a:p>
        </xdr:txBody>
      </xdr:sp>
      <mc:AlternateContent xmlns:mc="http://schemas.openxmlformats.org/markup-compatibility/2006">
        <mc:Choice xmlns:a14="http://schemas.microsoft.com/office/drawing/2010/main" Requires="a14">
          <xdr:graphicFrame macro="">
            <xdr:nvGraphicFramePr>
              <xdr:cNvPr id="10" name="Dashboard Controls">
                <a:extLst>
                  <a:ext uri="{FF2B5EF4-FFF2-40B4-BE49-F238E27FC236}">
                    <a16:creationId xmlns:a16="http://schemas.microsoft.com/office/drawing/2014/main" id="{7D1EB383-6486-9556-2FFB-0DBA05960418}"/>
                  </a:ext>
                </a:extLst>
              </xdr:cNvPr>
              <xdr:cNvGraphicFramePr/>
            </xdr:nvGraphicFramePr>
            <xdr:xfrm>
              <a:off x="4686062" y="322240"/>
              <a:ext cx="2436717" cy="690057"/>
            </xdr:xfrm>
            <a:graphic>
              <a:graphicData uri="http://schemas.microsoft.com/office/drawing/2010/slicer">
                <sle:slicer xmlns:sle="http://schemas.microsoft.com/office/drawing/2010/slicer" name="Dashboard Controls"/>
              </a:graphicData>
            </a:graphic>
          </xdr:graphicFrame>
        </mc:Choice>
        <mc:Fallback>
          <xdr:sp macro="" textlink="">
            <xdr:nvSpPr>
              <xdr:cNvPr id="0" name=""/>
              <xdr:cNvSpPr>
                <a:spLocks noTextEdit="1"/>
              </xdr:cNvSpPr>
            </xdr:nvSpPr>
            <xdr:spPr>
              <a:xfrm>
                <a:off x="7144520" y="459721"/>
                <a:ext cx="2383833" cy="703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5" name="Flowchart: Connector 4">
            <a:extLst>
              <a:ext uri="{FF2B5EF4-FFF2-40B4-BE49-F238E27FC236}">
                <a16:creationId xmlns:a16="http://schemas.microsoft.com/office/drawing/2014/main" id="{A0958CB0-4714-023A-2277-CBAF3B8A85C8}"/>
              </a:ext>
            </a:extLst>
          </xdr:cNvPr>
          <xdr:cNvSpPr/>
        </xdr:nvSpPr>
        <xdr:spPr>
          <a:xfrm>
            <a:off x="7954151" y="1595906"/>
            <a:ext cx="497265" cy="510431"/>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Flowchart: Connector 5">
            <a:extLst>
              <a:ext uri="{FF2B5EF4-FFF2-40B4-BE49-F238E27FC236}">
                <a16:creationId xmlns:a16="http://schemas.microsoft.com/office/drawing/2014/main" id="{AF3F4DEC-357A-4B83-A794-2E660B81AE8A}"/>
              </a:ext>
            </a:extLst>
          </xdr:cNvPr>
          <xdr:cNvSpPr/>
        </xdr:nvSpPr>
        <xdr:spPr>
          <a:xfrm>
            <a:off x="7954151" y="2813040"/>
            <a:ext cx="497265" cy="510430"/>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Flowchart: Connector 10">
            <a:extLst>
              <a:ext uri="{FF2B5EF4-FFF2-40B4-BE49-F238E27FC236}">
                <a16:creationId xmlns:a16="http://schemas.microsoft.com/office/drawing/2014/main" id="{AF27533E-B80E-46E2-B5D7-2FC1EAD0DACC}"/>
              </a:ext>
            </a:extLst>
          </xdr:cNvPr>
          <xdr:cNvSpPr/>
        </xdr:nvSpPr>
        <xdr:spPr>
          <a:xfrm>
            <a:off x="7954151" y="2204473"/>
            <a:ext cx="497265" cy="510431"/>
          </a:xfrm>
          <a:prstGeom prst="flowChartConnector">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TextBox 11">
            <a:extLst>
              <a:ext uri="{FF2B5EF4-FFF2-40B4-BE49-F238E27FC236}">
                <a16:creationId xmlns:a16="http://schemas.microsoft.com/office/drawing/2014/main" id="{E1CC8A8A-72BB-B887-B4D9-5BDD868B7B6E}"/>
              </a:ext>
            </a:extLst>
          </xdr:cNvPr>
          <xdr:cNvSpPr txBox="1"/>
        </xdr:nvSpPr>
        <xdr:spPr>
          <a:xfrm>
            <a:off x="8034623" y="1642087"/>
            <a:ext cx="346364" cy="332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1</a:t>
            </a:r>
          </a:p>
        </xdr:txBody>
      </xdr:sp>
      <xdr:sp macro="" textlink="">
        <xdr:nvSpPr>
          <xdr:cNvPr id="21" name="TextBox 20">
            <a:extLst>
              <a:ext uri="{FF2B5EF4-FFF2-40B4-BE49-F238E27FC236}">
                <a16:creationId xmlns:a16="http://schemas.microsoft.com/office/drawing/2014/main" id="{E81312B6-8038-8776-A1C0-73A88E683B07}"/>
              </a:ext>
            </a:extLst>
          </xdr:cNvPr>
          <xdr:cNvSpPr txBox="1"/>
        </xdr:nvSpPr>
        <xdr:spPr>
          <a:xfrm>
            <a:off x="8023078" y="2256428"/>
            <a:ext cx="369454" cy="3325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2</a:t>
            </a:r>
          </a:p>
        </xdr:txBody>
      </xdr:sp>
      <xdr:sp macro="" textlink="">
        <xdr:nvSpPr>
          <xdr:cNvPr id="22" name="TextBox 21">
            <a:extLst>
              <a:ext uri="{FF2B5EF4-FFF2-40B4-BE49-F238E27FC236}">
                <a16:creationId xmlns:a16="http://schemas.microsoft.com/office/drawing/2014/main" id="{34DBF623-6FA9-04F2-A994-EBC2CC910E23}"/>
              </a:ext>
            </a:extLst>
          </xdr:cNvPr>
          <xdr:cNvSpPr txBox="1"/>
        </xdr:nvSpPr>
        <xdr:spPr>
          <a:xfrm>
            <a:off x="8034624" y="2875427"/>
            <a:ext cx="230909" cy="3163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t>3</a:t>
            </a:r>
          </a:p>
        </xdr:txBody>
      </xdr:sp>
      <xdr:sp macro="" textlink="Analysis!A10">
        <xdr:nvSpPr>
          <xdr:cNvPr id="23" name="TextBox 22">
            <a:extLst>
              <a:ext uri="{FF2B5EF4-FFF2-40B4-BE49-F238E27FC236}">
                <a16:creationId xmlns:a16="http://schemas.microsoft.com/office/drawing/2014/main" id="{388D0833-EDC3-5478-0203-A9714049E71A}"/>
              </a:ext>
            </a:extLst>
          </xdr:cNvPr>
          <xdr:cNvSpPr txBox="1"/>
        </xdr:nvSpPr>
        <xdr:spPr>
          <a:xfrm>
            <a:off x="8438714" y="1572815"/>
            <a:ext cx="902165" cy="281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FD4ACFD-12D3-44B3-ADB4-FE59C0110531}" type="TxLink">
              <a:rPr lang="en-US" sz="1600" b="1" i="0" u="none" strike="noStrike">
                <a:solidFill>
                  <a:srgbClr val="002060"/>
                </a:solidFill>
                <a:latin typeface="Calibri"/>
                <a:ea typeface="Calibri"/>
                <a:cs typeface="Calibri"/>
              </a:rPr>
              <a:pPr/>
              <a:t>Tablet</a:t>
            </a:fld>
            <a:endParaRPr lang="en-US" sz="1600" b="1">
              <a:solidFill>
                <a:srgbClr val="002060"/>
              </a:solidFill>
            </a:endParaRPr>
          </a:p>
        </xdr:txBody>
      </xdr:sp>
      <xdr:sp macro="" textlink="Analysis!A11">
        <xdr:nvSpPr>
          <xdr:cNvPr id="36" name="TextBox 35">
            <a:extLst>
              <a:ext uri="{FF2B5EF4-FFF2-40B4-BE49-F238E27FC236}">
                <a16:creationId xmlns:a16="http://schemas.microsoft.com/office/drawing/2014/main" id="{89B1277C-E57A-3524-22CE-F934804A6A1F}"/>
              </a:ext>
            </a:extLst>
          </xdr:cNvPr>
          <xdr:cNvSpPr txBox="1"/>
        </xdr:nvSpPr>
        <xdr:spPr>
          <a:xfrm>
            <a:off x="8438715" y="2164065"/>
            <a:ext cx="890620" cy="344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6F537C-FC1E-4665-8346-F95C41CB7DA8}" type="TxLink">
              <a:rPr lang="en-US" sz="1600" b="1" i="0" u="none" strike="noStrike">
                <a:solidFill>
                  <a:srgbClr val="002060"/>
                </a:solidFill>
                <a:latin typeface="Calibri"/>
                <a:ea typeface="Calibri"/>
                <a:cs typeface="Calibri"/>
              </a:rPr>
              <a:pPr/>
              <a:t>Laptop</a:t>
            </a:fld>
            <a:endParaRPr lang="en-US" sz="1600" b="1">
              <a:solidFill>
                <a:srgbClr val="002060"/>
              </a:solidFill>
            </a:endParaRPr>
          </a:p>
        </xdr:txBody>
      </xdr:sp>
      <xdr:sp macro="" textlink="Analysis!A12">
        <xdr:nvSpPr>
          <xdr:cNvPr id="37" name="TextBox 36">
            <a:extLst>
              <a:ext uri="{FF2B5EF4-FFF2-40B4-BE49-F238E27FC236}">
                <a16:creationId xmlns:a16="http://schemas.microsoft.com/office/drawing/2014/main" id="{E2EA617E-42E2-C158-3BD5-5D8C1648D237}"/>
              </a:ext>
            </a:extLst>
          </xdr:cNvPr>
          <xdr:cNvSpPr txBox="1"/>
        </xdr:nvSpPr>
        <xdr:spPr>
          <a:xfrm>
            <a:off x="8461806" y="2743768"/>
            <a:ext cx="934425" cy="3144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2D0594-C85E-4482-89F3-0DC3E88299CD}" type="TxLink">
              <a:rPr lang="en-US" sz="1600" b="1" i="0" u="none" strike="noStrike">
                <a:solidFill>
                  <a:srgbClr val="002060"/>
                </a:solidFill>
                <a:latin typeface="Calibri"/>
                <a:ea typeface="Calibri"/>
                <a:cs typeface="Calibri"/>
              </a:rPr>
              <a:pPr/>
              <a:t>Printer</a:t>
            </a:fld>
            <a:endParaRPr lang="en-US" sz="1600" b="1">
              <a:solidFill>
                <a:srgbClr val="002060"/>
              </a:solidFill>
            </a:endParaRPr>
          </a:p>
        </xdr:txBody>
      </xdr:sp>
      <xdr:sp macro="" textlink="Analysis!B10">
        <xdr:nvSpPr>
          <xdr:cNvPr id="38" name="TextBox 37">
            <a:extLst>
              <a:ext uri="{FF2B5EF4-FFF2-40B4-BE49-F238E27FC236}">
                <a16:creationId xmlns:a16="http://schemas.microsoft.com/office/drawing/2014/main" id="{0C7C6739-A350-0B2F-267F-434E4F1D15F1}"/>
              </a:ext>
            </a:extLst>
          </xdr:cNvPr>
          <xdr:cNvSpPr txBox="1"/>
        </xdr:nvSpPr>
        <xdr:spPr>
          <a:xfrm>
            <a:off x="8450259" y="1808384"/>
            <a:ext cx="1098439" cy="3441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E03B508-EA9B-4735-96D6-274D34EA486A}" type="TxLink">
              <a:rPr lang="en-US" sz="1800" b="1" i="0" u="none" strike="noStrike">
                <a:solidFill>
                  <a:schemeClr val="bg1"/>
                </a:solidFill>
                <a:latin typeface="Calibri"/>
                <a:ea typeface="Calibri"/>
                <a:cs typeface="Calibri"/>
              </a:rPr>
              <a:pPr/>
              <a:t>$684,539</a:t>
            </a:fld>
            <a:endParaRPr lang="en-US" sz="1800" b="1">
              <a:solidFill>
                <a:schemeClr val="bg1"/>
              </a:solidFill>
            </a:endParaRPr>
          </a:p>
        </xdr:txBody>
      </xdr:sp>
      <xdr:sp macro="" textlink="Analysis!B11">
        <xdr:nvSpPr>
          <xdr:cNvPr id="39" name="TextBox 38">
            <a:extLst>
              <a:ext uri="{FF2B5EF4-FFF2-40B4-BE49-F238E27FC236}">
                <a16:creationId xmlns:a16="http://schemas.microsoft.com/office/drawing/2014/main" id="{92B6AF37-898F-86D7-6306-DE93DEBADFE4}"/>
              </a:ext>
            </a:extLst>
          </xdr:cNvPr>
          <xdr:cNvSpPr txBox="1"/>
        </xdr:nvSpPr>
        <xdr:spPr>
          <a:xfrm>
            <a:off x="8369442" y="2376542"/>
            <a:ext cx="1363984" cy="309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76D18A-3FDD-4389-8F09-254D14DB0086}" type="TxLink">
              <a:rPr lang="en-US" sz="1800" b="1" i="0" u="none" strike="noStrike">
                <a:solidFill>
                  <a:schemeClr val="bg1"/>
                </a:solidFill>
                <a:latin typeface="Calibri"/>
                <a:ea typeface="Calibri"/>
                <a:cs typeface="Calibri"/>
              </a:rPr>
              <a:pPr/>
              <a:t>$684,417</a:t>
            </a:fld>
            <a:endParaRPr lang="en-US" sz="1800" b="1">
              <a:solidFill>
                <a:schemeClr val="bg1"/>
              </a:solidFill>
            </a:endParaRPr>
          </a:p>
        </xdr:txBody>
      </xdr:sp>
      <xdr:sp macro="" textlink="Analysis!B12">
        <xdr:nvSpPr>
          <xdr:cNvPr id="40" name="TextBox 39">
            <a:extLst>
              <a:ext uri="{FF2B5EF4-FFF2-40B4-BE49-F238E27FC236}">
                <a16:creationId xmlns:a16="http://schemas.microsoft.com/office/drawing/2014/main" id="{90265459-DBE4-E489-7F36-3B9BA44BE34B}"/>
              </a:ext>
            </a:extLst>
          </xdr:cNvPr>
          <xdr:cNvSpPr txBox="1"/>
        </xdr:nvSpPr>
        <xdr:spPr>
          <a:xfrm>
            <a:off x="8380987" y="2979335"/>
            <a:ext cx="1087442" cy="330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2D0761-AE33-477C-B628-7E78DD3737BA}" type="TxLink">
              <a:rPr lang="en-US" sz="1800" b="1" i="0" u="none" strike="noStrike">
                <a:solidFill>
                  <a:schemeClr val="bg1"/>
                </a:solidFill>
                <a:latin typeface="Calibri"/>
                <a:ea typeface="Calibri"/>
                <a:cs typeface="Calibri"/>
              </a:rPr>
              <a:pPr/>
              <a:t>$684,387</a:t>
            </a:fld>
            <a:endParaRPr lang="en-US" sz="1800" b="1">
              <a:solidFill>
                <a:schemeClr val="bg1"/>
              </a:solidFill>
            </a:endParaRPr>
          </a:p>
        </xdr:txBody>
      </xdr:sp>
      <xdr:sp macro="" textlink="">
        <xdr:nvSpPr>
          <xdr:cNvPr id="42" name="TextBox 41">
            <a:extLst>
              <a:ext uri="{FF2B5EF4-FFF2-40B4-BE49-F238E27FC236}">
                <a16:creationId xmlns:a16="http://schemas.microsoft.com/office/drawing/2014/main" id="{C811DBB4-F27D-7DC6-9B4F-9B0AADB56F74}"/>
              </a:ext>
            </a:extLst>
          </xdr:cNvPr>
          <xdr:cNvSpPr txBox="1"/>
        </xdr:nvSpPr>
        <xdr:spPr>
          <a:xfrm>
            <a:off x="7965351" y="1217133"/>
            <a:ext cx="1502529" cy="3210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b="1">
                <a:solidFill>
                  <a:srgbClr val="002060"/>
                </a:solidFill>
              </a:rPr>
              <a:t>Top 3 Products</a:t>
            </a:r>
          </a:p>
        </xdr:txBody>
      </xdr:sp>
      <xdr:pic>
        <xdr:nvPicPr>
          <xdr:cNvPr id="44" name="Picture 43">
            <a:extLst>
              <a:ext uri="{FF2B5EF4-FFF2-40B4-BE49-F238E27FC236}">
                <a16:creationId xmlns:a16="http://schemas.microsoft.com/office/drawing/2014/main" id="{91DF1E65-F7B0-2C62-03D3-CA316E39876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496853" y="1215752"/>
            <a:ext cx="808991" cy="924599"/>
          </a:xfrm>
          <a:prstGeom prst="rect">
            <a:avLst/>
          </a:prstGeom>
        </xdr:spPr>
      </xdr:pic>
      <xdr:pic>
        <xdr:nvPicPr>
          <xdr:cNvPr id="56" name="Picture 55">
            <a:extLst>
              <a:ext uri="{FF2B5EF4-FFF2-40B4-BE49-F238E27FC236}">
                <a16:creationId xmlns:a16="http://schemas.microsoft.com/office/drawing/2014/main" id="{3B02655F-175B-739B-EFA2-9A0BABF770E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12241" y="176916"/>
            <a:ext cx="915918" cy="931668"/>
          </a:xfrm>
          <a:prstGeom prst="rect">
            <a:avLst/>
          </a:prstGeom>
        </xdr:spPr>
      </xdr:pic>
      <xdr:graphicFrame macro="">
        <xdr:nvGraphicFramePr>
          <xdr:cNvPr id="1025" name="Chart 1024">
            <a:extLst>
              <a:ext uri="{FF2B5EF4-FFF2-40B4-BE49-F238E27FC236}">
                <a16:creationId xmlns:a16="http://schemas.microsoft.com/office/drawing/2014/main" id="{00437F54-CB23-4885-A90C-B09E7B6B0F94}"/>
              </a:ext>
            </a:extLst>
          </xdr:cNvPr>
          <xdr:cNvGraphicFramePr>
            <a:graphicFrameLocks/>
          </xdr:cNvGraphicFramePr>
        </xdr:nvGraphicFramePr>
        <xdr:xfrm>
          <a:off x="4811976" y="4357779"/>
          <a:ext cx="4460696" cy="2506807"/>
        </xdr:xfrm>
        <a:graphic>
          <a:graphicData uri="http://schemas.openxmlformats.org/drawingml/2006/chart">
            <c:chart xmlns:c="http://schemas.openxmlformats.org/drawingml/2006/chart" xmlns:r="http://schemas.openxmlformats.org/officeDocument/2006/relationships" r:id="rId6"/>
          </a:graphicData>
        </a:graphic>
      </xdr:graphicFrame>
      <mc:AlternateContent xmlns:mc="http://schemas.openxmlformats.org/markup-compatibility/2006">
        <mc:Choice xmlns:a14="http://schemas.microsoft.com/office/drawing/2010/main" Requires="a14">
          <xdr:graphicFrame macro="">
            <xdr:nvGraphicFramePr>
              <xdr:cNvPr id="1037" name="Promotion">
                <a:extLst>
                  <a:ext uri="{FF2B5EF4-FFF2-40B4-BE49-F238E27FC236}">
                    <a16:creationId xmlns:a16="http://schemas.microsoft.com/office/drawing/2014/main" id="{95464559-E9B5-4464-AA8F-B8063792AC20}"/>
                  </a:ext>
                </a:extLst>
              </xdr:cNvPr>
              <xdr:cNvGraphicFramePr/>
            </xdr:nvGraphicFramePr>
            <xdr:xfrm>
              <a:off x="7558071" y="301446"/>
              <a:ext cx="4092933" cy="654823"/>
            </xdr:xfrm>
            <a:graphic>
              <a:graphicData uri="http://schemas.microsoft.com/office/drawing/2010/slicer">
                <sle:slicer xmlns:sle="http://schemas.microsoft.com/office/drawing/2010/slicer" name="Promotion"/>
              </a:graphicData>
            </a:graphic>
          </xdr:graphicFrame>
        </mc:Choice>
        <mc:Fallback>
          <xdr:sp macro="" textlink="">
            <xdr:nvSpPr>
              <xdr:cNvPr id="0" name=""/>
              <xdr:cNvSpPr>
                <a:spLocks noTextEdit="1"/>
              </xdr:cNvSpPr>
            </xdr:nvSpPr>
            <xdr:spPr>
              <a:xfrm>
                <a:off x="9954197" y="438511"/>
                <a:ext cx="4004104" cy="6679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13</xdr:col>
      <xdr:colOff>231827</xdr:colOff>
      <xdr:row>17</xdr:row>
      <xdr:rowOff>60478</xdr:rowOff>
    </xdr:from>
    <xdr:to>
      <xdr:col>16</xdr:col>
      <xdr:colOff>141112</xdr:colOff>
      <xdr:row>23</xdr:row>
      <xdr:rowOff>90715</xdr:rowOff>
    </xdr:to>
    <xdr:sp macro="" textlink="">
      <xdr:nvSpPr>
        <xdr:cNvPr id="2" name="Rectangle: Rounded Corners 1">
          <a:extLst>
            <a:ext uri="{FF2B5EF4-FFF2-40B4-BE49-F238E27FC236}">
              <a16:creationId xmlns:a16="http://schemas.microsoft.com/office/drawing/2014/main" id="{C3D269B5-3CB4-930E-A8CF-3839DF085E3E}"/>
            </a:ext>
          </a:extLst>
        </xdr:cNvPr>
        <xdr:cNvSpPr/>
      </xdr:nvSpPr>
      <xdr:spPr>
        <a:xfrm>
          <a:off x="8093732" y="3144764"/>
          <a:ext cx="1723570" cy="1118808"/>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40318</xdr:colOff>
      <xdr:row>20</xdr:row>
      <xdr:rowOff>161269</xdr:rowOff>
    </xdr:from>
    <xdr:to>
      <xdr:col>16</xdr:col>
      <xdr:colOff>141112</xdr:colOff>
      <xdr:row>23</xdr:row>
      <xdr:rowOff>70553</xdr:rowOff>
    </xdr:to>
    <xdr:sp macro="" textlink="Analysis!I3">
      <xdr:nvSpPr>
        <xdr:cNvPr id="4" name="TextBox 3">
          <a:extLst>
            <a:ext uri="{FF2B5EF4-FFF2-40B4-BE49-F238E27FC236}">
              <a16:creationId xmlns:a16="http://schemas.microsoft.com/office/drawing/2014/main" id="{395583D2-7A6E-751B-9770-FE871BF5DBED}"/>
            </a:ext>
          </a:extLst>
        </xdr:cNvPr>
        <xdr:cNvSpPr txBox="1"/>
      </xdr:nvSpPr>
      <xdr:spPr>
        <a:xfrm>
          <a:off x="9111747" y="3789840"/>
          <a:ext cx="705555" cy="453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E6AC057-2FB8-4BAB-BE3D-90BE038E2447}" type="TxLink">
            <a:rPr lang="en-US" sz="2000" b="1" i="0" u="none" strike="noStrike">
              <a:solidFill>
                <a:schemeClr val="bg1"/>
              </a:solidFill>
              <a:latin typeface="Calibri"/>
              <a:ea typeface="Calibri"/>
              <a:cs typeface="Calibri"/>
            </a:rPr>
            <a:t>372</a:t>
          </a:fld>
          <a:endParaRPr lang="en-US" sz="2000" b="1">
            <a:solidFill>
              <a:schemeClr val="bg1"/>
            </a:solidFill>
          </a:endParaRPr>
        </a:p>
      </xdr:txBody>
    </xdr:sp>
    <xdr:clientData/>
  </xdr:twoCellAnchor>
  <xdr:twoCellAnchor>
    <xdr:from>
      <xdr:col>13</xdr:col>
      <xdr:colOff>302380</xdr:colOff>
      <xdr:row>17</xdr:row>
      <xdr:rowOff>90714</xdr:rowOff>
    </xdr:from>
    <xdr:to>
      <xdr:col>15</xdr:col>
      <xdr:colOff>534205</xdr:colOff>
      <xdr:row>21</xdr:row>
      <xdr:rowOff>100794</xdr:rowOff>
    </xdr:to>
    <xdr:sp macro="" textlink="">
      <xdr:nvSpPr>
        <xdr:cNvPr id="7" name="TextBox 6">
          <a:extLst>
            <a:ext uri="{FF2B5EF4-FFF2-40B4-BE49-F238E27FC236}">
              <a16:creationId xmlns:a16="http://schemas.microsoft.com/office/drawing/2014/main" id="{102BAB4A-1BCF-2139-3675-EC3AB4DFFE1F}"/>
            </a:ext>
          </a:extLst>
        </xdr:cNvPr>
        <xdr:cNvSpPr txBox="1"/>
      </xdr:nvSpPr>
      <xdr:spPr>
        <a:xfrm>
          <a:off x="8164285" y="3175000"/>
          <a:ext cx="1441349" cy="7357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rgbClr val="002060"/>
              </a:solidFill>
            </a:rPr>
            <a:t>Returned</a:t>
          </a:r>
          <a:r>
            <a:rPr lang="en-US" sz="2000" b="1" baseline="0">
              <a:solidFill>
                <a:srgbClr val="002060"/>
              </a:solidFill>
            </a:rPr>
            <a:t> orders</a:t>
          </a:r>
          <a:endParaRPr lang="en-US" sz="2000" b="1">
            <a:solidFill>
              <a:srgbClr val="002060"/>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314.458913078706" createdVersion="8" refreshedVersion="8" minRefreshableVersion="3" recordCount="1501" xr:uid="{64B3F522-5939-4EF5-88C9-2B958DDE969A}">
  <cacheSource type="worksheet">
    <worksheetSource ref="A1:T1048576" sheet="Raw Data"/>
  </cacheSource>
  <cacheFields count="20">
    <cacheField name="Date" numFmtId="0">
      <sharedItems containsNonDate="0" containsDate="1" containsString="0" containsBlank="1" minDate="2023-01-01T00:00:00" maxDate="2025-07-01T00:00:00"/>
    </cacheField>
    <cacheField name="Region" numFmtId="0">
      <sharedItems containsBlank="1" count="12">
        <s v="Kenya"/>
        <s v="South Africa"/>
        <s v="Egypt"/>
        <s v="DRC"/>
        <s v="Nigeria"/>
        <m/>
        <s v="East" u="1"/>
        <s v="South" u="1"/>
        <s v="North" u="1"/>
        <s v="Central" u="1"/>
        <s v="West" u="1"/>
        <s v="Formula1" f="1"/>
      </sharedItems>
    </cacheField>
    <cacheField name="Product" numFmtId="0">
      <sharedItems containsBlank="1" count="8">
        <s v="Laptop"/>
        <s v="Phone"/>
        <s v="Desk"/>
        <s v="Chair"/>
        <s v="Monitor"/>
        <s v="Tablet"/>
        <s v="Printer"/>
        <m/>
      </sharedItems>
    </cacheField>
    <cacheField name="Quantity" numFmtId="1">
      <sharedItems containsString="0" containsBlank="1" containsNumber="1" containsInteger="1" minValue="1" maxValue="20"/>
    </cacheField>
    <cacheField name="UnitPrice" numFmtId="165">
      <sharedItems containsString="0" containsBlank="1" containsNumber="1" minValue="5.52" maxValue="599.72"/>
    </cacheField>
    <cacheField name="StoreLocation" numFmtId="0">
      <sharedItems containsBlank="1"/>
    </cacheField>
    <cacheField name="CustomerType" numFmtId="0">
      <sharedItems containsBlank="1"/>
    </cacheField>
    <cacheField name="Discount" numFmtId="9">
      <sharedItems containsString="0" containsBlank="1" containsNumber="1" minValue="0" maxValue="0.15" count="5">
        <n v="0"/>
        <n v="0.1"/>
        <n v="0.15"/>
        <n v="0.05"/>
        <m/>
      </sharedItems>
    </cacheField>
    <cacheField name="Salesperson" numFmtId="0">
      <sharedItems containsBlank="1" count="7">
        <s v="Eva"/>
        <s v="Alice"/>
        <s v="Frank"/>
        <s v="Carlos"/>
        <s v="Diana"/>
        <s v="Bob"/>
        <m/>
      </sharedItems>
    </cacheField>
    <cacheField name="TotalPrice" numFmtId="165">
      <sharedItems containsString="0" containsBlank="1" containsNumber="1" minValue="6.9699999999999989" maxValue="11077" count="1501">
        <n v="2290.4"/>
        <n v="544.01"/>
        <n v="4361.8680000000004"/>
        <n v="5887.7460000000001"/>
        <n v="4279.68"/>
        <n v="654.65299999999991"/>
        <n v="110.25"/>
        <n v="842.06100000000004"/>
        <n v="1231.3140000000001"/>
        <n v="1454.76"/>
        <n v="6671.9474999999993"/>
        <n v="3545.6849999999999"/>
        <n v="114.5035"/>
        <n v="134.15550000000002"/>
        <n v="2808.8249999999998"/>
        <n v="2631.8040000000001"/>
        <n v="4486.09"/>
        <n v="5989.3130000000001"/>
        <n v="8823.6799999999985"/>
        <n v="431.62"/>
        <n v="3190.5"/>
        <n v="4160.107"/>
        <n v="5536.3"/>
        <n v="4821.7440000000006"/>
        <n v="1440.05"/>
        <n v="7309.7699999999995"/>
        <n v="101.73"/>
        <n v="1117.96"/>
        <n v="151.76750000000001"/>
        <n v="424.863"/>
        <n v="3675.4800000000005"/>
        <n v="2586.8815"/>
        <n v="389.88"/>
        <n v="8100.33"/>
        <n v="1903.048"/>
        <n v="1149.96"/>
        <n v="2934.4454999999998"/>
        <n v="1791.0094999999997"/>
        <n v="5394.4380000000001"/>
        <n v="855.57599999999991"/>
        <n v="2116.44"/>
        <n v="1238.23"/>
        <n v="434.04"/>
        <n v="1561.654"/>
        <n v="790.51400000000001"/>
        <n v="4841.28"/>
        <n v="309.76549999999997"/>
        <n v="3961.136"/>
        <n v="743.17500000000007"/>
        <n v="2889.558"/>
        <n v="772.08299999999997"/>
        <n v="503.38"/>
        <n v="242.46900000000002"/>
        <n v="705.47"/>
        <n v="2695.0440000000003"/>
        <n v="2432.2374999999997"/>
        <n v="2113.7460000000001"/>
        <n v="451.71"/>
        <n v="3923.7660000000005"/>
        <n v="5418.8189999999995"/>
        <n v="5016.0199999999995"/>
        <n v="2413.44"/>
        <n v="1283.5530000000001"/>
        <n v="642.6"/>
        <n v="7667.55"/>
        <n v="179.76600000000002"/>
        <n v="2329.9699999999998"/>
        <n v="3085.2959999999998"/>
        <n v="143.46899999999999"/>
        <n v="523.46400000000006"/>
        <n v="4186.59"/>
        <n v="9864.18"/>
        <n v="5982.9574999999995"/>
        <n v="2418.6239999999998"/>
        <n v="483.53100000000001"/>
        <n v="4985.1899999999996"/>
        <n v="5613.5519999999997"/>
        <n v="2344.2150000000001"/>
        <n v="3138.2000000000003"/>
        <n v="6686.67"/>
        <n v="318.25"/>
        <n v="1772.0374999999999"/>
        <n v="2435.5529999999999"/>
        <n v="6990.24"/>
        <n v="2202.52"/>
        <n v="7340.94"/>
        <n v="237.75"/>
        <n v="9870.1200000000008"/>
        <n v="7992.616"/>
        <n v="5862.165"/>
        <n v="9575.1450000000004"/>
        <n v="1367.24"/>
        <n v="5040.329999999999"/>
        <n v="4629.8999999999996"/>
        <n v="3060.596"/>
        <n v="4998.7479999999996"/>
        <n v="307.63849999999996"/>
        <n v="5030.7"/>
        <n v="8358.56"/>
        <n v="7565.4674999999997"/>
        <n v="3756.4559999999997"/>
        <n v="663"/>
        <n v="1074.1649999999997"/>
        <n v="1698.6000000000001"/>
        <n v="2222.297"/>
        <n v="520.70399999999995"/>
        <n v="140.48599999999999"/>
        <n v="6616.6559999999999"/>
        <n v="504.15000000000003"/>
        <n v="446.72599999999994"/>
        <n v="604.64"/>
        <n v="1202.2739999999999"/>
        <n v="531.95249999999987"/>
        <n v="8216.4060000000009"/>
        <n v="1078"/>
        <n v="3771"/>
        <n v="2512.6560000000004"/>
        <n v="549.36599999999999"/>
        <n v="1984.65"/>
        <n v="4831.415"/>
        <n v="2570.1390000000001"/>
        <n v="2819.61"/>
        <n v="479.56499999999994"/>
        <n v="92.649999999999991"/>
        <n v="2590.4"/>
        <n v="5841.6639999999998"/>
        <n v="2228.4960000000001"/>
        <n v="117.05"/>
        <n v="8311.2999999999993"/>
        <n v="3009.5239999999999"/>
        <n v="5117.6400000000003"/>
        <n v="6197.0999999999995"/>
        <n v="5633.28"/>
        <n v="3308.6410000000001"/>
        <n v="2148.1019999999999"/>
        <n v="2790.7200000000003"/>
        <n v="3592.9854999999998"/>
        <n v="2271.9510000000005"/>
        <n v="811.98400000000004"/>
        <n v="842.66899999999998"/>
        <n v="3100.9614999999999"/>
        <n v="4604.0929999999998"/>
        <n v="6484.2800000000007"/>
        <n v="2338.4519999999998"/>
        <n v="654.64"/>
        <n v="7820.6374999999998"/>
        <n v="3081.24"/>
        <n v="5085.4139999999998"/>
        <n v="3005.895"/>
        <n v="3445.2000000000003"/>
        <n v="985.03950000000009"/>
        <n v="1129.95"/>
        <n v="5313.5199999999995"/>
        <n v="5357.0595000000003"/>
        <n v="3186.6000000000004"/>
        <n v="551.13299999999992"/>
        <n v="1424.979"/>
        <n v="4075.2599999999998"/>
        <n v="2800.96"/>
        <n v="1854.9699999999998"/>
        <n v="3784.3"/>
        <n v="478.99199999999996"/>
        <n v="79.599999999999994"/>
        <n v="1634.992"/>
        <n v="1241.4599999999998"/>
        <n v="832.05000000000007"/>
        <n v="8806.69"/>
        <n v="1893.2549999999999"/>
        <n v="6521.75"/>
        <n v="485.72399999999993"/>
        <n v="1294.2799999999997"/>
        <n v="1774.548"/>
        <n v="2926.6200000000003"/>
        <n v="9227.94"/>
        <n v="2759.4839999999995"/>
        <n v="8525.2619999999988"/>
        <n v="744.14449999999988"/>
        <n v="3888.56"/>
        <n v="2997.1619999999998"/>
        <n v="5474.04"/>
        <n v="1096.848"/>
        <n v="1359.585"/>
        <n v="157.79999999999998"/>
        <n v="1108.384"/>
        <n v="7215.0029999999997"/>
        <n v="6458.5350000000008"/>
        <n v="4515.66"/>
        <n v="1472.8035"/>
        <n v="900.20099999999991"/>
        <n v="286.86"/>
        <n v="6138.9"/>
        <n v="435.85"/>
        <n v="3139.4159999999997"/>
        <n v="728.53499999999997"/>
        <n v="1899.9540000000002"/>
        <n v="1160.46"/>
        <n v="2961.0720000000001"/>
        <n v="1736.7"/>
        <n v="1313.604"/>
        <n v="6723.6480000000001"/>
        <n v="2670.8869999999997"/>
        <n v="234.94"/>
        <n v="3532.6935000000003"/>
        <n v="3767.3959999999997"/>
        <n v="3782.5679999999998"/>
        <n v="1102.3610000000001"/>
        <n v="4291.4399999999996"/>
        <n v="94.33"/>
        <n v="7055.1360000000004"/>
        <n v="2096.498"/>
        <n v="8605.9865000000009"/>
        <n v="162.108"/>
        <n v="3075.2999999999997"/>
        <n v="4650.3499999999995"/>
        <n v="1010.1240000000001"/>
        <n v="9000.32"/>
        <n v="306.57600000000002"/>
        <n v="4605.402"/>
        <n v="220.8895"/>
        <n v="5096.75"/>
        <n v="2661.3"/>
        <n v="8431.3259999999991"/>
        <n v="139.916"/>
        <n v="4217.1899999999996"/>
        <n v="7630.875"/>
        <n v="492.48149999999998"/>
        <n v="5777.96"/>
        <n v="5883.768"/>
        <n v="215.73"/>
        <n v="10949.699999999999"/>
        <n v="844.19999999999993"/>
        <n v="731.04399999999998"/>
        <n v="6266.5609999999997"/>
        <n v="257.94000000000005"/>
        <n v="7644.0329999999994"/>
        <n v="205.75799999999998"/>
        <n v="6944.9589999999998"/>
        <n v="2640.2400000000002"/>
        <n v="2819.2860000000001"/>
        <n v="2831.8950000000004"/>
        <n v="651.67999999999995"/>
        <n v="5150.42"/>
        <n v="370.38600000000002"/>
        <n v="1657.37"/>
        <n v="2985.4549999999999"/>
        <n v="6944.3640000000005"/>
        <n v="236.03399999999999"/>
        <n v="3570.66"/>
        <n v="2944.962"/>
        <n v="1154.6490000000001"/>
        <n v="3383.0680000000002"/>
        <n v="4420.1190000000006"/>
        <n v="6072.66"/>
        <n v="369.79200000000003"/>
        <n v="1908.2"/>
        <n v="3377.58"/>
        <n v="365.79999999999995"/>
        <n v="1462.02"/>
        <n v="3766.1039999999998"/>
        <n v="299.04699999999997"/>
        <n v="636.803"/>
        <n v="2945.88"/>
        <n v="1072.2839999999999"/>
        <n v="1826.3700000000001"/>
        <n v="1291.1415"/>
        <n v="1054.348"/>
        <n v="686.10300000000007"/>
        <n v="6428.9159999999993"/>
        <n v="4846.2300000000005"/>
        <n v="6823.4400000000005"/>
        <n v="1061.106"/>
        <n v="7389.6450000000004"/>
        <n v="1848.1550000000002"/>
        <n v="6785.1374999999998"/>
        <n v="400.63499999999999"/>
        <n v="105.264"/>
        <n v="1918.404"/>
        <n v="2122.2719999999999"/>
        <n v="971.04"/>
        <n v="1007.3340000000001"/>
        <n v="837.57600000000002"/>
        <n v="1962.3949999999998"/>
        <n v="2105.7049999999999"/>
        <n v="6732.84"/>
        <n v="3337.335"/>
        <n v="4637.8620000000001"/>
        <n v="3195.24"/>
        <n v="4481.7440000000006"/>
        <n v="1020.5999999999999"/>
        <n v="3437.2045000000003"/>
        <n v="2894.6"/>
        <n v="1233.684"/>
        <n v="6258.36"/>
        <n v="7561.2684999999992"/>
        <n v="67.396500000000003"/>
        <n v="2657.61"/>
        <n v="2609.1900000000005"/>
        <n v="405.46950000000004"/>
        <n v="5045.7824999999993"/>
        <n v="7171.4"/>
        <n v="504.33599999999996"/>
        <n v="248.8"/>
        <n v="191.80800000000002"/>
        <n v="4699.2079999999996"/>
        <n v="5600.4779999999992"/>
        <n v="2360.79"/>
        <n v="1436.16"/>
        <n v="5889.07"/>
        <n v="126.19800000000001"/>
        <n v="6065.02"/>
        <n v="8539.2000000000007"/>
        <n v="3233.9519999999998"/>
        <n v="8447.0959999999995"/>
        <n v="6398.7999999999993"/>
        <n v="404.5575"/>
        <n v="358.20699999999999"/>
        <n v="2478.357"/>
        <n v="1482.39"/>
        <n v="6056.64"/>
        <n v="186.96600000000001"/>
        <n v="4015.0799999999995"/>
        <n v="2354.0335"/>
        <n v="153.30000000000001"/>
        <n v="6707.1120000000001"/>
        <n v="6631.9119999999994"/>
        <n v="1880.4014999999999"/>
        <n v="1322.6850000000002"/>
        <n v="1861.7039999999997"/>
        <n v="403.07849999999996"/>
        <n v="3521.3939999999998"/>
        <n v="1117.53"/>
        <n v="713.41200000000003"/>
        <n v="2469.402"/>
        <n v="622.09"/>
        <n v="1207.6400000000001"/>
        <n v="1945.575"/>
        <n v="10649.5"/>
        <n v="1497.375"/>
        <n v="552.93299999999999"/>
        <n v="9384.32"/>
        <n v="1677.28"/>
        <n v="8618.112000000001"/>
        <n v="2795.9639999999999"/>
        <n v="2833.4749999999999"/>
        <n v="2727.9360000000001"/>
        <n v="1928.8799999999999"/>
        <n v="649.08900000000006"/>
        <n v="965.78700000000003"/>
        <n v="408.15000000000003"/>
        <n v="729.26"/>
        <n v="3990.0699999999997"/>
        <n v="9998.3700000000008"/>
        <n v="2002.6679999999999"/>
        <n v="7665.4169999999995"/>
        <n v="8933.3639999999996"/>
        <n v="175.5"/>
        <n v="5722.7439999999997"/>
        <n v="6671.3399999999992"/>
        <n v="8133.4440000000004"/>
        <n v="2788.578"/>
        <n v="3591.3779999999997"/>
        <n v="26.219999999999995"/>
        <n v="6419.25"/>
        <n v="2417.94"/>
        <n v="2994.9509999999996"/>
        <n v="1723.5450000000001"/>
        <n v="8265.57"/>
        <n v="2112.268"/>
        <n v="2888.76"/>
        <n v="1414.8"/>
        <n v="447.75"/>
        <n v="2675.1240000000003"/>
        <n v="1692.32"/>
        <n v="3409.8"/>
        <n v="1481.7329999999999"/>
        <n v="156.20400000000001"/>
        <n v="2324.5074999999997"/>
        <n v="2206.2599999999998"/>
        <n v="401.92599999999999"/>
        <n v="5455.7929999999997"/>
        <n v="2147.355"/>
        <n v="234.95400000000001"/>
        <n v="70.224000000000004"/>
        <n v="502.88400000000001"/>
        <n v="1683.18"/>
        <n v="7294.2899999999991"/>
        <n v="3259.7000000000003"/>
        <n v="7978.44"/>
        <n v="2426.9699999999998"/>
        <n v="526.83199999999988"/>
        <n v="2372.1119999999996"/>
        <n v="264.47999999999996"/>
        <n v="608.74450000000002"/>
        <n v="2277.5155"/>
        <n v="6442.253999999999"/>
        <n v="2697.42"/>
        <n v="2007.09"/>
        <n v="3473.7290000000003"/>
        <n v="1181.18"/>
        <n v="436.2"/>
        <n v="2947.2"/>
        <n v="5700.45"/>
        <n v="1190.1030000000001"/>
        <n v="5510.1674999999996"/>
        <n v="6221.7090000000007"/>
        <n v="5470.9264999999996"/>
        <n v="7377.5"/>
        <n v="7042.7999999999993"/>
        <n v="336.67649999999998"/>
        <n v="2231.3219999999997"/>
        <n v="1752.0199999999998"/>
        <n v="5221.9749999999995"/>
        <n v="596.15599999999995"/>
        <n v="9095.8700000000008"/>
        <n v="1552.865"/>
        <n v="3377.3049999999998"/>
        <n v="3687.453"/>
        <n v="1397.4"/>
        <n v="2459.0880000000002"/>
        <n v="6.9699999999999989"/>
        <n v="4598.424"/>
        <n v="2180.5200000000004"/>
        <n v="8514.4699999999993"/>
        <n v="56.231999999999999"/>
        <n v="3091.7559999999999"/>
        <n v="1042.0999999999999"/>
        <n v="2360.6965"/>
        <n v="8175.4400000000005"/>
        <n v="2607.5520000000001"/>
        <n v="3319.52"/>
        <n v="7075.52"/>
        <n v="7501.9139999999998"/>
        <n v="894.03000000000009"/>
        <n v="1901.5604999999996"/>
        <n v="6461.8274999999994"/>
        <n v="8689.9920000000002"/>
        <n v="3005.44"/>
        <n v="6522.39"/>
        <n v="448.51500000000004"/>
        <n v="6962.2460000000001"/>
        <n v="146.79899999999998"/>
        <n v="2405.8739999999998"/>
        <n v="5205.3065000000006"/>
        <n v="1355.5620000000001"/>
        <n v="6451.8120000000008"/>
        <n v="2105.2799999999997"/>
        <n v="7219.9"/>
        <n v="2580.768"/>
        <n v="1783.92"/>
        <n v="6261.848"/>
        <n v="1588.2574999999999"/>
        <n v="1529.2860000000001"/>
        <n v="4288.24"/>
        <n v="4412.9250000000002"/>
        <n v="1481.652"/>
        <n v="475.47899999999998"/>
        <n v="1024.48"/>
        <n v="2215.2194999999997"/>
        <n v="9331.85"/>
        <n v="1801.6999999999998"/>
        <n v="5342.4000000000005"/>
        <n v="1618.4339999999997"/>
        <n v="374.33"/>
        <n v="6506.24"/>
        <n v="2579.7199999999998"/>
        <n v="4610.3999999999996"/>
        <n v="1616.6659999999999"/>
        <n v="1096.038"/>
        <n v="2434.14"/>
        <n v="6771.5999999999995"/>
        <n v="839.952"/>
        <n v="11077"/>
        <n v="949.68900000000008"/>
        <n v="1065.02"/>
        <n v="241.37100000000001"/>
        <n v="6251.7924999999996"/>
        <n v="1550.3040000000001"/>
        <n v="6545.3760000000002"/>
        <n v="4332.3609999999999"/>
        <n v="2858.5709999999999"/>
        <n v="1138.1399999999999"/>
        <n v="875.14"/>
        <n v="6977.5599999999995"/>
        <n v="3456.96"/>
        <n v="35.991"/>
        <n v="1377.0900000000001"/>
        <n v="10531"/>
        <n v="3550.7009999999996"/>
        <n v="779.875"/>
        <n v="184.41"/>
        <n v="800.44199999999989"/>
        <n v="4628.5304999999998"/>
        <n v="1409.0399999999997"/>
        <n v="3744.4724999999994"/>
        <n v="630.32599999999991"/>
        <n v="1188.432"/>
        <n v="1726.3799999999999"/>
        <n v="2243.748"/>
        <n v="464.57599999999996"/>
        <n v="517.37400000000002"/>
        <n v="5175.8625000000002"/>
        <n v="430.61"/>
        <n v="2540.25"/>
        <n v="5778.8185000000003"/>
        <n v="3981.8250000000003"/>
        <n v="2965.7340000000004"/>
        <n v="6825.1684999999998"/>
        <n v="5371.47"/>
        <n v="2079.54"/>
        <n v="8107.1280000000006"/>
        <n v="1910.8500000000001"/>
        <n v="932.12700000000007"/>
        <n v="1148.0525"/>
        <n v="816.255"/>
        <n v="6719.2739999999994"/>
        <n v="982.4"/>
        <n v="1297.32"/>
        <n v="578.55250000000001"/>
        <n v="2201.085"/>
        <n v="1657.44"/>
        <n v="705.12599999999998"/>
        <n v="5558.2979999999998"/>
        <n v="8118.7"/>
        <n v="8009.311999999999"/>
        <n v="2319.0299999999997"/>
        <n v="404.59999999999997"/>
        <n v="1836.3799999999999"/>
        <n v="639.15750000000003"/>
        <n v="5436.1185000000005"/>
        <n v="193.977"/>
        <n v="477.36"/>
        <n v="2634.3199999999997"/>
        <n v="5006.9844999999987"/>
        <n v="2261.6035000000002"/>
        <n v="750.33"/>
        <n v="6321.84"/>
        <n v="10351.800000000001"/>
        <n v="2343.7440000000001"/>
        <n v="1869.9659999999999"/>
        <n v="952.47"/>
        <n v="4990.32"/>
        <n v="1278.2639999999999"/>
        <n v="6792.94"/>
        <n v="3184.3620000000001"/>
        <n v="983.71"/>
        <n v="4661.5275000000001"/>
        <n v="6017.4900000000007"/>
        <n v="4106.34"/>
        <n v="3377.8149999999996"/>
        <n v="196.7"/>
        <n v="3490.0199999999995"/>
        <n v="548.90049999999997"/>
        <n v="4978.6650000000009"/>
        <n v="190.60400000000001"/>
        <n v="109.55"/>
        <n v="3427.65"/>
        <n v="6459.31"/>
        <n v="8480.0249999999996"/>
        <n v="1046.0865000000001"/>
        <n v="496.15000000000003"/>
        <n v="4528.62"/>
        <n v="2244.2294999999999"/>
        <n v="1807.5505000000001"/>
        <n v="4483.75"/>
        <n v="647.71199999999999"/>
        <n v="528"/>
        <n v="1535.086"/>
        <n v="309.45599999999996"/>
        <n v="168.28199999999998"/>
        <n v="1507.8304999999998"/>
        <n v="9958.14"/>
        <n v="1951.9650000000001"/>
        <n v="1486.422"/>
        <n v="6281.84"/>
        <n v="1136.72"/>
        <n v="1268.9054999999998"/>
        <n v="180.12"/>
        <n v="375.83600000000001"/>
        <n v="419.09249999999997"/>
        <n v="3396.3300000000004"/>
        <n v="837.25850000000003"/>
        <n v="1385.28"/>
        <n v="84.5"/>
        <n v="566.32000000000005"/>
        <n v="8945.9100000000017"/>
        <n v="79.117999999999995"/>
        <n v="1984.1850000000002"/>
        <n v="2784.5"/>
        <n v="5083.1269999999995"/>
        <n v="3092.1170000000002"/>
        <n v="216.89449999999999"/>
        <n v="307.33449999999999"/>
        <n v="461.88049999999998"/>
        <n v="1520.019"/>
        <n v="812.16000000000008"/>
        <n v="832.13349999999991"/>
        <n v="3034.2"/>
        <n v="2848.1"/>
        <n v="1639.8424999999997"/>
        <n v="564.12900000000002"/>
        <n v="11.142000000000001"/>
        <n v="3172.4549999999995"/>
        <n v="376.34999999999997"/>
        <n v="367.60500000000008"/>
        <n v="2450.9699999999998"/>
        <n v="3820.9199999999996"/>
        <n v="5328.9900000000007"/>
        <n v="355.6825"/>
        <n v="3029.4"/>
        <n v="8229.76"/>
        <n v="534.96"/>
        <n v="2780"/>
        <n v="4198.8239999999996"/>
        <n v="1088.9280000000001"/>
        <n v="6936.0069999999996"/>
        <n v="1798.0500000000002"/>
        <n v="1472.37"/>
        <n v="6081.8519999999999"/>
        <n v="7250.3239999999996"/>
        <n v="1467.44"/>
        <n v="1887.4079999999999"/>
        <n v="1528.2150000000001"/>
        <n v="1153.6200000000001"/>
        <n v="3106.9844999999996"/>
        <n v="5444.4539999999997"/>
        <n v="2073.924"/>
        <n v="10084.400000000001"/>
        <n v="1220.058"/>
        <n v="731.24099999999999"/>
        <n v="1117.44"/>
        <n v="4730.7259999999997"/>
        <n v="212.364"/>
        <n v="3024.5039999999999"/>
        <n v="1091.8799999999999"/>
        <n v="1419.8129999999999"/>
        <n v="7200.9000000000005"/>
        <n v="124.3265"/>
        <n v="1244.298"/>
        <n v="5249.5560000000005"/>
        <n v="688.36999999999989"/>
        <n v="1592.78"/>
        <n v="179.2"/>
        <n v="999.39599999999996"/>
        <n v="3770.3700000000003"/>
        <n v="3637.08"/>
        <n v="1889.55"/>
        <n v="2042.136"/>
        <n v="115.66799999999999"/>
        <n v="3850.578"/>
        <n v="7103.0399999999991"/>
        <n v="619.97950000000003"/>
        <n v="4480.6499999999996"/>
        <n v="667.71749999999997"/>
        <n v="562.62599999999998"/>
        <n v="3747.4839999999995"/>
        <n v="1749.48"/>
        <n v="103.13"/>
        <n v="514.80499999999995"/>
        <n v="3000.5909999999999"/>
        <n v="645.91450000000009"/>
        <n v="2557.08"/>
        <n v="1186.4159999999999"/>
        <n v="4838.4639999999999"/>
        <n v="3415.6484999999998"/>
        <n v="3727.0079999999998"/>
        <n v="2331.4139999999998"/>
        <n v="5265.24"/>
        <n v="4817.34"/>
        <n v="660.85799999999995"/>
        <n v="5239.82"/>
        <n v="3071.16"/>
        <n v="324.02849999999995"/>
        <n v="162.47749999999996"/>
        <n v="1581.02"/>
        <n v="4164.9519999999993"/>
        <n v="8298.6299999999992"/>
        <n v="7084.701"/>
        <n v="385.47199999999998"/>
        <n v="1203.107"/>
        <n v="881.44999999999993"/>
        <n v="1396.614"/>
        <n v="2076.9154999999996"/>
        <n v="1638.72"/>
        <n v="1610.91"/>
        <n v="7465.6350000000002"/>
        <n v="5126.76"/>
        <n v="8015.2109999999993"/>
        <n v="626.75099999999998"/>
        <n v="2743.596"/>
        <n v="336.89750000000004"/>
        <n v="1659.7440000000001"/>
        <n v="1347.03"/>
        <n v="506.41"/>
        <n v="1764.0899999999997"/>
        <n v="4361.01"/>
        <n v="4230.9960000000001"/>
        <n v="2500.5329999999999"/>
        <n v="2463.8849999999998"/>
        <n v="4186.5599999999995"/>
        <n v="7290.45"/>
        <n v="1893.171"/>
        <n v="1772.6579999999999"/>
        <n v="5716.75"/>
        <n v="2269.4264999999996"/>
        <n v="3135.0239999999999"/>
        <n v="532.20000000000005"/>
        <n v="479.38"/>
        <n v="286.488"/>
        <n v="3536.2799999999997"/>
        <n v="3164.58"/>
        <n v="6513.5839999999998"/>
        <n v="6765.1399999999994"/>
        <n v="3884.2109999999998"/>
        <n v="190.02600000000001"/>
        <n v="529.68600000000004"/>
        <n v="271.56650000000002"/>
        <n v="3244.6680000000001"/>
        <n v="261.79200000000003"/>
        <n v="1749.4"/>
        <n v="7123.6800000000012"/>
        <n v="4511.9870000000001"/>
        <n v="6158.5920000000006"/>
        <n v="3803.3550000000009"/>
        <n v="2775"/>
        <n v="6512.0219999999999"/>
        <n v="1512.558"/>
        <n v="3928.7534999999993"/>
        <n v="155.60999999999999"/>
        <n v="3746.7810000000004"/>
        <n v="382.09499999999997"/>
        <n v="2029.2930000000001"/>
        <n v="417.52800000000002"/>
        <n v="3086.3924999999995"/>
        <n v="91.238"/>
        <n v="480.85199999999998"/>
        <n v="250.28250000000003"/>
        <n v="705.09"/>
        <n v="1449.0360000000001"/>
        <n v="2010.3139999999999"/>
        <n v="203.90799999999999"/>
        <n v="475.91199999999998"/>
        <n v="8878.9470000000001"/>
        <n v="166.7535"/>
        <n v="7712.4240000000009"/>
        <n v="7133.71"/>
        <n v="507.98399999999998"/>
        <n v="596.12"/>
        <n v="1642.1794999999997"/>
        <n v="6001.1280000000006"/>
        <n v="4482.1759999999995"/>
        <n v="9625.8845000000001"/>
        <n v="1094.4000000000001"/>
        <n v="3809.0249999999996"/>
        <n v="2484.8390000000004"/>
        <n v="2116.1770000000001"/>
        <n v="2811.3480000000004"/>
        <n v="3153.415"/>
        <n v="987.69600000000003"/>
        <n v="2748.24"/>
        <n v="5467.3189999999995"/>
        <n v="296.62200000000001"/>
        <n v="3026.7999999999997"/>
        <n v="1347.9455"/>
        <n v="1712.0785000000001"/>
        <n v="2904.5774999999999"/>
        <n v="7369.2640000000001"/>
        <n v="332.31"/>
        <n v="79.647999999999996"/>
        <n v="2262.1589999999997"/>
        <n v="3414.0149999999999"/>
        <n v="4912"/>
        <n v="268.54050000000001"/>
        <n v="2984.8500000000004"/>
        <n v="6088.2269999999999"/>
        <n v="1126.6559999999999"/>
        <n v="2154.7399999999998"/>
        <n v="4723.6279999999997"/>
        <n v="1692.27"/>
        <n v="3441.5564999999997"/>
        <n v="4056.3899999999994"/>
        <n v="744.048"/>
        <n v="9124.07"/>
        <n v="980.49499999999989"/>
        <n v="873.22199999999987"/>
        <n v="247.04"/>
        <n v="1487.6189999999999"/>
        <n v="3772.2489999999993"/>
        <n v="4312.5344999999998"/>
        <n v="543.82999999999993"/>
        <n v="6248.6"/>
        <n v="254.50499999999997"/>
        <n v="4309.3044999999993"/>
        <n v="4714.09"/>
        <n v="1504.61"/>
        <n v="305.31600000000003"/>
        <n v="571.38700000000006"/>
        <n v="713.01600000000008"/>
        <n v="584.63"/>
        <n v="1073.924"/>
        <n v="723.10199999999998"/>
        <n v="3420.7124999999996"/>
        <n v="101.60100000000001"/>
        <n v="4599.2700000000004"/>
        <n v="712.81"/>
        <n v="1100.6999999999998"/>
        <n v="1473.798"/>
        <n v="4511.3999999999996"/>
        <n v="8145.28"/>
        <n v="2214.3739999999998"/>
        <n v="1037.1599999999999"/>
        <n v="7124.670000000001"/>
        <n v="1336.94"/>
        <n v="1297.2150000000001"/>
        <n v="2336.2779999999998"/>
        <n v="1248.2145"/>
        <n v="4198.2179999999998"/>
        <n v="163.29"/>
        <n v="2557.9699999999998"/>
        <n v="2533.9049999999997"/>
        <n v="1828.3860000000002"/>
        <n v="3581.1"/>
        <n v="5395.8850000000002"/>
        <n v="450.90000000000003"/>
        <n v="8955.1749999999993"/>
        <n v="1642.3400000000001"/>
        <n v="581.93999999999994"/>
        <n v="7350.34"/>
        <n v="975.96"/>
        <n v="2340.2624999999998"/>
        <n v="1800.8579999999999"/>
        <n v="479.17999999999995"/>
        <n v="874.08"/>
        <n v="1907.6550000000002"/>
        <n v="4199.16"/>
        <n v="1524.424"/>
        <n v="1867.8329999999999"/>
        <n v="3285.2519999999995"/>
        <n v="849.9319999999999"/>
        <n v="2312.2890000000002"/>
        <n v="346.45000000000005"/>
        <n v="4603.6500000000005"/>
        <n v="1327.02"/>
        <n v="432.81"/>
        <n v="554.07799999999997"/>
        <n v="2139.6279999999997"/>
        <n v="2832.6675"/>
        <n v="2592.873"/>
        <n v="3369.672"/>
        <n v="7578.3874999999998"/>
        <n v="7523.9279999999999"/>
        <n v="8398.1234999999997"/>
        <n v="6186.24"/>
        <n v="6284.3829999999989"/>
        <n v="2565.36"/>
        <n v="29.849"/>
        <n v="8269.5905000000002"/>
        <n v="5404.3200000000006"/>
        <n v="695.15549999999996"/>
        <n v="5032.4445000000005"/>
        <n v="2621.0879999999997"/>
        <n v="2817.3164999999999"/>
        <n v="1838.0500000000002"/>
        <n v="9294.3249999999989"/>
        <n v="585.09749999999985"/>
        <n v="1174.8899999999999"/>
        <n v="909.22499999999991"/>
        <n v="2314.6859999999997"/>
        <n v="10216.300000000001"/>
        <n v="154.66"/>
        <n v="393.4"/>
        <n v="3990.06"/>
        <n v="1855.992"/>
        <n v="81.778500000000008"/>
        <n v="509.10750000000002"/>
        <n v="2227.8585000000003"/>
        <n v="203.74"/>
        <n v="4241.6074999999992"/>
        <n v="2161.65"/>
        <n v="6176.3040000000001"/>
        <n v="4366.7820000000002"/>
        <n v="2749.53"/>
        <n v="1076.616"/>
        <n v="4938.66"/>
        <n v="177.57000000000002"/>
        <n v="4424.34"/>
        <n v="1061.3969999999999"/>
        <n v="5530.14"/>
        <n v="2440.0530000000003"/>
        <n v="152.75"/>
        <n v="521.85599999999999"/>
        <n v="698.72400000000005"/>
        <n v="454.005"/>
        <n v="1092.1320000000001"/>
        <n v="7804.2240000000011"/>
        <n v="290.99"/>
        <n v="2961.2640000000001"/>
        <n v="287.55"/>
        <n v="3960.0899999999997"/>
        <n v="3314.1959999999999"/>
        <n v="4138.3949999999995"/>
        <n v="4113.2245000000003"/>
        <n v="1073.7280000000001"/>
        <n v="2515.4219999999996"/>
        <n v="5832.2970000000005"/>
        <n v="6166.45"/>
        <n v="4335.4080000000004"/>
        <n v="3708.6399999999994"/>
        <n v="270.59999999999997"/>
        <n v="5449.84"/>
        <n v="2819.4839999999999"/>
        <n v="1358.5039999999999"/>
        <n v="448.37099999999998"/>
        <n v="6088.4459999999999"/>
        <n v="2346.4800000000005"/>
        <n v="6473.9739999999993"/>
        <n v="5018.6220000000003"/>
        <n v="2947.01"/>
        <n v="4212.7560000000003"/>
        <n v="3511.105"/>
        <n v="5125.2000000000007"/>
        <n v="1982.9700000000003"/>
        <n v="257.71999999999997"/>
        <n v="2073.7199999999998"/>
        <n v="3270.299"/>
        <n v="561.93449999999996"/>
        <n v="467.17199999999997"/>
        <n v="179.34"/>
        <n v="2285.9280000000003"/>
        <n v="864.12950000000001"/>
        <n v="2761.4789999999998"/>
        <n v="1523.403"/>
        <n v="1189.932"/>
        <n v="4042.7819999999992"/>
        <n v="10028.978999999999"/>
        <n v="5901.3374999999996"/>
        <n v="167.36149999999998"/>
        <n v="64.116"/>
        <n v="374.58"/>
        <n v="3590.3070000000002"/>
        <n v="161.785"/>
        <n v="7689.7800000000007"/>
        <n v="242.24399999999997"/>
        <n v="6537.1859999999997"/>
        <n v="389.94"/>
        <n v="1959.7739999999999"/>
        <n v="8654.4619999999995"/>
        <n v="2828.6819999999998"/>
        <n v="964.2"/>
        <n v="6188.5620000000008"/>
        <n v="1767.7399999999998"/>
        <n v="5062.8599999999997"/>
        <n v="3056.88"/>
        <n v="1410.27"/>
        <n v="2808"/>
        <n v="2036.5829999999999"/>
        <n v="1388.1519999999998"/>
        <n v="46.631"/>
        <n v="3185.0280000000002"/>
        <n v="838.43999999999994"/>
        <n v="1170.8399999999999"/>
        <n v="1932.6450000000002"/>
        <n v="3017.7359999999999"/>
        <n v="1403.52"/>
        <n v="3204.828"/>
        <n v="1624.8705"/>
        <n v="5404"/>
        <n v="6508.08"/>
        <n v="4271.9489999999996"/>
        <n v="1513.8"/>
        <n v="6553.4800000000005"/>
        <n v="3222.1979999999999"/>
        <n v="896.07"/>
        <n v="1074.5360000000001"/>
        <n v="965.12399999999991"/>
        <n v="7769.1359999999995"/>
        <n v="1451.7360000000001"/>
        <n v="2818.5"/>
        <n v="5110.4295000000002"/>
        <n v="3119.7239999999997"/>
        <n v="2191.2064999999998"/>
        <n v="10745.599999999999"/>
        <n v="309.27"/>
        <n v="878.04"/>
        <n v="2879.375"/>
        <n v="478.08"/>
        <n v="4566.7439999999997"/>
        <n v="3306.7799999999997"/>
        <n v="73.853999999999999"/>
        <n v="2965.8369999999995"/>
        <n v="456.13799999999998"/>
        <n v="2074.6080000000002"/>
        <n v="1880.1915000000001"/>
        <n v="5795.9550000000008"/>
        <n v="1346.31"/>
        <n v="1659.8700000000001"/>
        <n v="9505.6"/>
        <n v="8243.3970000000008"/>
        <n v="1433.55"/>
        <n v="889.59600000000012"/>
        <n v="1607.6849999999999"/>
        <n v="364.68"/>
        <n v="5591.28"/>
        <n v="1915.5600000000002"/>
        <n v="477.10499999999996"/>
        <n v="1060.6469999999999"/>
        <n v="9398.11"/>
        <n v="916.5"/>
        <n v="245.917"/>
        <n v="7664.3909999999996"/>
        <n v="6695.2960000000003"/>
        <n v="2100.96"/>
        <n v="1686.2849999999999"/>
        <n v="3167.1"/>
        <n v="2327.31"/>
        <n v="231.88"/>
        <n v="6981.1699999999992"/>
        <n v="1036.44"/>
        <n v="1038.3120000000001"/>
        <n v="3513.72"/>
        <n v="2347.8700000000003"/>
        <n v="2249.5"/>
        <n v="515.49849999999992"/>
        <n v="184.08599999999998"/>
        <n v="3566.43"/>
        <n v="522.88599999999997"/>
        <n v="2572.752"/>
        <n v="922.64"/>
        <n v="1642.36"/>
        <n v="27.871499999999997"/>
        <n v="3003.2"/>
        <n v="354.96900000000005"/>
        <n v="2730.4379999999996"/>
        <n v="7361.1509999999998"/>
        <n v="1836.616"/>
        <n v="249.03900000000004"/>
        <n v="425.75200000000001"/>
        <n v="3992.7359999999999"/>
        <n v="756.58949999999993"/>
        <n v="2642.9"/>
        <n v="5512.1850000000004"/>
        <n v="4817.5200000000004"/>
        <n v="6649.6"/>
        <n v="123.4"/>
        <n v="251.54100000000003"/>
        <n v="590.96699999999998"/>
        <n v="2486.9955"/>
        <n v="2064.65"/>
        <n v="2766.96"/>
        <n v="359.4325"/>
        <n v="461.35"/>
        <n v="7098"/>
        <n v="2761.9830000000002"/>
        <n v="7216.58"/>
        <n v="644.81400000000008"/>
        <n v="4783.5360000000001"/>
        <n v="3886.83"/>
        <n v="3081.0779999999995"/>
        <n v="1753.7030000000002"/>
        <n v="2505.6640000000002"/>
        <n v="8726.4"/>
        <n v="7076.6459999999997"/>
        <n v="622.38299999999992"/>
        <n v="2854.3319999999999"/>
        <n v="3784.788"/>
        <n v="1161.45"/>
        <n v="173.44"/>
        <n v="1959.4709999999998"/>
        <n v="4705.26"/>
        <n v="183.42600000000002"/>
        <n v="891.96450000000004"/>
        <n v="1220.598"/>
        <n v="215.28"/>
        <n v="3762"/>
        <n v="80.959999999999994"/>
        <n v="716.04"/>
        <n v="1099.9499999999998"/>
        <n v="10163.48"/>
        <n v="494.52"/>
        <n v="1861.2180000000001"/>
        <n v="4989.2280000000001"/>
        <n v="4381.5330000000004"/>
        <n v="1695.92"/>
        <n v="7253.3159999999998"/>
        <n v="900.25200000000007"/>
        <n v="2768.2619999999997"/>
        <n v="1019.5920000000001"/>
        <n v="1743.8489999999999"/>
        <n v="8502.4620000000014"/>
        <n v="4294.4654999999993"/>
        <n v="1002.2669999999999"/>
        <n v="4430.1660000000002"/>
        <n v="6143.76"/>
        <n v="1681.3290000000002"/>
        <n v="1335.18"/>
        <n v="8261.6939999999995"/>
        <n v="1613.1960000000001"/>
        <n v="1747.7699999999998"/>
        <n v="7035.4719999999998"/>
        <n v="8608.4599999999991"/>
        <n v="486.59"/>
        <n v="1776.31"/>
        <n v="1194.25"/>
        <n v="462.8"/>
        <n v="4128.2460000000001"/>
        <n v="8573.76"/>
        <n v="1424.115"/>
        <n v="1165.068"/>
        <n v="568.4799999999999"/>
        <n v="377.08200000000005"/>
        <n v="1300.1999999999998"/>
        <n v="1282.1000000000001"/>
        <n v="7846.7039999999997"/>
        <n v="2154.98"/>
        <n v="4704.5700000000006"/>
        <n v="6854.8589999999995"/>
        <n v="2971.2674999999995"/>
        <n v="4956.5879999999997"/>
        <n v="2347.105"/>
        <n v="163.89900000000003"/>
        <n v="3101.2939999999999"/>
        <n v="1897.29"/>
        <n v="6651.4795000000004"/>
        <n v="664.35"/>
        <n v="2392.404"/>
        <n v="253.93500000000003"/>
        <n v="3686.21"/>
        <n v="2219.44"/>
        <n v="1640.0040000000001"/>
        <n v="6112.8130000000001"/>
        <n v="3570.57"/>
        <n v="10328.599999999999"/>
        <n v="269.69400000000002"/>
        <n v="380.64"/>
        <n v="9505.5670000000009"/>
        <n v="2011.1850000000002"/>
        <n v="2504.5199999999995"/>
        <n v="317.98"/>
        <n v="1162.8899999999999"/>
        <n v="909.54000000000008"/>
        <n v="1137.538"/>
        <n v="6619.2559999999994"/>
        <n v="320.09299999999996"/>
        <n v="664.83600000000001"/>
        <n v="1934.6579999999999"/>
        <n v="5764.1220000000003"/>
        <n v="1045.1399999999999"/>
        <n v="2494.2629999999999"/>
        <n v="2019.3390000000002"/>
        <n v="2687.1224999999995"/>
        <n v="1605.92"/>
        <n v="362.3295"/>
        <n v="7777.62"/>
        <n v="741.82050000000004"/>
        <n v="3150.6779999999999"/>
        <n v="291.327"/>
        <n v="2276.0640000000003"/>
        <n v="1896.5894999999998"/>
        <n v="1385.2615000000001"/>
        <n v="289.72800000000001"/>
        <n v="1009.179"/>
        <n v="3612.6"/>
        <n v="1377.663"/>
        <n v="5782.4279999999999"/>
        <n v="1118.7719999999999"/>
        <n v="3015.0719999999997"/>
        <n v="505.98000000000008"/>
        <n v="386"/>
        <n v="1993.0905"/>
        <n v="960.63600000000008"/>
        <n v="7720.838999999999"/>
        <n v="1022.428"/>
        <n v="2785.433"/>
        <n v="9057.1099999999988"/>
        <n v="273.24099999999999"/>
        <n v="1751.6969999999997"/>
        <n v="6393.5"/>
        <n v="7408.62"/>
        <n v="366.76650000000001"/>
        <n v="8917.02"/>
        <n v="537.48"/>
        <n v="2915.5140000000001"/>
        <n v="3982.9129999999996"/>
        <n v="2159.4449999999997"/>
        <n v="3466.3679999999999"/>
        <n v="265.82"/>
        <n v="71.38"/>
        <n v="2304.8429999999998"/>
        <n v="1798.6255000000001"/>
        <n v="684.93100000000004"/>
        <n v="7443.4840000000004"/>
        <n v="256.63"/>
        <n v="1611.162"/>
        <n v="1109.9324999999999"/>
        <n v="136.22999999999996"/>
        <n v="422.41499999999996"/>
        <n v="1908.1224999999999"/>
        <n v="1556.7919999999999"/>
        <n v="277.00649999999996"/>
        <n v="473.21999999999997"/>
        <n v="1470.204"/>
        <n v="1062.2450000000001"/>
        <n v="1954.7009999999998"/>
        <n v="4809.47"/>
        <n v="1873.009"/>
        <n v="925.39499999999987"/>
        <n v="2937.48"/>
        <n v="4460.2879999999996"/>
        <n v="1734.6120000000001"/>
        <n v="4106.2139999999999"/>
        <n v="8862.2099999999991"/>
        <n v="301.07849999999996"/>
        <n v="4290.9029999999993"/>
        <n v="8984.9249999999993"/>
        <n v="876.12"/>
        <n v="72.589999999999989"/>
        <n v="160.28"/>
        <n v="626.16949999999997"/>
        <n v="1088.04"/>
        <n v="8122.5"/>
        <n v="4496.5934999999999"/>
        <n v="1060.0740000000001"/>
        <n v="3268.4559999999997"/>
        <n v="5414.4719999999998"/>
        <n v="1655.42"/>
        <n v="2405.2290000000003"/>
        <n v="959.1825"/>
        <n v="2737.9350000000004"/>
        <n v="795.34"/>
        <n v="4696.7040000000006"/>
        <n v="6700.4599999999991"/>
        <n v="908.81000000000006"/>
        <n v="6074.8224999999993"/>
        <n v="3083.68"/>
        <n v="948.26"/>
        <n v="7212.9224999999997"/>
        <n v="57.272999999999996"/>
        <n v="3497.3249999999998"/>
        <n v="668.96"/>
        <n v="3347.4700000000003"/>
        <n v="95.36099999999999"/>
        <n v="343.72799999999995"/>
        <n v="105.42"/>
        <n v="5101.3764999999994"/>
        <n v="2549.7049999999995"/>
        <n v="288.81000000000006"/>
        <n v="6648.3374999999996"/>
        <n v="3840.5839999999998"/>
        <n v="544.05000000000007"/>
        <n v="2680.672"/>
        <n v="4736.34"/>
        <n v="7947.1259999999993"/>
        <n v="1854.6659999999999"/>
        <n v="5195.3980000000001"/>
        <n v="85.399500000000003"/>
        <n v="1811.08"/>
        <n v="934.15"/>
        <n v="5453.5140000000001"/>
        <n v="733.76249999999993"/>
        <n v="2324.8000000000002"/>
        <n v="606.41999999999996"/>
        <n v="2116.9499999999998"/>
        <n v="507.87950000000001"/>
        <n v="4788.3419999999996"/>
        <n v="1982.3040000000001"/>
        <n v="301.33049999999997"/>
        <n v="7678.9349999999995"/>
        <n v="3427.02"/>
        <n v="7822.6894999999995"/>
        <n v="78.811999999999998"/>
        <n v="236.95199999999997"/>
        <n v="3944.49"/>
        <n v="10719.539999999999"/>
        <n v="6834.4080000000004"/>
        <n v="7994.34"/>
        <n v="7378.1370000000006"/>
        <n v="1282.31"/>
        <n v="240.0145"/>
        <n v="1474.76"/>
        <n v="1709.1164999999999"/>
        <n v="1197.5600000000002"/>
        <n v="2047.14"/>
        <n v="3338.5875000000001"/>
        <n v="2085.5065"/>
        <n v="2398.5599999999995"/>
        <n v="215.38399999999999"/>
        <n v="7575.4889999999996"/>
        <n v="1889.2650000000001"/>
        <n v="8069.76"/>
        <n v="855.4"/>
        <n v="2013.5989999999999"/>
        <n v="899"/>
        <n v="7339.8239999999996"/>
        <n v="3749.2560000000003"/>
        <n v="4509.1085000000003"/>
        <n v="139.13"/>
        <n v="3263.34"/>
        <n v="4174.3"/>
        <n v="537.73799999999994"/>
        <n v="3722.337"/>
        <n v="5904.3719999999994"/>
        <n v="1378.1599999999999"/>
        <n v="2811.8159999999998"/>
        <n v="4921.18"/>
        <n v="3469.2839999999997"/>
        <n v="46.988"/>
        <n v="7468.1"/>
        <n v="8607.15"/>
        <n v="6499.0829999999996"/>
        <n v="3371.7600000000007"/>
        <n v="3061.47"/>
        <n v="276.76"/>
        <n v="2351.3039999999996"/>
        <n v="240.3"/>
        <n v="351.28800000000001"/>
        <n v="83.571999999999989"/>
        <n v="1009.64"/>
        <n v="4221.1170000000002"/>
        <n v="1057.617"/>
        <n v="3752.6400000000003"/>
        <n v="3807.4859999999999"/>
        <n v="4619.5174999999999"/>
        <n v="3279.7710000000002"/>
        <n v="2667.6"/>
        <n v="4922.3999999999996"/>
        <n v="4158.3104999999996"/>
        <n v="2168.9280000000003"/>
        <n v="5429.16"/>
        <n v="1476.585"/>
        <n v="3667.14"/>
        <n v="1183.4804999999999"/>
        <n v="751.45099999999991"/>
        <n v="551.35149999999999"/>
        <n v="5173.1679999999997"/>
        <n v="32.262"/>
        <n v="359.44200000000001"/>
        <n v="366.36"/>
        <n v="1235.5560000000003"/>
        <n v="1684.4959999999999"/>
        <n v="1372.56"/>
        <n v="7628.7420000000011"/>
        <n v="4601.3999999999996"/>
        <n v="4996.9800000000005"/>
        <n v="908.02"/>
        <n v="776.86249999999995"/>
        <n v="1699.3200000000002"/>
        <n v="1793.7719999999999"/>
        <n v="5521.1239999999998"/>
        <n v="580.29499999999996"/>
        <n v="205.27600000000001"/>
        <n v="638.28"/>
        <n v="2375.6480000000001"/>
        <n v="1163.028"/>
        <n v="1970.6399999999999"/>
        <n v="6725.8"/>
        <n v="1135.575"/>
        <n v="21.75"/>
        <n v="1745.172"/>
        <n v="1314.355"/>
        <n v="327.84300000000002"/>
        <n v="2757.78"/>
        <n v="9541.8000000000011"/>
        <n v="3592.08"/>
        <n v="8366.08"/>
        <n v="304.02"/>
        <n v="5032.5014999999994"/>
        <n v="750.00599999999997"/>
        <n v="5159.880000000001"/>
        <n v="5972.8304999999991"/>
        <n v="2311.5399999999995"/>
        <n v="4069.8899999999994"/>
        <n v="893.37599999999998"/>
        <n v="2080"/>
        <n v="6281.77"/>
        <n v="649.14300000000003"/>
        <n v="1588.08"/>
        <n v="1608.8249999999998"/>
        <n v="2910.7619999999997"/>
        <n v="114.19"/>
        <n v="1871.7594999999997"/>
        <n v="1621.84"/>
        <n v="2476.8404999999998"/>
        <n v="1927.44"/>
        <n v="312.2"/>
        <n v="309.95999999999998"/>
        <n v="3480.5970000000002"/>
        <n v="3822.0874999999996"/>
        <n v="710.75199999999995"/>
        <n v="451.76400000000001"/>
        <n v="4257.2879999999996"/>
        <n v="6323.4089999999997"/>
        <n v="2244.2400000000002"/>
        <n v="2659.752"/>
        <n v="3311.9850000000001"/>
        <n v="2366.3999999999996"/>
        <n v="6429.28"/>
        <n v="2692.9"/>
        <n v="1227.4759999999999"/>
        <n v="5608.5974999999989"/>
        <n v="7342.9679999999989"/>
        <n v="302.65949999999998"/>
        <n v="7396.0919999999996"/>
        <n v="920.37149999999997"/>
        <n v="1865.6100000000001"/>
        <n v="272.16000000000003"/>
        <n v="3467.915"/>
        <n v="4121.5499999999993"/>
        <n v="405.57749999999999"/>
        <n v="3756.48"/>
        <n v="6319.6659999999993"/>
        <n v="2814.2324999999996"/>
        <n v="548.2165"/>
        <n v="2939.3820000000005"/>
        <n v="5071.1849999999995"/>
        <n v="379.13400000000001"/>
        <n v="1998.0719999999999"/>
        <n v="4826.57"/>
        <n v="4084.5645"/>
        <n v="1520.5050000000001"/>
        <n v="1675.8665000000001"/>
        <n v="377.19000000000005"/>
        <n v="1532.8559999999998"/>
        <n v="3688.32"/>
        <n v="2673.3690000000001"/>
        <n v="4395.0239999999994"/>
        <n v="7019.36"/>
        <n v="1745.64"/>
        <n v="9925.1819999999989"/>
        <n v="1483.11"/>
        <n v="1331.2260000000001"/>
        <n v="7646.56"/>
        <n v="3860.5140000000001"/>
        <n v="134.52950000000001"/>
        <n v="1977.1019999999999"/>
        <n v="2813.076"/>
        <n v="3174.6000000000004"/>
        <n v="963.66600000000005"/>
        <n v="4186.6109999999999"/>
        <n v="2117.2459999999996"/>
        <n v="3723.1649999999995"/>
        <n v="3552.1200000000003"/>
        <n v="5571.67"/>
        <n v="1610.0314999999998"/>
        <n v="7709.6869999999999"/>
        <n v="745.56000000000006"/>
        <n v="2372.3399999999997"/>
        <n v="1494.8999999999999"/>
        <n v="755.61599999999999"/>
        <n v="4625.9299999999994"/>
        <n v="1837.3410000000001"/>
        <n v="3630.1209999999996"/>
        <n v="4531.9274999999998"/>
        <n v="3089.9625000000001"/>
        <n v="209.3295"/>
        <n v="2428.7049999999999"/>
        <n v="5225.2560000000003"/>
        <n v="2726.64"/>
        <n v="3151.9359999999997"/>
        <n v="365.74649999999997"/>
        <n v="6516.6"/>
        <n v="7744.16"/>
        <n v="110.16"/>
        <n v="2469.0119999999997"/>
        <n v="5727.4359999999997"/>
        <n v="1470.04"/>
        <n v="6307.3350000000009"/>
        <n v="1623.72"/>
        <n v="421.05599999999998"/>
        <n v="606.25199999999995"/>
        <n v="2252.25"/>
        <n v="521.37"/>
        <n v="1666.6039999999998"/>
        <n v="3217.44"/>
        <n v="8005.86"/>
        <n v="1802.85"/>
        <n v="3897.2159999999999"/>
        <n v="1605.9559999999999"/>
        <n v="147.4"/>
        <n v="2126.0239999999999"/>
        <n v="868.13850000000002"/>
        <n v="2144.88"/>
        <n v="6960.5280000000002"/>
        <n v="909.32100000000003"/>
        <n v="4798.26"/>
        <n v="740.96199999999999"/>
        <n v="7012.585"/>
        <n v="1888.96"/>
        <n v="1148.24"/>
        <n v="799.59999999999991"/>
        <n v="5524.6489999999994"/>
        <n v="2302.56"/>
        <n v="1311.6870000000001"/>
        <n v="2791.0239999999999"/>
        <n v="708.83299999999997"/>
        <n v="8970.56"/>
        <n v="1006.4499999999999"/>
        <n v="1661.8159999999998"/>
        <n v="3209.1749999999997"/>
        <n v="272.5"/>
        <n v="3493.511"/>
        <n v="2878.0699999999997"/>
        <m/>
      </sharedItems>
    </cacheField>
    <cacheField name="PaymentMethod" numFmtId="0">
      <sharedItems containsBlank="1" count="6">
        <s v="Online"/>
        <s v="Gift Card"/>
        <s v="Credit Card"/>
        <s v="Debit Card"/>
        <s v="Cash"/>
        <m/>
      </sharedItems>
    </cacheField>
    <cacheField name="Promotion" numFmtId="0">
      <sharedItems containsBlank="1" count="5">
        <s v="FREESHIP"/>
        <s v="SAVE10"/>
        <s v="WINTER15"/>
        <s v="No Promotion"/>
        <m/>
      </sharedItems>
    </cacheField>
    <cacheField name="Returned" numFmtId="0">
      <sharedItems containsString="0" containsBlank="1" containsNumber="1" containsInteger="1" minValue="0" maxValue="1" count="3">
        <n v="0"/>
        <n v="1"/>
        <m/>
      </sharedItems>
    </cacheField>
    <cacheField name="OrderID" numFmtId="0">
      <sharedItems containsBlank="1"/>
    </cacheField>
    <cacheField name="CustomerName" numFmtId="0">
      <sharedItems containsBlank="1"/>
    </cacheField>
    <cacheField name="ShippingCost" numFmtId="0">
      <sharedItems containsString="0" containsBlank="1" containsNumber="1" minValue="5.01" maxValue="49.98"/>
    </cacheField>
    <cacheField name="OrderDate" numFmtId="0">
      <sharedItems containsNonDate="0" containsDate="1" containsString="0" containsBlank="1" minDate="2023-01-01T00:00:00" maxDate="2025-07-01T00:00:00" count="748">
        <d v="2023-02-23T00:00:00"/>
        <d v="2024-12-19T00:00:00"/>
        <d v="2023-05-10T00:00:00"/>
        <d v="2025-02-26T00:00:00"/>
        <d v="2023-06-24T00:00:00"/>
        <d v="2024-02-20T00:00:00"/>
        <d v="2023-01-11T00:00:00"/>
        <d v="2023-01-09T00:00:00"/>
        <d v="2024-10-16T00:00:00"/>
        <d v="2025-03-05T00:00:00"/>
        <d v="2024-04-10T00:00:00"/>
        <d v="2024-07-12T00:00:00"/>
        <d v="2023-07-21T00:00:00"/>
        <d v="2025-01-18T00:00:00"/>
        <d v="2024-12-08T00:00:00"/>
        <d v="2025-05-11T00:00:00"/>
        <d v="2023-02-26T00:00:00"/>
        <d v="2024-05-28T00:00:00"/>
        <d v="2023-11-30T00:00:00"/>
        <d v="2023-06-22T00:00:00"/>
        <d v="2025-06-05T00:00:00"/>
        <d v="2023-03-03T00:00:00"/>
        <d v="2024-02-18T00:00:00"/>
        <d v="2023-08-06T00:00:00"/>
        <d v="2024-05-23T00:00:00"/>
        <d v="2023-10-23T00:00:00"/>
        <d v="2025-06-16T00:00:00"/>
        <d v="2024-11-18T00:00:00"/>
        <d v="2023-05-09T00:00:00"/>
        <d v="2024-12-07T00:00:00"/>
        <d v="2024-02-13T00:00:00"/>
        <d v="2025-03-09T00:00:00"/>
        <d v="2023-04-05T00:00:00"/>
        <d v="2025-05-08T00:00:00"/>
        <d v="2023-09-03T00:00:00"/>
        <d v="2025-03-21T00:00:00"/>
        <d v="2025-06-20T00:00:00"/>
        <d v="2024-02-15T00:00:00"/>
        <d v="2023-06-09T00:00:00"/>
        <d v="2023-08-10T00:00:00"/>
        <d v="2024-06-16T00:00:00"/>
        <d v="2023-07-23T00:00:00"/>
        <d v="2023-05-20T00:00:00"/>
        <d v="2023-06-30T00:00:00"/>
        <d v="2024-06-04T00:00:00"/>
        <d v="2025-02-03T00:00:00"/>
        <d v="2024-01-09T00:00:00"/>
        <d v="2024-03-14T00:00:00"/>
        <d v="2024-09-06T00:00:00"/>
        <d v="2023-03-17T00:00:00"/>
        <d v="2025-01-17T00:00:00"/>
        <d v="2024-09-12T00:00:00"/>
        <d v="2024-01-05T00:00:00"/>
        <d v="2024-04-19T00:00:00"/>
        <d v="2025-06-11T00:00:00"/>
        <d v="2025-03-06T00:00:00"/>
        <d v="2023-05-24T00:00:00"/>
        <d v="2023-01-27T00:00:00"/>
        <d v="2024-03-21T00:00:00"/>
        <d v="2025-01-25T00:00:00"/>
        <d v="2023-06-12T00:00:00"/>
        <d v="2025-03-22T00:00:00"/>
        <d v="2024-02-24T00:00:00"/>
        <d v="2023-12-09T00:00:00"/>
        <d v="2023-10-01T00:00:00"/>
        <d v="2023-07-31T00:00:00"/>
        <d v="2024-12-24T00:00:00"/>
        <d v="2024-11-15T00:00:00"/>
        <d v="2025-03-13T00:00:00"/>
        <d v="2024-03-03T00:00:00"/>
        <d v="2023-02-11T00:00:00"/>
        <d v="2023-10-26T00:00:00"/>
        <d v="2023-10-21T00:00:00"/>
        <d v="2024-01-14T00:00:00"/>
        <d v="2023-07-27T00:00:00"/>
        <d v="2024-10-23T00:00:00"/>
        <d v="2023-09-26T00:00:00"/>
        <d v="2023-12-16T00:00:00"/>
        <d v="2024-01-02T00:00:00"/>
        <d v="2024-02-16T00:00:00"/>
        <d v="2024-05-03T00:00:00"/>
        <d v="2023-05-27T00:00:00"/>
        <d v="2023-01-05T00:00:00"/>
        <d v="2025-05-21T00:00:00"/>
        <d v="2025-05-25T00:00:00"/>
        <d v="2024-11-16T00:00:00"/>
        <d v="2023-11-19T00:00:00"/>
        <d v="2025-01-12T00:00:00"/>
        <d v="2023-03-29T00:00:00"/>
        <d v="2025-03-01T00:00:00"/>
        <d v="2023-10-18T00:00:00"/>
        <d v="2025-04-13T00:00:00"/>
        <d v="2025-05-13T00:00:00"/>
        <d v="2024-04-21T00:00:00"/>
        <d v="2025-01-31T00:00:00"/>
        <d v="2025-03-14T00:00:00"/>
        <d v="2024-05-26T00:00:00"/>
        <d v="2023-07-22T00:00:00"/>
        <d v="2024-08-26T00:00:00"/>
        <d v="2024-07-07T00:00:00"/>
        <d v="2023-09-29T00:00:00"/>
        <d v="2023-10-04T00:00:00"/>
        <d v="2025-06-09T00:00:00"/>
        <d v="2025-06-12T00:00:00"/>
        <d v="2024-06-29T00:00:00"/>
        <d v="2024-03-23T00:00:00"/>
        <d v="2024-07-14T00:00:00"/>
        <d v="2024-03-15T00:00:00"/>
        <d v="2025-04-19T00:00:00"/>
        <d v="2024-01-25T00:00:00"/>
        <d v="2025-04-15T00:00:00"/>
        <d v="2024-08-11T00:00:00"/>
        <d v="2023-12-01T00:00:00"/>
        <d v="2024-01-24T00:00:00"/>
        <d v="2024-03-07T00:00:00"/>
        <d v="2024-01-22T00:00:00"/>
        <d v="2023-06-14T00:00:00"/>
        <d v="2024-07-30T00:00:00"/>
        <d v="2024-07-18T00:00:00"/>
        <d v="2025-06-08T00:00:00"/>
        <d v="2025-05-16T00:00:00"/>
        <d v="2023-09-17T00:00:00"/>
        <d v="2023-03-13T00:00:00"/>
        <d v="2023-07-14T00:00:00"/>
        <d v="2024-03-22T00:00:00"/>
        <d v="2024-05-14T00:00:00"/>
        <d v="2023-05-30T00:00:00"/>
        <d v="2023-03-19T00:00:00"/>
        <d v="2023-08-09T00:00:00"/>
        <d v="2024-10-13T00:00:00"/>
        <d v="2025-02-17T00:00:00"/>
        <d v="2024-04-29T00:00:00"/>
        <d v="2023-03-18T00:00:00"/>
        <d v="2024-12-21T00:00:00"/>
        <d v="2023-04-23T00:00:00"/>
        <d v="2025-01-20T00:00:00"/>
        <d v="2025-03-28T00:00:00"/>
        <d v="2024-11-08T00:00:00"/>
        <d v="2024-03-17T00:00:00"/>
        <d v="2023-08-29T00:00:00"/>
        <d v="2023-05-14T00:00:00"/>
        <d v="2023-03-11T00:00:00"/>
        <d v="2024-08-24T00:00:00"/>
        <d v="2024-02-23T00:00:00"/>
        <d v="2024-01-30T00:00:00"/>
        <d v="2024-01-23T00:00:00"/>
        <d v="2023-12-21T00:00:00"/>
        <d v="2023-05-25T00:00:00"/>
        <d v="2025-06-30T00:00:00"/>
        <d v="2025-02-12T00:00:00"/>
        <d v="2024-01-03T00:00:00"/>
        <d v="2023-02-03T00:00:00"/>
        <d v="2024-03-01T00:00:00"/>
        <d v="2025-06-22T00:00:00"/>
        <d v="2023-04-10T00:00:00"/>
        <d v="2025-03-04T00:00:00"/>
        <d v="2024-07-11T00:00:00"/>
        <d v="2024-08-17T00:00:00"/>
        <d v="2024-11-06T00:00:00"/>
        <d v="2025-04-01T00:00:00"/>
        <d v="2024-07-01T00:00:00"/>
        <d v="2023-06-27T00:00:00"/>
        <d v="2023-02-08T00:00:00"/>
        <d v="2024-06-28T00:00:00"/>
        <d v="2024-04-15T00:00:00"/>
        <d v="2023-11-27T00:00:00"/>
        <d v="2025-03-27T00:00:00"/>
        <d v="2024-12-13T00:00:00"/>
        <d v="2023-11-26T00:00:00"/>
        <d v="2023-02-14T00:00:00"/>
        <d v="2025-02-02T00:00:00"/>
        <d v="2023-04-11T00:00:00"/>
        <d v="2024-07-08T00:00:00"/>
        <d v="2024-04-09T00:00:00"/>
        <d v="2023-08-14T00:00:00"/>
        <d v="2024-09-02T00:00:00"/>
        <d v="2025-06-29T00:00:00"/>
        <d v="2025-04-02T00:00:00"/>
        <d v="2023-04-27T00:00:00"/>
        <d v="2024-08-07T00:00:00"/>
        <d v="2023-04-15T00:00:00"/>
        <d v="2023-08-12T00:00:00"/>
        <d v="2023-06-19T00:00:00"/>
        <d v="2023-12-29T00:00:00"/>
        <d v="2023-03-26T00:00:00"/>
        <d v="2023-09-01T00:00:00"/>
        <d v="2024-08-05T00:00:00"/>
        <d v="2025-01-23T00:00:00"/>
        <d v="2023-05-16T00:00:00"/>
        <d v="2024-06-03T00:00:00"/>
        <d v="2023-11-08T00:00:00"/>
        <d v="2023-01-24T00:00:00"/>
        <d v="2025-03-20T00:00:00"/>
        <d v="2024-02-22T00:00:00"/>
        <d v="2023-05-13T00:00:00"/>
        <d v="2023-03-25T00:00:00"/>
        <d v="2024-11-22T00:00:00"/>
        <d v="2023-07-07T00:00:00"/>
        <d v="2024-10-05T00:00:00"/>
        <d v="2024-03-31T00:00:00"/>
        <d v="2023-08-23T00:00:00"/>
        <d v="2024-08-14T00:00:00"/>
        <d v="2025-02-14T00:00:00"/>
        <d v="2023-11-11T00:00:00"/>
        <d v="2024-04-01T00:00:00"/>
        <d v="2024-06-13T00:00:00"/>
        <d v="2023-11-28T00:00:00"/>
        <d v="2024-11-11T00:00:00"/>
        <d v="2024-11-04T00:00:00"/>
        <d v="2023-01-01T00:00:00"/>
        <d v="2023-05-02T00:00:00"/>
        <d v="2025-05-27T00:00:00"/>
        <d v="2024-12-27T00:00:00"/>
        <d v="2025-03-18T00:00:00"/>
        <d v="2024-03-24T00:00:00"/>
        <d v="2024-12-26T00:00:00"/>
        <d v="2025-06-01T00:00:00"/>
        <d v="2024-09-26T00:00:00"/>
        <d v="2024-08-10T00:00:00"/>
        <d v="2025-03-02T00:00:00"/>
        <d v="2023-02-21T00:00:00"/>
        <d v="2024-11-20T00:00:00"/>
        <d v="2023-08-26T00:00:00"/>
        <d v="2024-01-01T00:00:00"/>
        <d v="2024-11-24T00:00:00"/>
        <d v="2024-08-25T00:00:00"/>
        <d v="2023-06-10T00:00:00"/>
        <d v="2024-12-18T00:00:00"/>
        <d v="2023-08-28T00:00:00"/>
        <d v="2023-01-22T00:00:00"/>
        <d v="2023-02-07T00:00:00"/>
        <d v="2023-11-22T00:00:00"/>
        <d v="2023-01-25T00:00:00"/>
        <d v="2023-02-02T00:00:00"/>
        <d v="2024-05-30T00:00:00"/>
        <d v="2023-02-06T00:00:00"/>
        <d v="2024-07-15T00:00:00"/>
        <d v="2023-07-29T00:00:00"/>
        <d v="2023-07-26T00:00:00"/>
        <d v="2025-01-24T00:00:00"/>
        <d v="2025-04-27T00:00:00"/>
        <d v="2025-02-20T00:00:00"/>
        <d v="2023-09-14T00:00:00"/>
        <d v="2024-04-17T00:00:00"/>
        <d v="2024-11-14T00:00:00"/>
        <d v="2024-07-25T00:00:00"/>
        <d v="2024-09-20T00:00:00"/>
        <d v="2023-09-08T00:00:00"/>
        <d v="2025-04-20T00:00:00"/>
        <d v="2024-06-20T00:00:00"/>
        <d v="2023-07-04T00:00:00"/>
        <d v="2025-03-08T00:00:00"/>
        <d v="2025-02-10T00:00:00"/>
        <d v="2025-03-17T00:00:00"/>
        <d v="2023-11-09T00:00:00"/>
        <d v="2024-08-15T00:00:00"/>
        <d v="2023-03-21T00:00:00"/>
        <d v="2023-11-03T00:00:00"/>
        <d v="2025-01-30T00:00:00"/>
        <d v="2025-03-29T00:00:00"/>
        <d v="2024-11-02T00:00:00"/>
        <d v="2024-06-30T00:00:00"/>
        <d v="2023-08-31T00:00:00"/>
        <d v="2024-10-07T00:00:00"/>
        <d v="2023-04-12T00:00:00"/>
        <d v="2023-11-06T00:00:00"/>
        <d v="2023-04-28T00:00:00"/>
        <d v="2023-12-18T00:00:00"/>
        <d v="2024-10-10T00:00:00"/>
        <d v="2023-02-05T00:00:00"/>
        <d v="2024-08-04T00:00:00"/>
        <d v="2023-04-14T00:00:00"/>
        <d v="2024-10-19T00:00:00"/>
        <d v="2023-09-19T00:00:00"/>
        <d v="2023-02-27T00:00:00"/>
        <d v="2024-01-28T00:00:00"/>
        <d v="2025-05-06T00:00:00"/>
        <d v="2024-09-13T00:00:00"/>
        <d v="2023-02-13T00:00:00"/>
        <d v="2024-02-08T00:00:00"/>
        <d v="2024-06-01T00:00:00"/>
        <d v="2024-06-25T00:00:00"/>
        <d v="2024-01-29T00:00:00"/>
        <d v="2023-11-21T00:00:00"/>
        <d v="2024-12-16T00:00:00"/>
        <d v="2023-08-05T00:00:00"/>
        <d v="2023-08-30T00:00:00"/>
        <d v="2025-03-25T00:00:00"/>
        <d v="2023-09-07T00:00:00"/>
        <d v="2023-12-12T00:00:00"/>
        <d v="2024-04-25T00:00:00"/>
        <d v="2025-05-04T00:00:00"/>
        <d v="2023-09-16T00:00:00"/>
        <d v="2023-05-03T00:00:00"/>
        <d v="2023-08-25T00:00:00"/>
        <d v="2023-07-13T00:00:00"/>
        <d v="2025-02-25T00:00:00"/>
        <d v="2025-04-14T00:00:00"/>
        <d v="2025-06-15T00:00:00"/>
        <d v="2024-10-22T00:00:00"/>
        <d v="2023-06-20T00:00:00"/>
        <d v="2023-10-28T00:00:00"/>
        <d v="2025-03-19T00:00:00"/>
        <d v="2024-09-11T00:00:00"/>
        <d v="2025-01-08T00:00:00"/>
        <d v="2024-08-12T00:00:00"/>
        <d v="2023-03-30T00:00:00"/>
        <d v="2023-02-01T00:00:00"/>
        <d v="2025-04-18T00:00:00"/>
        <d v="2024-09-22T00:00:00"/>
        <d v="2024-06-07T00:00:00"/>
        <d v="2025-05-24T00:00:00"/>
        <d v="2023-06-01T00:00:00"/>
        <d v="2025-04-17T00:00:00"/>
        <d v="2025-03-31T00:00:00"/>
        <d v="2024-08-30T00:00:00"/>
        <d v="2025-01-07T00:00:00"/>
        <d v="2025-02-05T00:00:00"/>
        <d v="2023-07-03T00:00:00"/>
        <d v="2023-04-25T00:00:00"/>
        <d v="2025-04-09T00:00:00"/>
        <d v="2023-11-05T00:00:00"/>
        <d v="2023-01-13T00:00:00"/>
        <d v="2025-02-06T00:00:00"/>
        <d v="2025-06-18T00:00:00"/>
        <d v="2024-11-09T00:00:00"/>
        <d v="2023-08-19T00:00:00"/>
        <d v="2023-11-13T00:00:00"/>
        <d v="2024-09-10T00:00:00"/>
        <d v="2024-11-10T00:00:00"/>
        <d v="2023-04-13T00:00:00"/>
        <d v="2023-11-20T00:00:00"/>
        <d v="2023-03-04T00:00:00"/>
        <d v="2024-05-25T00:00:00"/>
        <d v="2023-03-07T00:00:00"/>
        <d v="2024-10-31T00:00:00"/>
        <d v="2024-05-08T00:00:00"/>
        <d v="2024-03-05T00:00:00"/>
        <d v="2023-07-18T00:00:00"/>
        <d v="2023-09-18T00:00:00"/>
        <d v="2023-03-27T00:00:00"/>
        <d v="2023-03-08T00:00:00"/>
        <d v="2024-05-02T00:00:00"/>
        <d v="2023-06-13T00:00:00"/>
        <d v="2024-11-23T00:00:00"/>
        <d v="2024-02-09T00:00:00"/>
        <d v="2023-11-16T00:00:00"/>
        <d v="2025-05-17T00:00:00"/>
        <d v="2023-11-29T00:00:00"/>
        <d v="2023-02-24T00:00:00"/>
        <d v="2023-11-04T00:00:00"/>
        <d v="2024-06-15T00:00:00"/>
        <d v="2024-10-02T00:00:00"/>
        <d v="2023-06-03T00:00:00"/>
        <d v="2023-09-10T00:00:00"/>
        <d v="2025-05-20T00:00:00"/>
        <d v="2023-09-24T00:00:00"/>
        <d v="2023-06-17T00:00:00"/>
        <d v="2023-03-14T00:00:00"/>
        <d v="2025-01-09T00:00:00"/>
        <d v="2025-03-30T00:00:00"/>
        <d v="2024-02-26T00:00:00"/>
        <d v="2024-10-30T00:00:00"/>
        <d v="2024-08-19T00:00:00"/>
        <d v="2023-07-30T00:00:00"/>
        <d v="2024-08-13T00:00:00"/>
        <d v="2023-06-23T00:00:00"/>
        <d v="2024-09-21T00:00:00"/>
        <d v="2025-01-02T00:00:00"/>
        <d v="2024-05-04T00:00:00"/>
        <d v="2025-02-27T00:00:00"/>
        <d v="2024-11-13T00:00:00"/>
        <d v="2023-10-31T00:00:00"/>
        <d v="2023-12-19T00:00:00"/>
        <d v="2023-08-15T00:00:00"/>
        <d v="2023-01-16T00:00:00"/>
        <d v="2025-02-28T00:00:00"/>
        <d v="2023-12-04T00:00:00"/>
        <d v="2024-06-21T00:00:00"/>
        <d v="2023-08-17T00:00:00"/>
        <d v="2023-06-29T00:00:00"/>
        <d v="2023-08-13T00:00:00"/>
        <d v="2023-07-15T00:00:00"/>
        <d v="2025-02-21T00:00:00"/>
        <d v="2023-07-19T00:00:00"/>
        <d v="2024-09-29T00:00:00"/>
        <d v="2024-10-17T00:00:00"/>
        <d v="2024-01-19T00:00:00"/>
        <d v="2023-12-03T00:00:00"/>
        <d v="2024-06-19T00:00:00"/>
        <d v="2023-10-02T00:00:00"/>
        <d v="2023-06-18T00:00:00"/>
        <d v="2024-06-14T00:00:00"/>
        <d v="2024-04-05T00:00:00"/>
        <d v="2023-04-26T00:00:00"/>
        <d v="2024-10-11T00:00:00"/>
        <d v="2025-06-14T00:00:00"/>
        <d v="2024-12-22T00:00:00"/>
        <d v="2024-04-22T00:00:00"/>
        <d v="2023-03-16T00:00:00"/>
        <d v="2023-05-06T00:00:00"/>
        <d v="2024-04-30T00:00:00"/>
        <d v="2025-03-11T00:00:00"/>
        <d v="2024-06-02T00:00:00"/>
        <d v="2024-09-01T00:00:00"/>
        <d v="2025-01-11T00:00:00"/>
        <d v="2024-11-28T00:00:00"/>
        <d v="2023-07-05T00:00:00"/>
        <d v="2024-10-24T00:00:00"/>
        <d v="2025-04-08T00:00:00"/>
        <d v="2024-06-05T00:00:00"/>
        <d v="2023-01-20T00:00:00"/>
        <d v="2024-01-12T00:00:00"/>
        <d v="2024-04-08T00:00:00"/>
        <d v="2024-07-17T00:00:00"/>
        <d v="2024-02-17T00:00:00"/>
        <d v="2023-06-25T00:00:00"/>
        <d v="2023-04-17T00:00:00"/>
        <d v="2023-06-28T00:00:00"/>
        <d v="2024-04-06T00:00:00"/>
        <d v="2023-01-08T00:00:00"/>
        <d v="2024-07-13T00:00:00"/>
        <d v="2024-03-19T00:00:00"/>
        <d v="2025-01-19T00:00:00"/>
        <d v="2023-05-28T00:00:00"/>
        <d v="2023-11-25T00:00:00"/>
        <d v="2024-11-17T00:00:00"/>
        <d v="2025-01-13T00:00:00"/>
        <d v="2025-01-06T00:00:00"/>
        <d v="2023-02-22T00:00:00"/>
        <d v="2023-07-01T00:00:00"/>
        <d v="2023-04-29T00:00:00"/>
        <d v="2023-04-30T00:00:00"/>
        <d v="2023-03-23T00:00:00"/>
        <d v="2024-12-10T00:00:00"/>
        <d v="2025-01-01T00:00:00"/>
        <d v="2024-01-16T00:00:00"/>
        <d v="2023-12-08T00:00:00"/>
        <d v="2023-03-15T00:00:00"/>
        <d v="2025-02-07T00:00:00"/>
        <d v="2025-06-27T00:00:00"/>
        <d v="2024-12-17T00:00:00"/>
        <d v="2023-12-26T00:00:00"/>
        <d v="2024-05-13T00:00:00"/>
        <d v="2023-10-07T00:00:00"/>
        <d v="2023-07-11T00:00:00"/>
        <d v="2023-02-04T00:00:00"/>
        <d v="2023-09-02T00:00:00"/>
        <d v="2023-10-13T00:00:00"/>
        <d v="2024-10-03T00:00:00"/>
        <d v="2024-04-28T00:00:00"/>
        <d v="2024-02-07T00:00:00"/>
        <d v="2024-07-29T00:00:00"/>
        <d v="2024-01-18T00:00:00"/>
        <d v="2025-04-16T00:00:00"/>
        <d v="2023-01-07T00:00:00"/>
        <d v="2023-10-24T00:00:00"/>
        <d v="2024-09-17T00:00:00"/>
        <d v="2024-05-05T00:00:00"/>
        <d v="2024-02-29T00:00:00"/>
        <d v="2025-05-19T00:00:00"/>
        <d v="2024-12-02T00:00:00"/>
        <d v="2024-07-10T00:00:00"/>
        <d v="2023-01-06T00:00:00"/>
        <d v="2023-12-11T00:00:00"/>
        <d v="2025-02-19T00:00:00"/>
        <d v="2023-09-22T00:00:00"/>
        <d v="2023-12-23T00:00:00"/>
        <d v="2025-04-21T00:00:00"/>
        <d v="2023-12-13T00:00:00"/>
        <d v="2024-04-24T00:00:00"/>
        <d v="2023-09-11T00:00:00"/>
        <d v="2025-06-06T00:00:00"/>
        <d v="2024-12-23T00:00:00"/>
        <d v="2023-08-27T00:00:00"/>
        <d v="2025-04-22T00:00:00"/>
        <d v="2023-09-06T00:00:00"/>
        <d v="2023-01-21T00:00:00"/>
        <d v="2024-04-26T00:00:00"/>
        <d v="2023-12-30T00:00:00"/>
        <d v="2024-07-27T00:00:00"/>
        <d v="2024-01-15T00:00:00"/>
        <d v="2024-01-04T00:00:00"/>
        <d v="2023-02-09T00:00:00"/>
        <d v="2023-08-16T00:00:00"/>
        <d v="2024-10-08T00:00:00"/>
        <d v="2023-12-25T00:00:00"/>
        <d v="2024-05-11T00:00:00"/>
        <d v="2023-11-23T00:00:00"/>
        <d v="2023-12-10T00:00:00"/>
        <d v="2024-02-03T00:00:00"/>
        <d v="2024-03-06T00:00:00"/>
        <d v="2025-02-01T00:00:00"/>
        <d v="2023-02-15T00:00:00"/>
        <d v="2024-05-16T00:00:00"/>
        <d v="2024-04-13T00:00:00"/>
        <d v="2024-08-29T00:00:00"/>
        <d v="2023-05-17T00:00:00"/>
        <d v="2024-01-27T00:00:00"/>
        <d v="2025-05-26T00:00:00"/>
        <d v="2025-05-05T00:00:00"/>
        <d v="2024-11-01T00:00:00"/>
        <d v="2024-04-23T00:00:00"/>
        <d v="2024-06-24T00:00:00"/>
        <d v="2023-03-12T00:00:00"/>
        <d v="2023-12-28T00:00:00"/>
        <d v="2025-03-10T00:00:00"/>
        <d v="2023-09-09T00:00:00"/>
        <d v="2023-09-30T00:00:00"/>
        <d v="2023-03-05T00:00:00"/>
        <d v="2024-05-20T00:00:00"/>
        <d v="2023-01-15T00:00:00"/>
        <d v="2023-07-12T00:00:00"/>
        <d v="2025-06-21T00:00:00"/>
        <d v="2024-12-29T00:00:00"/>
        <d v="2023-05-23T00:00:00"/>
        <d v="2024-04-03T00:00:00"/>
        <d v="2024-01-17T00:00:00"/>
        <d v="2025-04-05T00:00:00"/>
        <d v="2024-10-12T00:00:00"/>
        <d v="2025-01-10T00:00:00"/>
        <d v="2024-05-22T00:00:00"/>
        <d v="2023-06-21T00:00:00"/>
        <d v="2025-01-26T00:00:00"/>
        <d v="2024-06-18T00:00:00"/>
        <d v="2024-10-29T00:00:00"/>
        <d v="2023-01-31T00:00:00"/>
        <d v="2025-03-16T00:00:00"/>
        <d v="2024-04-20T00:00:00"/>
        <d v="2024-12-20T00:00:00"/>
        <d v="2023-08-22T00:00:00"/>
        <d v="2024-12-09T00:00:00"/>
        <d v="2024-07-04T00:00:00"/>
        <d v="2025-03-12T00:00:00"/>
        <d v="2025-05-31T00:00:00"/>
        <d v="2023-10-11T00:00:00"/>
        <d v="2023-08-07T00:00:00"/>
        <d v="2024-08-01T00:00:00"/>
        <d v="2023-03-20T00:00:00"/>
        <d v="2024-05-19T00:00:00"/>
        <d v="2024-07-09T00:00:00"/>
        <d v="2025-06-28T00:00:00"/>
        <d v="2024-03-09T00:00:00"/>
        <d v="2025-06-24T00:00:00"/>
        <d v="2023-10-19T00:00:00"/>
        <d v="2024-06-17T00:00:00"/>
        <d v="2025-01-03T00:00:00"/>
        <d v="2025-04-26T00:00:00"/>
        <d v="2023-06-08T00:00:00"/>
        <d v="2025-05-23T00:00:00"/>
        <d v="2024-06-11T00:00:00"/>
        <d v="2023-05-12T00:00:00"/>
        <d v="2024-10-20T00:00:00"/>
        <d v="2024-04-04T00:00:00"/>
        <d v="2023-07-24T00:00:00"/>
        <d v="2024-07-20T00:00:00"/>
        <d v="2023-02-17T00:00:00"/>
        <d v="2024-07-02T00:00:00"/>
        <d v="2025-06-02T00:00:00"/>
        <d v="2024-11-21T00:00:00"/>
        <d v="2024-01-10T00:00:00"/>
        <d v="2024-01-06T00:00:00"/>
        <d v="2023-08-02T00:00:00"/>
        <d v="2024-05-06T00:00:00"/>
        <d v="2024-09-15T00:00:00"/>
        <d v="2023-03-01T00:00:00"/>
        <d v="2024-06-06T00:00:00"/>
        <d v="2023-09-20T00:00:00"/>
        <d v="2023-03-22T00:00:00"/>
        <d v="2023-09-05T00:00:00"/>
        <d v="2024-11-26T00:00:00"/>
        <d v="2024-10-14T00:00:00"/>
        <d v="2023-05-29T00:00:00"/>
        <d v="2023-04-22T00:00:00"/>
        <d v="2024-10-04T00:00:00"/>
        <d v="2025-04-06T00:00:00"/>
        <d v="2024-01-13T00:00:00"/>
        <d v="2025-02-23T00:00:00"/>
        <d v="2024-10-18T00:00:00"/>
        <d v="2023-01-10T00:00:00"/>
        <d v="2023-12-20T00:00:00"/>
        <d v="2024-12-03T00:00:00"/>
        <d v="2025-03-26T00:00:00"/>
        <d v="2023-05-05T00:00:00"/>
        <d v="2023-09-23T00:00:00"/>
        <d v="2023-01-17T00:00:00"/>
        <d v="2025-02-16T00:00:00"/>
        <d v="2023-06-05T00:00:00"/>
        <d v="2023-08-01T00:00:00"/>
        <d v="2025-05-09T00:00:00"/>
        <d v="2024-01-08T00:00:00"/>
        <d v="2025-04-03T00:00:00"/>
        <d v="2023-01-26T00:00:00"/>
        <d v="2025-01-15T00:00:00"/>
        <d v="2024-11-30T00:00:00"/>
        <d v="2024-06-27T00:00:00"/>
        <d v="2024-08-18T00:00:00"/>
        <d v="2023-02-20T00:00:00"/>
        <d v="2025-04-28T00:00:00"/>
        <d v="2025-02-04T00:00:00"/>
        <d v="2024-02-21T00:00:00"/>
        <d v="2023-03-24T00:00:00"/>
        <d v="2025-01-04T00:00:00"/>
        <d v="2023-01-29T00:00:00"/>
        <d v="2024-03-29T00:00:00"/>
        <d v="2025-05-28T00:00:00"/>
        <d v="2024-05-24T00:00:00"/>
        <d v="2023-07-06T00:00:00"/>
        <d v="2025-01-29T00:00:00"/>
        <d v="2025-03-23T00:00:00"/>
        <d v="2024-04-11T00:00:00"/>
        <d v="2025-04-30T00:00:00"/>
        <d v="2023-04-02T00:00:00"/>
        <d v="2023-11-10T00:00:00"/>
        <d v="2025-01-27T00:00:00"/>
        <d v="2024-03-04T00:00:00"/>
        <d v="2025-02-18T00:00:00"/>
        <d v="2024-07-16T00:00:00"/>
        <d v="2024-02-01T00:00:00"/>
        <d v="2024-01-20T00:00:00"/>
        <d v="2024-06-26T00:00:00"/>
        <d v="2024-12-12T00:00:00"/>
        <d v="2024-12-01T00:00:00"/>
        <d v="2024-09-03T00:00:00"/>
        <d v="2025-02-22T00:00:00"/>
        <d v="2023-04-18T00:00:00"/>
        <d v="2024-02-25T00:00:00"/>
        <d v="2025-04-10T00:00:00"/>
        <d v="2024-02-14T00:00:00"/>
        <d v="2023-09-12T00:00:00"/>
        <d v="2024-02-28T00:00:00"/>
        <d v="2023-05-19T00:00:00"/>
        <d v="2024-12-14T00:00:00"/>
        <d v="2023-10-25T00:00:00"/>
        <d v="2023-07-10T00:00:00"/>
        <d v="2024-08-06T00:00:00"/>
        <d v="2024-01-31T00:00:00"/>
        <d v="2023-10-29T00:00:00"/>
        <d v="2024-06-12T00:00:00"/>
        <d v="2023-05-04T00:00:00"/>
        <d v="2024-11-03T00:00:00"/>
        <d v="2023-10-16T00:00:00"/>
        <d v="2023-05-21T00:00:00"/>
        <d v="2024-03-26T00:00:00"/>
        <d v="2024-09-25T00:00:00"/>
        <d v="2023-04-06T00:00:00"/>
        <d v="2024-12-15T00:00:00"/>
        <d v="2024-08-21T00:00:00"/>
        <d v="2023-08-24T00:00:00"/>
        <d v="2024-08-09T00:00:00"/>
        <d v="2024-08-20T00:00:00"/>
        <d v="2023-06-26T00:00:00"/>
        <d v="2023-08-20T00:00:00"/>
        <d v="2024-10-28T00:00:00"/>
        <d v="2023-12-07T00:00:00"/>
        <d v="2025-06-17T00:00:00"/>
        <d v="2023-01-19T00:00:00"/>
        <d v="2023-07-09T00:00:00"/>
        <d v="2025-02-08T00:00:00"/>
        <d v="2025-04-25T00:00:00"/>
        <d v="2024-05-21T00:00:00"/>
        <d v="2023-10-22T00:00:00"/>
        <d v="2025-05-18T00:00:00"/>
        <d v="2025-02-09T00:00:00"/>
        <d v="2025-02-15T00:00:00"/>
        <d v="2023-08-08T00:00:00"/>
        <d v="2023-08-21T00:00:00"/>
        <d v="2023-12-06T00:00:00"/>
        <d v="2025-02-11T00:00:00"/>
        <d v="2024-08-08T00:00:00"/>
        <d v="2024-09-04T00:00:00"/>
        <d v="2024-12-30T00:00:00"/>
        <d v="2024-02-10T00:00:00"/>
        <d v="2023-08-11T00:00:00"/>
        <d v="2024-01-07T00:00:00"/>
        <d v="2023-01-14T00:00:00"/>
        <d v="2024-10-06T00:00:00"/>
        <d v="2023-10-06T00:00:00"/>
        <d v="2024-06-23T00:00:00"/>
        <d v="2025-01-14T00:00:00"/>
        <d v="2024-04-07T00:00:00"/>
        <d v="2024-11-25T00:00:00"/>
        <d v="2024-11-29T00:00:00"/>
        <d v="2024-04-16T00:00:00"/>
        <d v="2023-04-08T00:00:00"/>
        <d v="2023-01-30T00:00:00"/>
        <d v="2024-10-27T00:00:00"/>
        <d v="2025-03-24T00:00:00"/>
        <d v="2025-05-03T00:00:00"/>
        <d v="2025-01-05T00:00:00"/>
        <d v="2024-03-12T00:00:00"/>
        <d v="2024-07-03T00:00:00"/>
        <d v="2024-02-04T00:00:00"/>
        <d v="2025-05-02T00:00:00"/>
        <d v="2023-11-12T00:00:00"/>
        <d v="2025-05-07T00:00:00"/>
        <d v="2025-04-24T00:00:00"/>
        <d v="2024-11-07T00:00:00"/>
        <d v="2024-07-26T00:00:00"/>
        <d v="2024-03-25T00:00:00"/>
        <d v="2023-10-20T00:00:00"/>
        <d v="2024-09-19T00:00:00"/>
        <d v="2024-12-31T00:00:00"/>
        <d v="2023-11-15T00:00:00"/>
        <d v="2023-11-24T00:00:00"/>
        <d v="2025-05-15T00:00:00"/>
        <d v="2024-02-06T00:00:00"/>
        <d v="2025-05-14T00:00:00"/>
        <d v="2024-02-19T00:00:00"/>
        <d v="2023-05-07T00:00:00"/>
        <d v="2024-07-28T00:00:00"/>
        <d v="2024-07-05T00:00:00"/>
        <d v="2023-08-03T00:00:00"/>
        <d v="2024-02-05T00:00:00"/>
        <d v="2023-03-31T00:00:00"/>
        <d v="2023-08-18T00:00:00"/>
        <d v="2024-08-03T00:00:00"/>
        <d v="2023-05-26T00:00:00"/>
        <d v="2024-10-25T00:00:00"/>
        <d v="2024-03-30T00:00:00"/>
        <d v="2023-06-02T00:00:00"/>
        <d v="2024-12-06T00:00:00"/>
        <d v="2023-01-18T00:00:00"/>
        <d v="2024-05-29T00:00:00"/>
        <d v="2023-03-02T00:00:00"/>
        <d v="2023-01-04T00:00:00"/>
        <d v="2024-09-23T00:00:00"/>
        <d v="2023-09-13T00:00:00"/>
        <d v="2024-06-22T00:00:00"/>
        <d v="2025-01-22T00:00:00"/>
        <d v="2023-04-20T00:00:00"/>
        <d v="2025-06-23T00:00:00"/>
        <d v="2024-06-09T00:00:00"/>
        <d v="2024-07-24T00:00:00"/>
        <d v="2023-10-08T00:00:00"/>
        <d v="2023-01-02T00:00:00"/>
        <d v="2023-09-04T00:00:00"/>
        <d v="2023-12-17T00:00:00"/>
        <d v="2023-05-11T00:00:00"/>
        <d v="2024-08-16T00:00:00"/>
        <d v="2025-05-30T00:00:00"/>
        <d v="2025-01-28T00:00:00"/>
        <d v="2024-11-27T00:00:00"/>
        <d v="2023-10-09T00:00:00"/>
        <d v="2024-07-21T00:00:00"/>
        <d v="2024-09-24T00:00:00"/>
        <d v="2024-01-11T00:00:00"/>
        <m/>
      </sharedItems>
    </cacheField>
    <cacheField name="WeekNum" numFmtId="0">
      <sharedItems containsString="0" containsBlank="1" containsNumber="1" containsInteger="1" minValue="1" maxValue="53" count="54">
        <n v="8"/>
        <n v="51"/>
        <n v="19"/>
        <n v="9"/>
        <n v="25"/>
        <n v="2"/>
        <n v="42"/>
        <n v="10"/>
        <n v="15"/>
        <n v="28"/>
        <n v="29"/>
        <n v="3"/>
        <n v="50"/>
        <n v="20"/>
        <n v="22"/>
        <n v="48"/>
        <n v="23"/>
        <n v="32"/>
        <n v="21"/>
        <n v="43"/>
        <n v="47"/>
        <n v="49"/>
        <n v="7"/>
        <n v="11"/>
        <n v="14"/>
        <n v="36"/>
        <n v="12"/>
        <n v="30"/>
        <n v="26"/>
        <n v="6"/>
        <n v="37"/>
        <n v="1"/>
        <n v="16"/>
        <n v="24"/>
        <n v="4"/>
        <n v="40"/>
        <n v="31"/>
        <n v="52"/>
        <n v="46"/>
        <n v="39"/>
        <n v="18"/>
        <n v="13"/>
        <n v="17"/>
        <n v="5"/>
        <n v="35"/>
        <n v="33"/>
        <n v="38"/>
        <n v="45"/>
        <n v="34"/>
        <n v="27"/>
        <n v="44"/>
        <n v="41"/>
        <n v="53"/>
        <m/>
      </sharedItems>
    </cacheField>
    <cacheField name="DeliveryDate" numFmtId="0">
      <sharedItems containsNonDate="0" containsDate="1" containsString="0" containsBlank="1" minDate="2023-01-08T00:00:00" maxDate="2025-07-11T00:00:00"/>
    </cacheField>
    <cacheField name="RegionManager" numFmtId="0">
      <sharedItems containsBlank="1"/>
    </cacheField>
  </cacheFields>
  <calculatedItems count="2">
    <calculatedItem>
      <pivotArea cacheIndex="1" outline="0" fieldPosition="0">
        <references count="1">
          <reference field="1" count="1">
            <x v="11"/>
          </reference>
        </references>
      </pivotArea>
    </calculatedItem>
    <calculatedItem formula="0">
      <pivotArea cacheIndex="1" fieldPosition="0">
        <references count="1">
          <reference field="1" count="1">
            <x v="11"/>
          </reference>
        </references>
      </pivotArea>
    </calculatedItem>
  </calculatedItems>
  <extLst>
    <ext xmlns:x14="http://schemas.microsoft.com/office/spreadsheetml/2009/9/main" uri="{725AE2AE-9491-48be-B2B4-4EB974FC3084}">
      <x14:pivotCacheDefinition pivotCacheId="12412742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1">
  <r>
    <d v="2023-02-23T00:00:00"/>
    <x v="0"/>
    <x v="0"/>
    <n v="14"/>
    <n v="163.6"/>
    <s v="Store B"/>
    <s v="Wholesale"/>
    <x v="0"/>
    <x v="0"/>
    <x v="0"/>
    <x v="0"/>
    <x v="0"/>
    <x v="0"/>
    <s v="REG100000"/>
    <s v="Cust 6583"/>
    <n v="43.34"/>
    <x v="0"/>
    <x v="0"/>
    <d v="2023-02-27T00:00:00"/>
    <s v="Eric"/>
  </r>
  <r>
    <d v="2024-12-19T00:00:00"/>
    <x v="1"/>
    <x v="1"/>
    <n v="1"/>
    <n v="544.01"/>
    <s v="Store A"/>
    <s v="Retail"/>
    <x v="0"/>
    <x v="1"/>
    <x v="1"/>
    <x v="1"/>
    <x v="1"/>
    <x v="0"/>
    <s v="REG100001"/>
    <s v="Cust 2144"/>
    <n v="5.3"/>
    <x v="1"/>
    <x v="1"/>
    <d v="2024-12-28T00:00:00"/>
    <s v="Sophie"/>
  </r>
  <r>
    <d v="2023-05-10T00:00:00"/>
    <x v="2"/>
    <x v="2"/>
    <n v="14"/>
    <n v="346.18"/>
    <s v="Store B"/>
    <s v="Wholesale"/>
    <x v="1"/>
    <x v="1"/>
    <x v="2"/>
    <x v="0"/>
    <x v="2"/>
    <x v="0"/>
    <s v="REG100002"/>
    <s v="Cust 5998"/>
    <n v="20.46"/>
    <x v="2"/>
    <x v="2"/>
    <d v="2023-05-19T00:00:00"/>
    <s v="Ryan"/>
  </r>
  <r>
    <d v="2025-02-26T00:00:00"/>
    <x v="3"/>
    <x v="3"/>
    <n v="18"/>
    <n v="384.82"/>
    <s v="Store A"/>
    <s v="Wholesale"/>
    <x v="2"/>
    <x v="2"/>
    <x v="3"/>
    <x v="1"/>
    <x v="0"/>
    <x v="0"/>
    <s v="REG100003"/>
    <s v="Cust 7136"/>
    <n v="27.95"/>
    <x v="3"/>
    <x v="3"/>
    <d v="2025-03-02T00:00:00"/>
    <s v="Cameron"/>
  </r>
  <r>
    <d v="2023-06-24T00:00:00"/>
    <x v="0"/>
    <x v="2"/>
    <n v="18"/>
    <n v="237.76"/>
    <s v="Store C"/>
    <s v="Retail"/>
    <x v="0"/>
    <x v="3"/>
    <x v="4"/>
    <x v="0"/>
    <x v="1"/>
    <x v="0"/>
    <s v="REG100004"/>
    <s v="Cust 6506"/>
    <n v="5.73"/>
    <x v="4"/>
    <x v="4"/>
    <d v="2023-06-27T00:00:00"/>
    <s v="Eric"/>
  </r>
  <r>
    <d v="2024-02-20T00:00:00"/>
    <x v="3"/>
    <x v="4"/>
    <n v="2"/>
    <n v="385.09"/>
    <s v="Store D"/>
    <s v="Wholesale"/>
    <x v="2"/>
    <x v="4"/>
    <x v="5"/>
    <x v="2"/>
    <x v="3"/>
    <x v="0"/>
    <s v="REG100005"/>
    <s v="Cust 3909"/>
    <n v="11.92"/>
    <x v="5"/>
    <x v="0"/>
    <d v="2024-03-01T00:00:00"/>
    <s v="Cameron"/>
  </r>
  <r>
    <d v="2023-01-11T00:00:00"/>
    <x v="1"/>
    <x v="3"/>
    <n v="7"/>
    <n v="17.5"/>
    <s v="Store C"/>
    <s v="Retail"/>
    <x v="1"/>
    <x v="1"/>
    <x v="6"/>
    <x v="3"/>
    <x v="2"/>
    <x v="0"/>
    <s v="REG100006"/>
    <s v="Cust 7887"/>
    <n v="5.0199999999999996"/>
    <x v="6"/>
    <x v="5"/>
    <d v="2023-01-14T00:00:00"/>
    <s v="Sophie"/>
  </r>
  <r>
    <d v="2023-01-09T00:00:00"/>
    <x v="3"/>
    <x v="3"/>
    <n v="3"/>
    <n v="330.22"/>
    <s v="Store C"/>
    <s v="Wholesale"/>
    <x v="2"/>
    <x v="3"/>
    <x v="7"/>
    <x v="4"/>
    <x v="3"/>
    <x v="0"/>
    <s v="REG100007"/>
    <s v="Cust 5301"/>
    <n v="48.01"/>
    <x v="7"/>
    <x v="5"/>
    <d v="2023-01-11T00:00:00"/>
    <s v="Cameron"/>
  </r>
  <r>
    <d v="2024-10-16T00:00:00"/>
    <x v="1"/>
    <x v="3"/>
    <n v="3"/>
    <n v="432.04"/>
    <s v="Store D"/>
    <s v="Wholesale"/>
    <x v="3"/>
    <x v="5"/>
    <x v="8"/>
    <x v="3"/>
    <x v="0"/>
    <x v="1"/>
    <s v="REG100008"/>
    <s v="Cust 2284"/>
    <n v="42.11"/>
    <x v="8"/>
    <x v="6"/>
    <d v="2024-10-18T00:00:00"/>
    <s v="Sophie"/>
  </r>
  <r>
    <d v="2025-03-05T00:00:00"/>
    <x v="4"/>
    <x v="2"/>
    <n v="5"/>
    <n v="323.27999999999997"/>
    <s v="Store D"/>
    <s v="Retail"/>
    <x v="1"/>
    <x v="2"/>
    <x v="9"/>
    <x v="1"/>
    <x v="1"/>
    <x v="0"/>
    <s v="REG100009"/>
    <s v="Cust 3732"/>
    <n v="41.1"/>
    <x v="9"/>
    <x v="7"/>
    <d v="2025-03-13T00:00:00"/>
    <s v="Wendy"/>
  </r>
  <r>
    <d v="2024-04-10T00:00:00"/>
    <x v="2"/>
    <x v="2"/>
    <n v="15"/>
    <n v="523.29"/>
    <s v="Store B"/>
    <s v="Wholesale"/>
    <x v="2"/>
    <x v="0"/>
    <x v="10"/>
    <x v="3"/>
    <x v="3"/>
    <x v="0"/>
    <s v="REG100010"/>
    <s v="Cust 1462"/>
    <n v="12.14"/>
    <x v="10"/>
    <x v="8"/>
    <d v="2024-04-17T00:00:00"/>
    <s v="Ryan"/>
  </r>
  <r>
    <d v="2024-07-12T00:00:00"/>
    <x v="0"/>
    <x v="1"/>
    <n v="19"/>
    <n v="207.35"/>
    <s v="Store D"/>
    <s v="Retail"/>
    <x v="1"/>
    <x v="0"/>
    <x v="11"/>
    <x v="1"/>
    <x v="3"/>
    <x v="1"/>
    <s v="REG100011"/>
    <s v="Cust 4330"/>
    <n v="44.89"/>
    <x v="11"/>
    <x v="9"/>
    <d v="2024-07-18T00:00:00"/>
    <s v="Eric"/>
  </r>
  <r>
    <d v="2023-07-21T00:00:00"/>
    <x v="3"/>
    <x v="1"/>
    <n v="1"/>
    <n v="120.53"/>
    <s v="Store B"/>
    <s v="Retail"/>
    <x v="3"/>
    <x v="4"/>
    <x v="12"/>
    <x v="4"/>
    <x v="2"/>
    <x v="0"/>
    <s v="REG100012"/>
    <s v="Cust 2372"/>
    <n v="20.350000000000001"/>
    <x v="12"/>
    <x v="10"/>
    <d v="2023-07-31T00:00:00"/>
    <s v="Cameron"/>
  </r>
  <r>
    <d v="2025-01-18T00:00:00"/>
    <x v="4"/>
    <x v="5"/>
    <n v="1"/>
    <n v="157.83000000000001"/>
    <s v="Store A"/>
    <s v="Wholesale"/>
    <x v="2"/>
    <x v="3"/>
    <x v="13"/>
    <x v="3"/>
    <x v="3"/>
    <x v="0"/>
    <s v="REG100013"/>
    <s v="Cust 4672"/>
    <n v="42.82"/>
    <x v="13"/>
    <x v="11"/>
    <d v="2025-01-22T00:00:00"/>
    <s v="Wendy"/>
  </r>
  <r>
    <d v="2024-12-08T00:00:00"/>
    <x v="2"/>
    <x v="2"/>
    <n v="15"/>
    <n v="220.3"/>
    <s v="Store B"/>
    <s v="Retail"/>
    <x v="2"/>
    <x v="4"/>
    <x v="14"/>
    <x v="3"/>
    <x v="3"/>
    <x v="0"/>
    <s v="REG100014"/>
    <s v="Cust 4548"/>
    <n v="39.659999999999997"/>
    <x v="14"/>
    <x v="12"/>
    <d v="2024-12-15T00:00:00"/>
    <s v="Ryan"/>
  </r>
  <r>
    <d v="2025-05-11T00:00:00"/>
    <x v="4"/>
    <x v="3"/>
    <n v="17"/>
    <n v="162.96"/>
    <s v="Store A"/>
    <s v="Wholesale"/>
    <x v="3"/>
    <x v="0"/>
    <x v="15"/>
    <x v="1"/>
    <x v="0"/>
    <x v="0"/>
    <s v="REG100015"/>
    <s v="Cust 7037"/>
    <n v="8.11"/>
    <x v="15"/>
    <x v="13"/>
    <d v="2025-05-17T00:00:00"/>
    <s v="Wendy"/>
  </r>
  <r>
    <d v="2023-02-26T00:00:00"/>
    <x v="4"/>
    <x v="0"/>
    <n v="19"/>
    <n v="236.11"/>
    <s v="Store D"/>
    <s v="Wholesale"/>
    <x v="0"/>
    <x v="5"/>
    <x v="16"/>
    <x v="0"/>
    <x v="2"/>
    <x v="0"/>
    <s v="REG100016"/>
    <s v="Cust 4975"/>
    <n v="34.11"/>
    <x v="16"/>
    <x v="3"/>
    <d v="2023-03-04T00:00:00"/>
    <s v="Wendy"/>
  </r>
  <r>
    <d v="2024-05-28T00:00:00"/>
    <x v="3"/>
    <x v="2"/>
    <n v="11"/>
    <n v="573.14"/>
    <s v="Store D"/>
    <s v="Retail"/>
    <x v="3"/>
    <x v="4"/>
    <x v="17"/>
    <x v="4"/>
    <x v="1"/>
    <x v="0"/>
    <s v="REG100017"/>
    <s v="Cust 8014"/>
    <n v="34.71"/>
    <x v="17"/>
    <x v="14"/>
    <d v="2024-06-01T00:00:00"/>
    <s v="Cameron"/>
  </r>
  <r>
    <d v="2023-11-30T00:00:00"/>
    <x v="0"/>
    <x v="1"/>
    <n v="20"/>
    <n v="519.04"/>
    <s v="Store B"/>
    <s v="Retail"/>
    <x v="2"/>
    <x v="3"/>
    <x v="18"/>
    <x v="1"/>
    <x v="0"/>
    <x v="0"/>
    <s v="REG100018"/>
    <s v="Cust 1228"/>
    <n v="19.43"/>
    <x v="18"/>
    <x v="15"/>
    <d v="2023-12-08T00:00:00"/>
    <s v="Eric"/>
  </r>
  <r>
    <d v="2023-06-22T00:00:00"/>
    <x v="4"/>
    <x v="2"/>
    <n v="14"/>
    <n v="30.83"/>
    <s v="Store B"/>
    <s v="Retail"/>
    <x v="0"/>
    <x v="3"/>
    <x v="19"/>
    <x v="0"/>
    <x v="2"/>
    <x v="1"/>
    <s v="REG100019"/>
    <s v="Cust 4247"/>
    <n v="7.1"/>
    <x v="19"/>
    <x v="4"/>
    <d v="2023-07-02T00:00:00"/>
    <s v="Wendy"/>
  </r>
  <r>
    <d v="2025-06-05T00:00:00"/>
    <x v="4"/>
    <x v="1"/>
    <n v="10"/>
    <n v="319.05"/>
    <s v="Store D"/>
    <s v="Wholesale"/>
    <x v="0"/>
    <x v="4"/>
    <x v="20"/>
    <x v="0"/>
    <x v="3"/>
    <x v="0"/>
    <s v="REG100020"/>
    <s v="Cust 4199"/>
    <n v="28.43"/>
    <x v="20"/>
    <x v="16"/>
    <d v="2025-06-08T00:00:00"/>
    <s v="Wendy"/>
  </r>
  <r>
    <d v="2023-03-03T00:00:00"/>
    <x v="3"/>
    <x v="3"/>
    <n v="14"/>
    <n v="312.79000000000002"/>
    <s v="Store A"/>
    <s v="Retail"/>
    <x v="3"/>
    <x v="5"/>
    <x v="21"/>
    <x v="0"/>
    <x v="3"/>
    <x v="1"/>
    <s v="REG100021"/>
    <s v="Cust 4186"/>
    <n v="46.83"/>
    <x v="21"/>
    <x v="3"/>
    <d v="2023-03-08T00:00:00"/>
    <s v="Cameron"/>
  </r>
  <r>
    <d v="2024-02-18T00:00:00"/>
    <x v="2"/>
    <x v="0"/>
    <n v="14"/>
    <n v="395.45"/>
    <s v="Store C"/>
    <s v="Retail"/>
    <x v="0"/>
    <x v="3"/>
    <x v="22"/>
    <x v="4"/>
    <x v="0"/>
    <x v="1"/>
    <s v="REG100022"/>
    <s v="Cust 8137"/>
    <n v="36.450000000000003"/>
    <x v="22"/>
    <x v="0"/>
    <d v="2024-02-22T00:00:00"/>
    <s v="Ryan"/>
  </r>
  <r>
    <d v="2023-08-06T00:00:00"/>
    <x v="3"/>
    <x v="0"/>
    <n v="12"/>
    <n v="472.72"/>
    <s v="Store D"/>
    <s v="Retail"/>
    <x v="2"/>
    <x v="4"/>
    <x v="23"/>
    <x v="2"/>
    <x v="3"/>
    <x v="0"/>
    <s v="REG100023"/>
    <s v="Cust 4638"/>
    <n v="27.97"/>
    <x v="23"/>
    <x v="17"/>
    <d v="2023-08-14T00:00:00"/>
    <s v="Cameron"/>
  </r>
  <r>
    <d v="2024-05-23T00:00:00"/>
    <x v="2"/>
    <x v="2"/>
    <n v="5"/>
    <n v="288.01"/>
    <s v="Store A"/>
    <s v="Wholesale"/>
    <x v="0"/>
    <x v="0"/>
    <x v="24"/>
    <x v="2"/>
    <x v="0"/>
    <x v="0"/>
    <s v="REG100024"/>
    <s v="Cust 8538"/>
    <n v="46.69"/>
    <x v="24"/>
    <x v="18"/>
    <d v="2024-05-30T00:00:00"/>
    <s v="Ryan"/>
  </r>
  <r>
    <d v="2023-10-23T00:00:00"/>
    <x v="0"/>
    <x v="1"/>
    <n v="13"/>
    <n v="562.29"/>
    <s v="Store D"/>
    <s v="Retail"/>
    <x v="0"/>
    <x v="4"/>
    <x v="25"/>
    <x v="1"/>
    <x v="1"/>
    <x v="0"/>
    <s v="REG100025"/>
    <s v="Cust 6322"/>
    <n v="38.130000000000003"/>
    <x v="25"/>
    <x v="19"/>
    <d v="2023-10-28T00:00:00"/>
    <s v="Eric"/>
  </r>
  <r>
    <d v="2025-06-16T00:00:00"/>
    <x v="4"/>
    <x v="1"/>
    <n v="1"/>
    <n v="101.73"/>
    <s v="Store D"/>
    <s v="Retail"/>
    <x v="0"/>
    <x v="2"/>
    <x v="26"/>
    <x v="3"/>
    <x v="2"/>
    <x v="0"/>
    <s v="REG100026"/>
    <s v="Cust 2609"/>
    <n v="11.59"/>
    <x v="26"/>
    <x v="4"/>
    <d v="2025-06-25T00:00:00"/>
    <s v="Wendy"/>
  </r>
  <r>
    <d v="2023-03-03T00:00:00"/>
    <x v="2"/>
    <x v="1"/>
    <n v="4"/>
    <n v="279.49"/>
    <s v="Store B"/>
    <s v="Retail"/>
    <x v="0"/>
    <x v="4"/>
    <x v="27"/>
    <x v="2"/>
    <x v="0"/>
    <x v="0"/>
    <s v="REG100027"/>
    <s v="Cust 6880"/>
    <n v="24.78"/>
    <x v="21"/>
    <x v="3"/>
    <d v="2023-03-08T00:00:00"/>
    <s v="Ryan"/>
  </r>
  <r>
    <d v="2024-11-18T00:00:00"/>
    <x v="1"/>
    <x v="0"/>
    <n v="1"/>
    <n v="178.55"/>
    <s v="Store A"/>
    <s v="Retail"/>
    <x v="2"/>
    <x v="3"/>
    <x v="28"/>
    <x v="3"/>
    <x v="1"/>
    <x v="1"/>
    <s v="REG100028"/>
    <s v="Cust 1997"/>
    <n v="7.61"/>
    <x v="27"/>
    <x v="20"/>
    <d v="2024-11-21T00:00:00"/>
    <s v="Sophie"/>
  </r>
  <r>
    <d v="2023-05-09T00:00:00"/>
    <x v="3"/>
    <x v="5"/>
    <n v="1"/>
    <n v="472.07"/>
    <s v="Store A"/>
    <s v="Wholesale"/>
    <x v="1"/>
    <x v="3"/>
    <x v="29"/>
    <x v="0"/>
    <x v="0"/>
    <x v="0"/>
    <s v="REG100029"/>
    <s v="Cust 7072"/>
    <n v="33.17"/>
    <x v="28"/>
    <x v="2"/>
    <d v="2023-05-17T00:00:00"/>
    <s v="Cameron"/>
  </r>
  <r>
    <d v="2024-12-07T00:00:00"/>
    <x v="2"/>
    <x v="5"/>
    <n v="12"/>
    <n v="306.29000000000002"/>
    <s v="Store D"/>
    <s v="Retail"/>
    <x v="0"/>
    <x v="2"/>
    <x v="30"/>
    <x v="3"/>
    <x v="1"/>
    <x v="0"/>
    <s v="REG100030"/>
    <s v="Cust 7201"/>
    <n v="37.380000000000003"/>
    <x v="29"/>
    <x v="21"/>
    <d v="2024-12-14T00:00:00"/>
    <s v="Ryan"/>
  </r>
  <r>
    <d v="2024-02-13T00:00:00"/>
    <x v="2"/>
    <x v="1"/>
    <n v="7"/>
    <n v="434.77"/>
    <s v="Store C"/>
    <s v="Retail"/>
    <x v="2"/>
    <x v="2"/>
    <x v="31"/>
    <x v="0"/>
    <x v="1"/>
    <x v="0"/>
    <s v="REG100031"/>
    <s v="Cust 9923"/>
    <n v="12.35"/>
    <x v="30"/>
    <x v="22"/>
    <d v="2024-02-15T00:00:00"/>
    <s v="Ryan"/>
  </r>
  <r>
    <d v="2025-03-09T00:00:00"/>
    <x v="1"/>
    <x v="2"/>
    <n v="6"/>
    <n v="64.98"/>
    <s v="Store C"/>
    <s v="Retail"/>
    <x v="0"/>
    <x v="3"/>
    <x v="32"/>
    <x v="3"/>
    <x v="2"/>
    <x v="0"/>
    <s v="REG100032"/>
    <s v="Cust 2205"/>
    <n v="21.25"/>
    <x v="31"/>
    <x v="23"/>
    <d v="2025-03-15T00:00:00"/>
    <s v="Sophie"/>
  </r>
  <r>
    <d v="2023-04-05T00:00:00"/>
    <x v="3"/>
    <x v="2"/>
    <n v="17"/>
    <n v="476.49"/>
    <s v="Store D"/>
    <s v="Retail"/>
    <x v="0"/>
    <x v="1"/>
    <x v="33"/>
    <x v="1"/>
    <x v="3"/>
    <x v="0"/>
    <s v="REG100033"/>
    <s v="Cust 6403"/>
    <n v="17.91"/>
    <x v="32"/>
    <x v="24"/>
    <d v="2023-04-11T00:00:00"/>
    <s v="Cameron"/>
  </r>
  <r>
    <d v="2025-05-08T00:00:00"/>
    <x v="2"/>
    <x v="4"/>
    <n v="4"/>
    <n v="559.72"/>
    <s v="Store D"/>
    <s v="Retail"/>
    <x v="2"/>
    <x v="4"/>
    <x v="34"/>
    <x v="0"/>
    <x v="1"/>
    <x v="0"/>
    <s v="REG100034"/>
    <s v="Cust 3953"/>
    <n v="41.91"/>
    <x v="33"/>
    <x v="2"/>
    <d v="2025-05-12T00:00:00"/>
    <s v="Ryan"/>
  </r>
  <r>
    <d v="2023-09-03T00:00:00"/>
    <x v="2"/>
    <x v="5"/>
    <n v="14"/>
    <n v="82.14"/>
    <s v="Store C"/>
    <s v="Retail"/>
    <x v="0"/>
    <x v="1"/>
    <x v="35"/>
    <x v="2"/>
    <x v="3"/>
    <x v="0"/>
    <s v="REG100035"/>
    <s v="Cust 7902"/>
    <n v="12.57"/>
    <x v="34"/>
    <x v="25"/>
    <d v="2023-09-11T00:00:00"/>
    <s v="Ryan"/>
  </r>
  <r>
    <d v="2025-03-21T00:00:00"/>
    <x v="3"/>
    <x v="3"/>
    <n v="9"/>
    <n v="343.21"/>
    <s v="Store A"/>
    <s v="Retail"/>
    <x v="3"/>
    <x v="3"/>
    <x v="36"/>
    <x v="3"/>
    <x v="0"/>
    <x v="0"/>
    <s v="REG100036"/>
    <s v="Cust 9968"/>
    <n v="40.29"/>
    <x v="35"/>
    <x v="26"/>
    <d v="2025-03-28T00:00:00"/>
    <s v="Cameron"/>
  </r>
  <r>
    <d v="2025-06-20T00:00:00"/>
    <x v="1"/>
    <x v="3"/>
    <n v="7"/>
    <n v="301.01"/>
    <s v="Store B"/>
    <s v="Retail"/>
    <x v="2"/>
    <x v="4"/>
    <x v="37"/>
    <x v="4"/>
    <x v="1"/>
    <x v="1"/>
    <s v="REG100037"/>
    <s v="Cust 3787"/>
    <n v="34.97"/>
    <x v="36"/>
    <x v="4"/>
    <d v="2025-06-30T00:00:00"/>
    <s v="Sophie"/>
  </r>
  <r>
    <d v="2024-02-15T00:00:00"/>
    <x v="3"/>
    <x v="6"/>
    <n v="14"/>
    <n v="428.13"/>
    <s v="Store C"/>
    <s v="Retail"/>
    <x v="1"/>
    <x v="5"/>
    <x v="38"/>
    <x v="4"/>
    <x v="3"/>
    <x v="1"/>
    <s v="REG100038"/>
    <s v="Cust 2469"/>
    <n v="24.77"/>
    <x v="37"/>
    <x v="22"/>
    <d v="2024-02-25T00:00:00"/>
    <s v="Cameron"/>
  </r>
  <r>
    <d v="2023-06-09T00:00:00"/>
    <x v="3"/>
    <x v="0"/>
    <n v="2"/>
    <n v="503.28"/>
    <s v="Store D"/>
    <s v="Retail"/>
    <x v="2"/>
    <x v="1"/>
    <x v="39"/>
    <x v="1"/>
    <x v="3"/>
    <x v="0"/>
    <s v="REG100039"/>
    <s v="Cust 6468"/>
    <n v="34.79"/>
    <x v="38"/>
    <x v="16"/>
    <d v="2023-06-17T00:00:00"/>
    <s v="Cameron"/>
  </r>
  <r>
    <d v="2023-08-10T00:00:00"/>
    <x v="1"/>
    <x v="6"/>
    <n v="5"/>
    <n v="470.32"/>
    <s v="Store A"/>
    <s v="Retail"/>
    <x v="1"/>
    <x v="0"/>
    <x v="40"/>
    <x v="3"/>
    <x v="1"/>
    <x v="0"/>
    <s v="REG100040"/>
    <s v="Cust 5312"/>
    <n v="17.77"/>
    <x v="39"/>
    <x v="17"/>
    <d v="2023-08-14T00:00:00"/>
    <s v="Sophie"/>
  </r>
  <r>
    <d v="2024-06-16T00:00:00"/>
    <x v="3"/>
    <x v="6"/>
    <n v="20"/>
    <n v="65.17"/>
    <s v="Store C"/>
    <s v="Wholesale"/>
    <x v="3"/>
    <x v="0"/>
    <x v="41"/>
    <x v="1"/>
    <x v="0"/>
    <x v="0"/>
    <s v="REG100041"/>
    <s v="Cust 1482"/>
    <n v="21.72"/>
    <x v="40"/>
    <x v="4"/>
    <d v="2024-06-25T00:00:00"/>
    <s v="Cameron"/>
  </r>
  <r>
    <d v="2023-07-23T00:00:00"/>
    <x v="1"/>
    <x v="0"/>
    <n v="12"/>
    <n v="36.17"/>
    <s v="Store A"/>
    <s v="Retail"/>
    <x v="0"/>
    <x v="0"/>
    <x v="42"/>
    <x v="0"/>
    <x v="2"/>
    <x v="0"/>
    <s v="REG100042"/>
    <s v="Cust 7903"/>
    <n v="34.85"/>
    <x v="41"/>
    <x v="27"/>
    <d v="2023-07-26T00:00:00"/>
    <s v="Sophie"/>
  </r>
  <r>
    <d v="2023-05-20T00:00:00"/>
    <x v="3"/>
    <x v="6"/>
    <n v="4"/>
    <n v="459.31"/>
    <s v="Store D"/>
    <s v="Wholesale"/>
    <x v="2"/>
    <x v="3"/>
    <x v="43"/>
    <x v="1"/>
    <x v="2"/>
    <x v="1"/>
    <s v="REG100043"/>
    <s v="Cust 9605"/>
    <n v="27.39"/>
    <x v="42"/>
    <x v="13"/>
    <d v="2023-05-27T00:00:00"/>
    <s v="Cameron"/>
  </r>
  <r>
    <d v="2023-06-30T00:00:00"/>
    <x v="1"/>
    <x v="0"/>
    <n v="2"/>
    <n v="416.06"/>
    <s v="Store D"/>
    <s v="Retail"/>
    <x v="3"/>
    <x v="0"/>
    <x v="44"/>
    <x v="3"/>
    <x v="1"/>
    <x v="0"/>
    <s v="REG100044"/>
    <s v="Cust 3298"/>
    <n v="11.62"/>
    <x v="43"/>
    <x v="28"/>
    <d v="2023-07-04T00:00:00"/>
    <s v="Sophie"/>
  </r>
  <r>
    <d v="2024-06-04T00:00:00"/>
    <x v="1"/>
    <x v="5"/>
    <n v="16"/>
    <n v="302.58"/>
    <s v="Store D"/>
    <s v="Retail"/>
    <x v="0"/>
    <x v="1"/>
    <x v="45"/>
    <x v="0"/>
    <x v="2"/>
    <x v="1"/>
    <s v="REG100045"/>
    <s v="Cust 5533"/>
    <n v="20.76"/>
    <x v="44"/>
    <x v="16"/>
    <d v="2024-06-14T00:00:00"/>
    <s v="Sophie"/>
  </r>
  <r>
    <d v="2025-02-03T00:00:00"/>
    <x v="4"/>
    <x v="3"/>
    <n v="11"/>
    <n v="33.130000000000003"/>
    <s v="Store A"/>
    <s v="Retail"/>
    <x v="2"/>
    <x v="2"/>
    <x v="46"/>
    <x v="0"/>
    <x v="0"/>
    <x v="0"/>
    <s v="REG100046"/>
    <s v="Cust 6362"/>
    <n v="24.95"/>
    <x v="45"/>
    <x v="29"/>
    <d v="2025-02-05T00:00:00"/>
    <s v="Wendy"/>
  </r>
  <r>
    <d v="2024-01-09T00:00:00"/>
    <x v="0"/>
    <x v="5"/>
    <n v="8"/>
    <n v="582.52"/>
    <s v="Store D"/>
    <s v="Retail"/>
    <x v="2"/>
    <x v="2"/>
    <x v="47"/>
    <x v="1"/>
    <x v="2"/>
    <x v="0"/>
    <s v="REG100047"/>
    <s v="Cust 4826"/>
    <n v="6.47"/>
    <x v="46"/>
    <x v="5"/>
    <d v="2024-01-13T00:00:00"/>
    <s v="Eric"/>
  </r>
  <r>
    <d v="2024-03-14T00:00:00"/>
    <x v="2"/>
    <x v="2"/>
    <n v="5"/>
    <n v="165.15"/>
    <s v="Store A"/>
    <s v="Retail"/>
    <x v="1"/>
    <x v="0"/>
    <x v="48"/>
    <x v="1"/>
    <x v="3"/>
    <x v="0"/>
    <s v="REG100048"/>
    <s v="Cust 2171"/>
    <n v="20.57"/>
    <x v="47"/>
    <x v="23"/>
    <d v="2024-03-16T00:00:00"/>
    <s v="Ryan"/>
  </r>
  <r>
    <d v="2024-09-06T00:00:00"/>
    <x v="4"/>
    <x v="4"/>
    <n v="14"/>
    <n v="242.82"/>
    <s v="Store D"/>
    <s v="Wholesale"/>
    <x v="2"/>
    <x v="1"/>
    <x v="49"/>
    <x v="4"/>
    <x v="2"/>
    <x v="1"/>
    <s v="REG100049"/>
    <s v="Cust 4005"/>
    <n v="20.71"/>
    <x v="48"/>
    <x v="25"/>
    <d v="2024-09-13T00:00:00"/>
    <s v="Wendy"/>
  </r>
  <r>
    <d v="2023-03-17T00:00:00"/>
    <x v="0"/>
    <x v="4"/>
    <n v="13"/>
    <n v="65.989999999999995"/>
    <s v="Store A"/>
    <s v="Wholesale"/>
    <x v="1"/>
    <x v="2"/>
    <x v="50"/>
    <x v="4"/>
    <x v="2"/>
    <x v="0"/>
    <s v="REG100050"/>
    <s v="Cust 7032"/>
    <n v="12.87"/>
    <x v="49"/>
    <x v="23"/>
    <d v="2023-03-20T00:00:00"/>
    <s v="Eric"/>
  </r>
  <r>
    <d v="2025-01-17T00:00:00"/>
    <x v="4"/>
    <x v="3"/>
    <n v="2"/>
    <n v="251.69"/>
    <s v="Store C"/>
    <s v="Wholesale"/>
    <x v="0"/>
    <x v="1"/>
    <x v="51"/>
    <x v="3"/>
    <x v="0"/>
    <x v="0"/>
    <s v="REG100051"/>
    <s v="Cust 7167"/>
    <n v="42.49"/>
    <x v="50"/>
    <x v="11"/>
    <d v="2025-01-24T00:00:00"/>
    <s v="Wendy"/>
  </r>
  <r>
    <d v="2024-09-12T00:00:00"/>
    <x v="1"/>
    <x v="0"/>
    <n v="1"/>
    <n v="269.41000000000003"/>
    <s v="Store B"/>
    <s v="Wholesale"/>
    <x v="1"/>
    <x v="0"/>
    <x v="52"/>
    <x v="4"/>
    <x v="2"/>
    <x v="1"/>
    <s v="REG100052"/>
    <s v="Cust 5702"/>
    <n v="19.22"/>
    <x v="51"/>
    <x v="30"/>
    <d v="2024-09-18T00:00:00"/>
    <s v="Sophie"/>
  </r>
  <r>
    <d v="2024-01-05T00:00:00"/>
    <x v="1"/>
    <x v="4"/>
    <n v="2"/>
    <n v="371.3"/>
    <s v="Store B"/>
    <s v="Wholesale"/>
    <x v="3"/>
    <x v="5"/>
    <x v="53"/>
    <x v="2"/>
    <x v="1"/>
    <x v="0"/>
    <s v="REG100053"/>
    <s v="Cust 4944"/>
    <n v="36.51"/>
    <x v="52"/>
    <x v="31"/>
    <d v="2024-01-15T00:00:00"/>
    <s v="Sophie"/>
  </r>
  <r>
    <d v="2024-04-19T00:00:00"/>
    <x v="4"/>
    <x v="5"/>
    <n v="11"/>
    <n v="288.24"/>
    <s v="Store A"/>
    <s v="Wholesale"/>
    <x v="2"/>
    <x v="4"/>
    <x v="54"/>
    <x v="0"/>
    <x v="3"/>
    <x v="0"/>
    <s v="REG100054"/>
    <s v="Cust 8149"/>
    <n v="37.39"/>
    <x v="53"/>
    <x v="32"/>
    <d v="2024-04-25T00:00:00"/>
    <s v="Wendy"/>
  </r>
  <r>
    <d v="2025-06-11T00:00:00"/>
    <x v="3"/>
    <x v="5"/>
    <n v="11"/>
    <n v="232.75"/>
    <s v="Store D"/>
    <s v="Wholesale"/>
    <x v="3"/>
    <x v="0"/>
    <x v="55"/>
    <x v="2"/>
    <x v="1"/>
    <x v="0"/>
    <s v="REG100055"/>
    <s v="Cust 3638"/>
    <n v="36.33"/>
    <x v="54"/>
    <x v="33"/>
    <d v="2025-06-21T00:00:00"/>
    <s v="Cameron"/>
  </r>
  <r>
    <d v="2025-03-06T00:00:00"/>
    <x v="0"/>
    <x v="1"/>
    <n v="17"/>
    <n v="146.28"/>
    <s v="Store B"/>
    <s v="Retail"/>
    <x v="2"/>
    <x v="3"/>
    <x v="56"/>
    <x v="4"/>
    <x v="1"/>
    <x v="0"/>
    <s v="REG100056"/>
    <s v="Cust 9973"/>
    <n v="7.84"/>
    <x v="55"/>
    <x v="7"/>
    <d v="2025-03-15T00:00:00"/>
    <s v="Eric"/>
  </r>
  <r>
    <d v="2023-05-24T00:00:00"/>
    <x v="0"/>
    <x v="3"/>
    <n v="5"/>
    <n v="100.38"/>
    <s v="Store C"/>
    <s v="Retail"/>
    <x v="1"/>
    <x v="0"/>
    <x v="57"/>
    <x v="1"/>
    <x v="2"/>
    <x v="1"/>
    <s v="REG100057"/>
    <s v="Cust 4214"/>
    <n v="18.350000000000001"/>
    <x v="56"/>
    <x v="18"/>
    <d v="2023-05-26T00:00:00"/>
    <s v="Eric"/>
  </r>
  <r>
    <d v="2023-01-27T00:00:00"/>
    <x v="1"/>
    <x v="1"/>
    <n v="11"/>
    <n v="375.48"/>
    <s v="Store B"/>
    <s v="Retail"/>
    <x v="3"/>
    <x v="5"/>
    <x v="58"/>
    <x v="3"/>
    <x v="2"/>
    <x v="0"/>
    <s v="REG100058"/>
    <s v="Cust 2647"/>
    <n v="15.95"/>
    <x v="57"/>
    <x v="34"/>
    <d v="2023-02-03T00:00:00"/>
    <s v="Sophie"/>
  </r>
  <r>
    <d v="2024-03-21T00:00:00"/>
    <x v="1"/>
    <x v="0"/>
    <n v="18"/>
    <n v="316.89"/>
    <s v="Store B"/>
    <s v="Wholesale"/>
    <x v="3"/>
    <x v="5"/>
    <x v="59"/>
    <x v="4"/>
    <x v="0"/>
    <x v="0"/>
    <s v="REG100059"/>
    <s v="Cust 3552"/>
    <n v="15.69"/>
    <x v="58"/>
    <x v="26"/>
    <d v="2024-03-27T00:00:00"/>
    <s v="Sophie"/>
  </r>
  <r>
    <d v="2025-01-25T00:00:00"/>
    <x v="4"/>
    <x v="0"/>
    <n v="20"/>
    <n v="295.06"/>
    <s v="Store D"/>
    <s v="Retail"/>
    <x v="2"/>
    <x v="2"/>
    <x v="60"/>
    <x v="0"/>
    <x v="1"/>
    <x v="1"/>
    <s v="REG100060"/>
    <s v="Cust 3354"/>
    <n v="13.66"/>
    <x v="59"/>
    <x v="34"/>
    <d v="2025-01-31T00:00:00"/>
    <s v="Wendy"/>
  </r>
  <r>
    <d v="2023-06-12T00:00:00"/>
    <x v="3"/>
    <x v="1"/>
    <n v="8"/>
    <n v="301.68"/>
    <s v="Store D"/>
    <s v="Retail"/>
    <x v="0"/>
    <x v="0"/>
    <x v="61"/>
    <x v="4"/>
    <x v="1"/>
    <x v="0"/>
    <s v="REG100061"/>
    <s v="Cust 3903"/>
    <n v="36.54"/>
    <x v="60"/>
    <x v="33"/>
    <d v="2023-06-21T00:00:00"/>
    <s v="Cameron"/>
  </r>
  <r>
    <d v="2025-03-22T00:00:00"/>
    <x v="3"/>
    <x v="3"/>
    <n v="3"/>
    <n v="475.39"/>
    <s v="Store B"/>
    <s v="Retail"/>
    <x v="1"/>
    <x v="1"/>
    <x v="62"/>
    <x v="1"/>
    <x v="3"/>
    <x v="0"/>
    <s v="REG100062"/>
    <s v="Cust 5358"/>
    <n v="15.62"/>
    <x v="61"/>
    <x v="26"/>
    <d v="2025-03-26T00:00:00"/>
    <s v="Cameron"/>
  </r>
  <r>
    <d v="2024-02-24T00:00:00"/>
    <x v="3"/>
    <x v="2"/>
    <n v="16"/>
    <n v="47.25"/>
    <s v="Store D"/>
    <s v="Retail"/>
    <x v="2"/>
    <x v="5"/>
    <x v="63"/>
    <x v="3"/>
    <x v="0"/>
    <x v="0"/>
    <s v="REG100063"/>
    <s v="Cust 8144"/>
    <n v="29.5"/>
    <x v="62"/>
    <x v="0"/>
    <d v="2024-02-27T00:00:00"/>
    <s v="Cameron"/>
  </r>
  <r>
    <d v="2023-12-09T00:00:00"/>
    <x v="1"/>
    <x v="3"/>
    <n v="15"/>
    <n v="511.17"/>
    <s v="Store B"/>
    <s v="Wholesale"/>
    <x v="0"/>
    <x v="2"/>
    <x v="64"/>
    <x v="0"/>
    <x v="0"/>
    <x v="0"/>
    <s v="REG100064"/>
    <s v="Cust 6747"/>
    <n v="21.77"/>
    <x v="63"/>
    <x v="21"/>
    <d v="2023-12-12T00:00:00"/>
    <s v="Sophie"/>
  </r>
  <r>
    <d v="2023-10-01T00:00:00"/>
    <x v="3"/>
    <x v="4"/>
    <n v="3"/>
    <n v="66.58"/>
    <s v="Store B"/>
    <s v="Retail"/>
    <x v="1"/>
    <x v="2"/>
    <x v="65"/>
    <x v="3"/>
    <x v="0"/>
    <x v="0"/>
    <s v="REG100065"/>
    <s v="Cust 8330"/>
    <n v="22.43"/>
    <x v="64"/>
    <x v="35"/>
    <d v="2023-10-05T00:00:00"/>
    <s v="Cameron"/>
  </r>
  <r>
    <d v="2023-07-31T00:00:00"/>
    <x v="4"/>
    <x v="5"/>
    <n v="5"/>
    <n v="490.52"/>
    <s v="Store D"/>
    <s v="Wholesale"/>
    <x v="3"/>
    <x v="2"/>
    <x v="66"/>
    <x v="0"/>
    <x v="3"/>
    <x v="0"/>
    <s v="REG100066"/>
    <s v="Cust 7186"/>
    <n v="12.24"/>
    <x v="65"/>
    <x v="36"/>
    <d v="2023-08-07T00:00:00"/>
    <s v="Wendy"/>
  </r>
  <r>
    <d v="2024-12-24T00:00:00"/>
    <x v="1"/>
    <x v="3"/>
    <n v="8"/>
    <n v="405.96"/>
    <s v="Store A"/>
    <s v="Wholesale"/>
    <x v="3"/>
    <x v="3"/>
    <x v="67"/>
    <x v="2"/>
    <x v="2"/>
    <x v="0"/>
    <s v="REG100067"/>
    <s v="Cust 8287"/>
    <n v="41.27"/>
    <x v="66"/>
    <x v="37"/>
    <d v="2024-12-31T00:00:00"/>
    <s v="Sophie"/>
  </r>
  <r>
    <d v="2024-11-15T00:00:00"/>
    <x v="2"/>
    <x v="1"/>
    <n v="1"/>
    <n v="159.41"/>
    <s v="Store B"/>
    <s v="Retail"/>
    <x v="1"/>
    <x v="5"/>
    <x v="68"/>
    <x v="2"/>
    <x v="0"/>
    <x v="0"/>
    <s v="REG100068"/>
    <s v="Cust 3986"/>
    <n v="35.14"/>
    <x v="67"/>
    <x v="38"/>
    <d v="2024-11-19T00:00:00"/>
    <s v="Ryan"/>
  </r>
  <r>
    <d v="2025-03-13T00:00:00"/>
    <x v="4"/>
    <x v="4"/>
    <n v="16"/>
    <n v="38.49"/>
    <s v="Store C"/>
    <s v="Retail"/>
    <x v="2"/>
    <x v="3"/>
    <x v="69"/>
    <x v="3"/>
    <x v="1"/>
    <x v="0"/>
    <s v="REG100069"/>
    <s v="Cust 3213"/>
    <n v="8.3800000000000008"/>
    <x v="68"/>
    <x v="23"/>
    <d v="2025-03-22T00:00:00"/>
    <s v="Wendy"/>
  </r>
  <r>
    <d v="2024-03-03T00:00:00"/>
    <x v="0"/>
    <x v="5"/>
    <n v="15"/>
    <n v="328.36"/>
    <s v="Store D"/>
    <s v="Retail"/>
    <x v="2"/>
    <x v="1"/>
    <x v="70"/>
    <x v="1"/>
    <x v="2"/>
    <x v="0"/>
    <s v="REG100070"/>
    <s v="Cust 1907"/>
    <n v="15.76"/>
    <x v="69"/>
    <x v="7"/>
    <d v="2024-03-12T00:00:00"/>
    <s v="Eric"/>
  </r>
  <r>
    <d v="2023-02-11T00:00:00"/>
    <x v="3"/>
    <x v="5"/>
    <n v="20"/>
    <n v="548.01"/>
    <s v="Store A"/>
    <s v="Wholesale"/>
    <x v="1"/>
    <x v="0"/>
    <x v="71"/>
    <x v="2"/>
    <x v="2"/>
    <x v="1"/>
    <s v="REG100071"/>
    <s v="Cust 4639"/>
    <n v="5.89"/>
    <x v="70"/>
    <x v="29"/>
    <d v="2023-02-14T00:00:00"/>
    <s v="Cameron"/>
  </r>
  <r>
    <d v="2023-10-26T00:00:00"/>
    <x v="1"/>
    <x v="2"/>
    <n v="13"/>
    <n v="484.45"/>
    <s v="Store B"/>
    <s v="Wholesale"/>
    <x v="3"/>
    <x v="3"/>
    <x v="72"/>
    <x v="1"/>
    <x v="2"/>
    <x v="1"/>
    <s v="REG100072"/>
    <s v="Cust 4153"/>
    <n v="6.57"/>
    <x v="71"/>
    <x v="19"/>
    <d v="2023-11-05T00:00:00"/>
    <s v="Sophie"/>
  </r>
  <r>
    <d v="2023-10-21T00:00:00"/>
    <x v="1"/>
    <x v="4"/>
    <n v="13"/>
    <n v="195.84"/>
    <s v="Store A"/>
    <s v="Wholesale"/>
    <x v="3"/>
    <x v="1"/>
    <x v="73"/>
    <x v="2"/>
    <x v="3"/>
    <x v="0"/>
    <s v="REG100073"/>
    <s v="Cust 7096"/>
    <n v="33.520000000000003"/>
    <x v="72"/>
    <x v="6"/>
    <d v="2023-10-28T00:00:00"/>
    <s v="Sophie"/>
  </r>
  <r>
    <d v="2024-01-14T00:00:00"/>
    <x v="3"/>
    <x v="5"/>
    <n v="19"/>
    <n v="29.94"/>
    <s v="Store D"/>
    <s v="Retail"/>
    <x v="2"/>
    <x v="4"/>
    <x v="74"/>
    <x v="3"/>
    <x v="0"/>
    <x v="0"/>
    <s v="REG100074"/>
    <s v="Cust 3806"/>
    <n v="33.590000000000003"/>
    <x v="73"/>
    <x v="11"/>
    <d v="2024-01-20T00:00:00"/>
    <s v="Cameron"/>
  </r>
  <r>
    <d v="2023-07-27T00:00:00"/>
    <x v="3"/>
    <x v="2"/>
    <n v="10"/>
    <n v="553.91"/>
    <s v="Store D"/>
    <s v="Wholesale"/>
    <x v="1"/>
    <x v="0"/>
    <x v="75"/>
    <x v="0"/>
    <x v="3"/>
    <x v="0"/>
    <s v="REG100075"/>
    <s v="Cust 9345"/>
    <n v="31.3"/>
    <x v="74"/>
    <x v="27"/>
    <d v="2023-07-31T00:00:00"/>
    <s v="Cameron"/>
  </r>
  <r>
    <d v="2024-10-23T00:00:00"/>
    <x v="1"/>
    <x v="1"/>
    <n v="14"/>
    <n v="445.52"/>
    <s v="Store B"/>
    <s v="Retail"/>
    <x v="1"/>
    <x v="5"/>
    <x v="76"/>
    <x v="0"/>
    <x v="1"/>
    <x v="0"/>
    <s v="REG100076"/>
    <s v="Cust 4456"/>
    <n v="14.41"/>
    <x v="75"/>
    <x v="19"/>
    <d v="2024-10-25T00:00:00"/>
    <s v="Sophie"/>
  </r>
  <r>
    <d v="2023-09-26T00:00:00"/>
    <x v="1"/>
    <x v="3"/>
    <n v="5"/>
    <n v="551.58000000000004"/>
    <s v="Store B"/>
    <s v="Retail"/>
    <x v="2"/>
    <x v="1"/>
    <x v="77"/>
    <x v="0"/>
    <x v="2"/>
    <x v="1"/>
    <s v="REG100077"/>
    <s v="Cust 1089"/>
    <n v="7.87"/>
    <x v="76"/>
    <x v="39"/>
    <d v="2023-10-01T00:00:00"/>
    <s v="Sophie"/>
  </r>
  <r>
    <d v="2023-12-16T00:00:00"/>
    <x v="0"/>
    <x v="1"/>
    <n v="13"/>
    <n v="241.4"/>
    <s v="Store D"/>
    <s v="Retail"/>
    <x v="0"/>
    <x v="3"/>
    <x v="78"/>
    <x v="1"/>
    <x v="1"/>
    <x v="0"/>
    <s v="REG100078"/>
    <s v="Cust 7230"/>
    <n v="49.05"/>
    <x v="77"/>
    <x v="12"/>
    <d v="2023-12-20T00:00:00"/>
    <s v="Eric"/>
  </r>
  <r>
    <d v="2024-01-02T00:00:00"/>
    <x v="3"/>
    <x v="6"/>
    <n v="19"/>
    <n v="351.93"/>
    <s v="Store A"/>
    <s v="Wholesale"/>
    <x v="0"/>
    <x v="1"/>
    <x v="79"/>
    <x v="2"/>
    <x v="3"/>
    <x v="0"/>
    <s v="REG100079"/>
    <s v="Cust 6597"/>
    <n v="39.979999999999997"/>
    <x v="78"/>
    <x v="31"/>
    <d v="2024-01-05T00:00:00"/>
    <s v="Cameron"/>
  </r>
  <r>
    <d v="2024-02-16T00:00:00"/>
    <x v="2"/>
    <x v="1"/>
    <n v="4"/>
    <n v="83.75"/>
    <s v="Store A"/>
    <s v="Retail"/>
    <x v="3"/>
    <x v="1"/>
    <x v="80"/>
    <x v="3"/>
    <x v="1"/>
    <x v="1"/>
    <s v="REG100080"/>
    <s v="Cust 4108"/>
    <n v="38.82"/>
    <x v="79"/>
    <x v="22"/>
    <d v="2024-02-25T00:00:00"/>
    <s v="Ryan"/>
  </r>
  <r>
    <d v="2024-05-03T00:00:00"/>
    <x v="0"/>
    <x v="4"/>
    <n v="5"/>
    <n v="416.95"/>
    <s v="Store A"/>
    <s v="Wholesale"/>
    <x v="2"/>
    <x v="2"/>
    <x v="81"/>
    <x v="0"/>
    <x v="3"/>
    <x v="1"/>
    <s v="REG100081"/>
    <s v="Cust 2883"/>
    <n v="24.03"/>
    <x v="80"/>
    <x v="40"/>
    <d v="2024-05-12T00:00:00"/>
    <s v="Eric"/>
  </r>
  <r>
    <d v="2023-05-27T00:00:00"/>
    <x v="4"/>
    <x v="4"/>
    <n v="18"/>
    <n v="142.43"/>
    <s v="Store C"/>
    <s v="Retail"/>
    <x v="3"/>
    <x v="5"/>
    <x v="82"/>
    <x v="2"/>
    <x v="1"/>
    <x v="1"/>
    <s v="REG100082"/>
    <s v="Cust 5018"/>
    <n v="12.38"/>
    <x v="81"/>
    <x v="18"/>
    <d v="2023-06-02T00:00:00"/>
    <s v="Wendy"/>
  </r>
  <r>
    <d v="2023-01-05T00:00:00"/>
    <x v="0"/>
    <x v="2"/>
    <n v="12"/>
    <n v="582.52"/>
    <s v="Store A"/>
    <s v="Wholesale"/>
    <x v="0"/>
    <x v="5"/>
    <x v="83"/>
    <x v="2"/>
    <x v="0"/>
    <x v="0"/>
    <s v="REG100083"/>
    <s v="Cust 1231"/>
    <n v="41.16"/>
    <x v="82"/>
    <x v="31"/>
    <d v="2023-01-11T00:00:00"/>
    <s v="Eric"/>
  </r>
  <r>
    <d v="2025-05-21T00:00:00"/>
    <x v="0"/>
    <x v="3"/>
    <n v="20"/>
    <n v="129.56"/>
    <s v="Store A"/>
    <s v="Retail"/>
    <x v="2"/>
    <x v="4"/>
    <x v="84"/>
    <x v="0"/>
    <x v="2"/>
    <x v="0"/>
    <s v="REG100084"/>
    <s v="Cust 2209"/>
    <n v="40.21"/>
    <x v="83"/>
    <x v="18"/>
    <d v="2025-05-23T00:00:00"/>
    <s v="Eric"/>
  </r>
  <r>
    <d v="2023-07-21T00:00:00"/>
    <x v="3"/>
    <x v="5"/>
    <n v="17"/>
    <n v="431.82"/>
    <s v="Store B"/>
    <s v="Retail"/>
    <x v="0"/>
    <x v="0"/>
    <x v="85"/>
    <x v="1"/>
    <x v="0"/>
    <x v="1"/>
    <s v="REG100085"/>
    <s v="Cust 6684"/>
    <n v="37.75"/>
    <x v="12"/>
    <x v="10"/>
    <d v="2023-07-25T00:00:00"/>
    <s v="Cameron"/>
  </r>
  <r>
    <d v="2025-05-25T00:00:00"/>
    <x v="0"/>
    <x v="0"/>
    <n v="15"/>
    <n v="15.85"/>
    <s v="Store C"/>
    <s v="Retail"/>
    <x v="0"/>
    <x v="5"/>
    <x v="86"/>
    <x v="3"/>
    <x v="2"/>
    <x v="0"/>
    <s v="REG100086"/>
    <s v="Cust 5289"/>
    <n v="23.49"/>
    <x v="84"/>
    <x v="14"/>
    <d v="2025-06-03T00:00:00"/>
    <s v="Eric"/>
  </r>
  <r>
    <d v="2024-11-16T00:00:00"/>
    <x v="1"/>
    <x v="5"/>
    <n v="20"/>
    <n v="548.34"/>
    <s v="Store B"/>
    <s v="Retail"/>
    <x v="1"/>
    <x v="5"/>
    <x v="87"/>
    <x v="1"/>
    <x v="2"/>
    <x v="0"/>
    <s v="REG100087"/>
    <s v="Cust 9159"/>
    <n v="33.47"/>
    <x v="85"/>
    <x v="38"/>
    <d v="2024-11-22T00:00:00"/>
    <s v="Sophie"/>
  </r>
  <r>
    <d v="2023-11-19T00:00:00"/>
    <x v="2"/>
    <x v="0"/>
    <n v="16"/>
    <n v="525.83000000000004"/>
    <s v="Store C"/>
    <s v="Wholesale"/>
    <x v="3"/>
    <x v="2"/>
    <x v="88"/>
    <x v="0"/>
    <x v="3"/>
    <x v="0"/>
    <s v="REG100088"/>
    <s v="Cust 4844"/>
    <n v="36.47"/>
    <x v="86"/>
    <x v="20"/>
    <d v="2023-11-25T00:00:00"/>
    <s v="Ryan"/>
  </r>
  <r>
    <d v="2025-01-12T00:00:00"/>
    <x v="3"/>
    <x v="0"/>
    <n v="15"/>
    <n v="411.38"/>
    <s v="Store A"/>
    <s v="Wholesale"/>
    <x v="3"/>
    <x v="5"/>
    <x v="89"/>
    <x v="0"/>
    <x v="1"/>
    <x v="0"/>
    <s v="REG100089"/>
    <s v="Cust 3273"/>
    <n v="48.51"/>
    <x v="87"/>
    <x v="11"/>
    <d v="2025-01-21T00:00:00"/>
    <s v="Cameron"/>
  </r>
  <r>
    <d v="2023-03-29T00:00:00"/>
    <x v="2"/>
    <x v="4"/>
    <n v="19"/>
    <n v="559.95000000000005"/>
    <s v="Store A"/>
    <s v="Wholesale"/>
    <x v="1"/>
    <x v="3"/>
    <x v="90"/>
    <x v="2"/>
    <x v="2"/>
    <x v="0"/>
    <s v="REG100090"/>
    <s v="Cust 8160"/>
    <n v="18.3"/>
    <x v="88"/>
    <x v="41"/>
    <d v="2023-04-03T00:00:00"/>
    <s v="Ryan"/>
  </r>
  <r>
    <d v="2025-03-01T00:00:00"/>
    <x v="2"/>
    <x v="2"/>
    <n v="8"/>
    <n v="179.9"/>
    <s v="Store C"/>
    <s v="Retail"/>
    <x v="3"/>
    <x v="3"/>
    <x v="91"/>
    <x v="0"/>
    <x v="1"/>
    <x v="0"/>
    <s v="REG100091"/>
    <s v="Cust 4439"/>
    <n v="14.8"/>
    <x v="89"/>
    <x v="3"/>
    <d v="2025-03-05T00:00:00"/>
    <s v="Ryan"/>
  </r>
  <r>
    <d v="2023-10-18T00:00:00"/>
    <x v="2"/>
    <x v="3"/>
    <n v="12"/>
    <n v="494.15"/>
    <s v="Store B"/>
    <s v="Wholesale"/>
    <x v="2"/>
    <x v="4"/>
    <x v="92"/>
    <x v="0"/>
    <x v="1"/>
    <x v="1"/>
    <s v="REG100092"/>
    <s v="Cust 1127"/>
    <n v="18.05"/>
    <x v="90"/>
    <x v="6"/>
    <d v="2023-10-20T00:00:00"/>
    <s v="Ryan"/>
  </r>
  <r>
    <d v="2025-04-13T00:00:00"/>
    <x v="0"/>
    <x v="2"/>
    <n v="10"/>
    <n v="462.99"/>
    <s v="Store C"/>
    <s v="Wholesale"/>
    <x v="0"/>
    <x v="5"/>
    <x v="93"/>
    <x v="2"/>
    <x v="2"/>
    <x v="0"/>
    <s v="REG100093"/>
    <s v="Cust 4696"/>
    <n v="5.01"/>
    <x v="91"/>
    <x v="32"/>
    <d v="2025-04-15T00:00:00"/>
    <s v="Eric"/>
  </r>
  <r>
    <d v="2025-05-13T00:00:00"/>
    <x v="3"/>
    <x v="0"/>
    <n v="7"/>
    <n v="460.24"/>
    <s v="Store A"/>
    <s v="Retail"/>
    <x v="3"/>
    <x v="1"/>
    <x v="94"/>
    <x v="4"/>
    <x v="1"/>
    <x v="1"/>
    <s v="REG100094"/>
    <s v="Cust 3014"/>
    <n v="11.54"/>
    <x v="92"/>
    <x v="13"/>
    <d v="2025-05-23T00:00:00"/>
    <s v="Cameron"/>
  </r>
  <r>
    <d v="2024-04-21T00:00:00"/>
    <x v="4"/>
    <x v="6"/>
    <n v="17"/>
    <n v="309.52"/>
    <s v="Store B"/>
    <s v="Wholesale"/>
    <x v="3"/>
    <x v="0"/>
    <x v="95"/>
    <x v="0"/>
    <x v="0"/>
    <x v="0"/>
    <s v="REG100095"/>
    <s v="Cust 2539"/>
    <n v="6.11"/>
    <x v="93"/>
    <x v="42"/>
    <d v="2024-04-27T00:00:00"/>
    <s v="Wendy"/>
  </r>
  <r>
    <d v="2025-01-31T00:00:00"/>
    <x v="3"/>
    <x v="4"/>
    <n v="1"/>
    <n v="323.83"/>
    <s v="Store B"/>
    <s v="Wholesale"/>
    <x v="3"/>
    <x v="0"/>
    <x v="96"/>
    <x v="2"/>
    <x v="2"/>
    <x v="0"/>
    <s v="REG100096"/>
    <s v="Cust 3916"/>
    <n v="27.48"/>
    <x v="94"/>
    <x v="43"/>
    <d v="2025-02-08T00:00:00"/>
    <s v="Cameron"/>
  </r>
  <r>
    <d v="2025-03-14T00:00:00"/>
    <x v="3"/>
    <x v="3"/>
    <n v="10"/>
    <n v="503.07"/>
    <s v="Store C"/>
    <s v="Retail"/>
    <x v="0"/>
    <x v="5"/>
    <x v="97"/>
    <x v="2"/>
    <x v="0"/>
    <x v="0"/>
    <s v="REG100097"/>
    <s v="Cust 6329"/>
    <n v="44.61"/>
    <x v="95"/>
    <x v="23"/>
    <d v="2025-03-19T00:00:00"/>
    <s v="Cameron"/>
  </r>
  <r>
    <d v="2024-05-26T00:00:00"/>
    <x v="4"/>
    <x v="0"/>
    <n v="20"/>
    <n v="491.68"/>
    <s v="Store D"/>
    <s v="Wholesale"/>
    <x v="2"/>
    <x v="1"/>
    <x v="98"/>
    <x v="0"/>
    <x v="1"/>
    <x v="1"/>
    <s v="REG100098"/>
    <s v="Cust 4384"/>
    <n v="43.46"/>
    <x v="96"/>
    <x v="14"/>
    <d v="2024-05-29T00:00:00"/>
    <s v="Wendy"/>
  </r>
  <r>
    <d v="2023-07-22T00:00:00"/>
    <x v="2"/>
    <x v="1"/>
    <n v="17"/>
    <n v="468.45"/>
    <s v="Store A"/>
    <s v="Retail"/>
    <x v="3"/>
    <x v="3"/>
    <x v="99"/>
    <x v="2"/>
    <x v="0"/>
    <x v="0"/>
    <s v="REG100099"/>
    <s v="Cust 7756"/>
    <n v="17.88"/>
    <x v="97"/>
    <x v="10"/>
    <d v="2023-07-26T00:00:00"/>
    <s v="Ryan"/>
  </r>
  <r>
    <d v="2024-03-21T00:00:00"/>
    <x v="2"/>
    <x v="0"/>
    <n v="11"/>
    <n v="401.76"/>
    <s v="Store D"/>
    <s v="Retail"/>
    <x v="2"/>
    <x v="2"/>
    <x v="100"/>
    <x v="1"/>
    <x v="1"/>
    <x v="0"/>
    <s v="REG100100"/>
    <s v="Cust 6086"/>
    <n v="48.03"/>
    <x v="58"/>
    <x v="26"/>
    <d v="2024-03-30T00:00:00"/>
    <s v="Ryan"/>
  </r>
  <r>
    <d v="2023-04-05T00:00:00"/>
    <x v="4"/>
    <x v="6"/>
    <n v="3"/>
    <n v="221"/>
    <s v="Store B"/>
    <s v="Wholesale"/>
    <x v="0"/>
    <x v="2"/>
    <x v="101"/>
    <x v="4"/>
    <x v="0"/>
    <x v="0"/>
    <s v="REG100101"/>
    <s v="Cust 3845"/>
    <n v="32.31"/>
    <x v="32"/>
    <x v="24"/>
    <d v="2023-04-08T00:00:00"/>
    <s v="Wendy"/>
  </r>
  <r>
    <d v="2024-08-26T00:00:00"/>
    <x v="0"/>
    <x v="4"/>
    <n v="6"/>
    <n v="188.45"/>
    <s v="Store C"/>
    <s v="Wholesale"/>
    <x v="3"/>
    <x v="1"/>
    <x v="102"/>
    <x v="1"/>
    <x v="3"/>
    <x v="0"/>
    <s v="REG100102"/>
    <s v="Cust 9996"/>
    <n v="6.77"/>
    <x v="98"/>
    <x v="44"/>
    <d v="2024-09-01T00:00:00"/>
    <s v="Eric"/>
  </r>
  <r>
    <d v="2024-07-07T00:00:00"/>
    <x v="2"/>
    <x v="2"/>
    <n v="3"/>
    <n v="566.20000000000005"/>
    <s v="Store D"/>
    <s v="Retail"/>
    <x v="0"/>
    <x v="5"/>
    <x v="103"/>
    <x v="1"/>
    <x v="0"/>
    <x v="1"/>
    <s v="REG100103"/>
    <s v="Cust 1711"/>
    <n v="28.97"/>
    <x v="99"/>
    <x v="9"/>
    <d v="2024-07-17T00:00:00"/>
    <s v="Ryan"/>
  </r>
  <r>
    <d v="2023-09-29T00:00:00"/>
    <x v="0"/>
    <x v="4"/>
    <n v="14"/>
    <n v="167.09"/>
    <s v="Store D"/>
    <s v="Retail"/>
    <x v="3"/>
    <x v="1"/>
    <x v="104"/>
    <x v="1"/>
    <x v="1"/>
    <x v="1"/>
    <s v="REG100104"/>
    <s v="Cust 4522"/>
    <n v="47.05"/>
    <x v="100"/>
    <x v="39"/>
    <d v="2023-10-08T00:00:00"/>
    <s v="Eric"/>
  </r>
  <r>
    <d v="2023-10-04T00:00:00"/>
    <x v="4"/>
    <x v="4"/>
    <n v="16"/>
    <n v="36.159999999999997"/>
    <s v="Store C"/>
    <s v="Wholesale"/>
    <x v="1"/>
    <x v="3"/>
    <x v="105"/>
    <x v="3"/>
    <x v="0"/>
    <x v="0"/>
    <s v="REG100105"/>
    <s v="Cust 4233"/>
    <n v="26.64"/>
    <x v="101"/>
    <x v="35"/>
    <d v="2023-10-11T00:00:00"/>
    <s v="Wendy"/>
  </r>
  <r>
    <d v="2025-06-09T00:00:00"/>
    <x v="3"/>
    <x v="6"/>
    <n v="2"/>
    <n v="73.94"/>
    <s v="Store B"/>
    <s v="Wholesale"/>
    <x v="3"/>
    <x v="3"/>
    <x v="106"/>
    <x v="3"/>
    <x v="1"/>
    <x v="0"/>
    <s v="REG100106"/>
    <s v="Cust 4121"/>
    <n v="28.05"/>
    <x v="102"/>
    <x v="33"/>
    <d v="2025-06-16T00:00:00"/>
    <s v="Cameron"/>
  </r>
  <r>
    <d v="2025-06-12T00:00:00"/>
    <x v="0"/>
    <x v="6"/>
    <n v="16"/>
    <n v="459.49"/>
    <s v="Store A"/>
    <s v="Wholesale"/>
    <x v="1"/>
    <x v="0"/>
    <x v="107"/>
    <x v="0"/>
    <x v="1"/>
    <x v="0"/>
    <s v="REG100107"/>
    <s v="Cust 9092"/>
    <n v="26.99"/>
    <x v="103"/>
    <x v="33"/>
    <d v="2025-06-14T00:00:00"/>
    <s v="Eric"/>
  </r>
  <r>
    <d v="2024-06-29T00:00:00"/>
    <x v="0"/>
    <x v="3"/>
    <n v="3"/>
    <n v="168.05"/>
    <s v="Store A"/>
    <s v="Retail"/>
    <x v="0"/>
    <x v="3"/>
    <x v="108"/>
    <x v="4"/>
    <x v="3"/>
    <x v="1"/>
    <s v="REG100108"/>
    <s v="Cust 9090"/>
    <n v="21.08"/>
    <x v="104"/>
    <x v="28"/>
    <d v="2024-07-06T00:00:00"/>
    <s v="Eric"/>
  </r>
  <r>
    <d v="2024-03-23T00:00:00"/>
    <x v="2"/>
    <x v="6"/>
    <n v="14"/>
    <n v="37.54"/>
    <s v="Store B"/>
    <s v="Retail"/>
    <x v="2"/>
    <x v="1"/>
    <x v="109"/>
    <x v="2"/>
    <x v="3"/>
    <x v="1"/>
    <s v="REG100109"/>
    <s v="Cust 1983"/>
    <n v="49.6"/>
    <x v="105"/>
    <x v="26"/>
    <d v="2024-04-02T00:00:00"/>
    <s v="Ryan"/>
  </r>
  <r>
    <d v="2024-07-14T00:00:00"/>
    <x v="1"/>
    <x v="5"/>
    <n v="4"/>
    <n v="151.16"/>
    <s v="Store B"/>
    <s v="Wholesale"/>
    <x v="0"/>
    <x v="1"/>
    <x v="110"/>
    <x v="1"/>
    <x v="1"/>
    <x v="1"/>
    <s v="REG100110"/>
    <s v="Cust 8834"/>
    <n v="41.4"/>
    <x v="106"/>
    <x v="10"/>
    <d v="2024-07-21T00:00:00"/>
    <s v="Sophie"/>
  </r>
  <r>
    <d v="2024-03-15T00:00:00"/>
    <x v="1"/>
    <x v="5"/>
    <n v="17"/>
    <n v="78.58"/>
    <s v="Store A"/>
    <s v="Wholesale"/>
    <x v="1"/>
    <x v="5"/>
    <x v="111"/>
    <x v="1"/>
    <x v="2"/>
    <x v="0"/>
    <s v="REG100111"/>
    <s v="Cust 9780"/>
    <n v="8.02"/>
    <x v="107"/>
    <x v="23"/>
    <d v="2024-03-25T00:00:00"/>
    <s v="Sophie"/>
  </r>
  <r>
    <d v="2025-04-19T00:00:00"/>
    <x v="3"/>
    <x v="3"/>
    <n v="15"/>
    <n v="37.33"/>
    <s v="Store B"/>
    <s v="Retail"/>
    <x v="3"/>
    <x v="3"/>
    <x v="112"/>
    <x v="4"/>
    <x v="3"/>
    <x v="1"/>
    <s v="REG100112"/>
    <s v="Cust 1293"/>
    <n v="43.69"/>
    <x v="108"/>
    <x v="32"/>
    <d v="2025-04-24T00:00:00"/>
    <s v="Cameron"/>
  </r>
  <r>
    <d v="2024-02-15T00:00:00"/>
    <x v="4"/>
    <x v="5"/>
    <n v="18"/>
    <n v="537.02"/>
    <s v="Store A"/>
    <s v="Wholesale"/>
    <x v="2"/>
    <x v="3"/>
    <x v="113"/>
    <x v="3"/>
    <x v="1"/>
    <x v="0"/>
    <s v="REG100113"/>
    <s v="Cust 3173"/>
    <n v="23.94"/>
    <x v="37"/>
    <x v="22"/>
    <d v="2024-02-20T00:00:00"/>
    <s v="Wendy"/>
  </r>
  <r>
    <d v="2024-01-25T00:00:00"/>
    <x v="0"/>
    <x v="2"/>
    <n v="5"/>
    <n v="215.6"/>
    <s v="Store C"/>
    <s v="Wholesale"/>
    <x v="0"/>
    <x v="2"/>
    <x v="114"/>
    <x v="0"/>
    <x v="2"/>
    <x v="0"/>
    <s v="REG100114"/>
    <s v="Cust 8641"/>
    <n v="28.36"/>
    <x v="109"/>
    <x v="34"/>
    <d v="2024-02-04T00:00:00"/>
    <s v="Eric"/>
  </r>
  <r>
    <d v="2025-04-15T00:00:00"/>
    <x v="3"/>
    <x v="0"/>
    <n v="18"/>
    <n v="209.5"/>
    <s v="Store D"/>
    <s v="Wholesale"/>
    <x v="0"/>
    <x v="3"/>
    <x v="115"/>
    <x v="2"/>
    <x v="0"/>
    <x v="0"/>
    <s v="REG100115"/>
    <s v="Cust 7656"/>
    <n v="38.229999999999997"/>
    <x v="110"/>
    <x v="32"/>
    <d v="2025-04-23T00:00:00"/>
    <s v="Cameron"/>
  </r>
  <r>
    <d v="2025-04-15T00:00:00"/>
    <x v="3"/>
    <x v="3"/>
    <n v="8"/>
    <n v="348.98"/>
    <s v="Store A"/>
    <s v="Retail"/>
    <x v="1"/>
    <x v="2"/>
    <x v="116"/>
    <x v="0"/>
    <x v="0"/>
    <x v="0"/>
    <s v="REG100116"/>
    <s v="Cust 5523"/>
    <n v="19.170000000000002"/>
    <x v="110"/>
    <x v="32"/>
    <d v="2025-04-20T00:00:00"/>
    <s v="Cameron"/>
  </r>
  <r>
    <d v="2024-08-11T00:00:00"/>
    <x v="4"/>
    <x v="6"/>
    <n v="2"/>
    <n v="289.14"/>
    <s v="Store C"/>
    <s v="Retail"/>
    <x v="3"/>
    <x v="4"/>
    <x v="117"/>
    <x v="0"/>
    <x v="1"/>
    <x v="0"/>
    <s v="REG100117"/>
    <s v="Cust 2015"/>
    <n v="5.13"/>
    <x v="111"/>
    <x v="45"/>
    <d v="2024-08-13T00:00:00"/>
    <s v="Wendy"/>
  </r>
  <r>
    <d v="2023-12-01T00:00:00"/>
    <x v="1"/>
    <x v="2"/>
    <n v="5"/>
    <n v="396.93"/>
    <s v="Store B"/>
    <s v="Wholesale"/>
    <x v="0"/>
    <x v="4"/>
    <x v="118"/>
    <x v="2"/>
    <x v="0"/>
    <x v="0"/>
    <s v="REG100118"/>
    <s v="Cust 6895"/>
    <n v="48.63"/>
    <x v="112"/>
    <x v="15"/>
    <d v="2023-12-08T00:00:00"/>
    <s v="Sophie"/>
  </r>
  <r>
    <d v="2023-08-06T00:00:00"/>
    <x v="3"/>
    <x v="0"/>
    <n v="10"/>
    <n v="508.57"/>
    <s v="Store D"/>
    <s v="Retail"/>
    <x v="3"/>
    <x v="5"/>
    <x v="119"/>
    <x v="0"/>
    <x v="1"/>
    <x v="0"/>
    <s v="REG100119"/>
    <s v="Cust 1797"/>
    <n v="9.35"/>
    <x v="23"/>
    <x v="17"/>
    <d v="2023-08-11T00:00:00"/>
    <s v="Cameron"/>
  </r>
  <r>
    <d v="2024-01-24T00:00:00"/>
    <x v="3"/>
    <x v="0"/>
    <n v="11"/>
    <n v="259.61"/>
    <s v="Store C"/>
    <s v="Wholesale"/>
    <x v="1"/>
    <x v="3"/>
    <x v="120"/>
    <x v="4"/>
    <x v="0"/>
    <x v="0"/>
    <s v="REG100120"/>
    <s v="Cust 9969"/>
    <n v="13.73"/>
    <x v="113"/>
    <x v="34"/>
    <d v="2024-01-31T00:00:00"/>
    <s v="Cameron"/>
  </r>
  <r>
    <d v="2024-03-07T00:00:00"/>
    <x v="3"/>
    <x v="3"/>
    <n v="9"/>
    <n v="313.29000000000002"/>
    <s v="Store D"/>
    <s v="Retail"/>
    <x v="0"/>
    <x v="3"/>
    <x v="121"/>
    <x v="0"/>
    <x v="0"/>
    <x v="0"/>
    <s v="REG100121"/>
    <s v="Cust 1815"/>
    <n v="14.04"/>
    <x v="114"/>
    <x v="7"/>
    <d v="2024-03-13T00:00:00"/>
    <s v="Cameron"/>
  </r>
  <r>
    <d v="2024-01-22T00:00:00"/>
    <x v="1"/>
    <x v="5"/>
    <n v="5"/>
    <n v="106.57"/>
    <s v="Store C"/>
    <s v="Wholesale"/>
    <x v="1"/>
    <x v="3"/>
    <x v="122"/>
    <x v="3"/>
    <x v="1"/>
    <x v="1"/>
    <s v="REG100122"/>
    <s v="Cust 7773"/>
    <n v="25.24"/>
    <x v="115"/>
    <x v="34"/>
    <d v="2024-01-28T00:00:00"/>
    <s v="Sophie"/>
  </r>
  <r>
    <d v="2023-02-23T00:00:00"/>
    <x v="0"/>
    <x v="6"/>
    <n v="1"/>
    <n v="109"/>
    <s v="Store B"/>
    <s v="Retail"/>
    <x v="2"/>
    <x v="2"/>
    <x v="123"/>
    <x v="4"/>
    <x v="2"/>
    <x v="1"/>
    <s v="REG100123"/>
    <s v="Cust 1499"/>
    <n v="8.0299999999999994"/>
    <x v="0"/>
    <x v="0"/>
    <d v="2023-02-27T00:00:00"/>
    <s v="Eric"/>
  </r>
  <r>
    <d v="2023-06-14T00:00:00"/>
    <x v="2"/>
    <x v="5"/>
    <n v="8"/>
    <n v="323.8"/>
    <s v="Store B"/>
    <s v="Retail"/>
    <x v="0"/>
    <x v="4"/>
    <x v="124"/>
    <x v="4"/>
    <x v="1"/>
    <x v="1"/>
    <s v="REG100124"/>
    <s v="Cust 3809"/>
    <n v="35.229999999999997"/>
    <x v="116"/>
    <x v="33"/>
    <d v="2023-06-22T00:00:00"/>
    <s v="Ryan"/>
  </r>
  <r>
    <d v="2025-05-13T00:00:00"/>
    <x v="2"/>
    <x v="0"/>
    <n v="16"/>
    <n v="384.32"/>
    <s v="Store A"/>
    <s v="Retail"/>
    <x v="3"/>
    <x v="2"/>
    <x v="125"/>
    <x v="4"/>
    <x v="0"/>
    <x v="0"/>
    <s v="REG100125"/>
    <s v="Cust 7824"/>
    <n v="21.5"/>
    <x v="92"/>
    <x v="13"/>
    <d v="2025-05-15T00:00:00"/>
    <s v="Ryan"/>
  </r>
  <r>
    <d v="2024-07-30T00:00:00"/>
    <x v="3"/>
    <x v="6"/>
    <n v="16"/>
    <n v="163.86"/>
    <s v="Store C"/>
    <s v="Retail"/>
    <x v="2"/>
    <x v="4"/>
    <x v="126"/>
    <x v="1"/>
    <x v="0"/>
    <x v="0"/>
    <s v="REG100126"/>
    <s v="Cust 7258"/>
    <n v="37.950000000000003"/>
    <x v="117"/>
    <x v="36"/>
    <d v="2024-08-06T00:00:00"/>
    <s v="Cameron"/>
  </r>
  <r>
    <d v="2024-07-18T00:00:00"/>
    <x v="0"/>
    <x v="5"/>
    <n v="5"/>
    <n v="23.41"/>
    <s v="Store B"/>
    <s v="Wholesale"/>
    <x v="0"/>
    <x v="2"/>
    <x v="127"/>
    <x v="2"/>
    <x v="2"/>
    <x v="0"/>
    <s v="REG100127"/>
    <s v="Cust 1151"/>
    <n v="26.44"/>
    <x v="118"/>
    <x v="10"/>
    <d v="2024-07-27T00:00:00"/>
    <s v="Eric"/>
  </r>
  <r>
    <d v="2024-08-26T00:00:00"/>
    <x v="0"/>
    <x v="6"/>
    <n v="20"/>
    <n v="488.9"/>
    <s v="Store C"/>
    <s v="Wholesale"/>
    <x v="2"/>
    <x v="0"/>
    <x v="128"/>
    <x v="1"/>
    <x v="0"/>
    <x v="0"/>
    <s v="REG100128"/>
    <s v="Cust 6486"/>
    <n v="21.77"/>
    <x v="98"/>
    <x v="44"/>
    <d v="2024-09-01T00:00:00"/>
    <s v="Eric"/>
  </r>
  <r>
    <d v="2025-06-08T00:00:00"/>
    <x v="4"/>
    <x v="5"/>
    <n v="7"/>
    <n v="452.56"/>
    <s v="Store A"/>
    <s v="Wholesale"/>
    <x v="3"/>
    <x v="2"/>
    <x v="129"/>
    <x v="1"/>
    <x v="0"/>
    <x v="0"/>
    <s v="REG100129"/>
    <s v="Cust 4034"/>
    <n v="46.97"/>
    <x v="119"/>
    <x v="33"/>
    <d v="2025-06-15T00:00:00"/>
    <s v="Wendy"/>
  </r>
  <r>
    <d v="2025-05-16T00:00:00"/>
    <x v="2"/>
    <x v="2"/>
    <n v="11"/>
    <n v="465.24"/>
    <s v="Store A"/>
    <s v="Wholesale"/>
    <x v="0"/>
    <x v="3"/>
    <x v="130"/>
    <x v="3"/>
    <x v="3"/>
    <x v="1"/>
    <s v="REG100130"/>
    <s v="Cust 9794"/>
    <n v="17.59"/>
    <x v="120"/>
    <x v="13"/>
    <d v="2025-05-23T00:00:00"/>
    <s v="Ryan"/>
  </r>
  <r>
    <d v="2024-07-18T00:00:00"/>
    <x v="0"/>
    <x v="1"/>
    <n v="14"/>
    <n v="442.65"/>
    <s v="Store B"/>
    <s v="Retail"/>
    <x v="0"/>
    <x v="0"/>
    <x v="131"/>
    <x v="1"/>
    <x v="1"/>
    <x v="0"/>
    <s v="REG100131"/>
    <s v="Cust 2414"/>
    <n v="28.76"/>
    <x v="118"/>
    <x v="10"/>
    <d v="2024-07-24T00:00:00"/>
    <s v="Eric"/>
  </r>
  <r>
    <d v="2023-09-17T00:00:00"/>
    <x v="4"/>
    <x v="0"/>
    <n v="12"/>
    <n v="469.44"/>
    <s v="Store B"/>
    <s v="Wholesale"/>
    <x v="0"/>
    <x v="5"/>
    <x v="132"/>
    <x v="0"/>
    <x v="0"/>
    <x v="0"/>
    <s v="REG100132"/>
    <s v="Cust 9024"/>
    <n v="33.299999999999997"/>
    <x v="121"/>
    <x v="46"/>
    <d v="2023-09-26T00:00:00"/>
    <s v="Wendy"/>
  </r>
  <r>
    <d v="2023-03-13T00:00:00"/>
    <x v="0"/>
    <x v="4"/>
    <n v="14"/>
    <n v="248.77"/>
    <s v="Store C"/>
    <s v="Wholesale"/>
    <x v="3"/>
    <x v="5"/>
    <x v="133"/>
    <x v="3"/>
    <x v="0"/>
    <x v="1"/>
    <s v="REG100133"/>
    <s v="Cust 2663"/>
    <n v="21.76"/>
    <x v="122"/>
    <x v="23"/>
    <d v="2023-03-19T00:00:00"/>
    <s v="Eric"/>
  </r>
  <r>
    <d v="2023-03-29T00:00:00"/>
    <x v="1"/>
    <x v="3"/>
    <n v="4"/>
    <n v="565.29"/>
    <s v="Store D"/>
    <s v="Wholesale"/>
    <x v="3"/>
    <x v="1"/>
    <x v="134"/>
    <x v="4"/>
    <x v="3"/>
    <x v="0"/>
    <s v="REG100134"/>
    <s v="Cust 2293"/>
    <n v="27.04"/>
    <x v="88"/>
    <x v="41"/>
    <d v="2023-04-03T00:00:00"/>
    <s v="Sophie"/>
  </r>
  <r>
    <d v="2023-07-14T00:00:00"/>
    <x v="3"/>
    <x v="2"/>
    <n v="12"/>
    <n v="244.8"/>
    <s v="Store B"/>
    <s v="Wholesale"/>
    <x v="3"/>
    <x v="2"/>
    <x v="135"/>
    <x v="0"/>
    <x v="0"/>
    <x v="0"/>
    <s v="REG100135"/>
    <s v="Cust 8963"/>
    <n v="44.75"/>
    <x v="123"/>
    <x v="9"/>
    <d v="2023-07-23T00:00:00"/>
    <s v="Cameron"/>
  </r>
  <r>
    <d v="2024-03-22T00:00:00"/>
    <x v="4"/>
    <x v="0"/>
    <n v="13"/>
    <n v="290.93"/>
    <s v="Store C"/>
    <s v="Retail"/>
    <x v="3"/>
    <x v="4"/>
    <x v="136"/>
    <x v="2"/>
    <x v="0"/>
    <x v="0"/>
    <s v="REG100136"/>
    <s v="Cust 9238"/>
    <n v="26.09"/>
    <x v="124"/>
    <x v="26"/>
    <d v="2024-03-31T00:00:00"/>
    <s v="Wendy"/>
  </r>
  <r>
    <d v="2024-05-14T00:00:00"/>
    <x v="3"/>
    <x v="0"/>
    <n v="11"/>
    <n v="229.49"/>
    <s v="Store C"/>
    <s v="Retail"/>
    <x v="1"/>
    <x v="5"/>
    <x v="137"/>
    <x v="4"/>
    <x v="3"/>
    <x v="0"/>
    <s v="REG100137"/>
    <s v="Cust 1390"/>
    <n v="35.39"/>
    <x v="125"/>
    <x v="13"/>
    <d v="2024-05-17T00:00:00"/>
    <s v="Cameron"/>
  </r>
  <r>
    <d v="2023-05-30T00:00:00"/>
    <x v="3"/>
    <x v="4"/>
    <n v="2"/>
    <n v="427.36"/>
    <s v="Store A"/>
    <s v="Wholesale"/>
    <x v="3"/>
    <x v="4"/>
    <x v="138"/>
    <x v="0"/>
    <x v="1"/>
    <x v="0"/>
    <s v="REG100138"/>
    <s v="Cust 8548"/>
    <n v="19.420000000000002"/>
    <x v="126"/>
    <x v="14"/>
    <d v="2023-06-02T00:00:00"/>
    <s v="Cameron"/>
  </r>
  <r>
    <d v="2023-03-19T00:00:00"/>
    <x v="2"/>
    <x v="1"/>
    <n v="2"/>
    <n v="443.51"/>
    <s v="Store C"/>
    <s v="Wholesale"/>
    <x v="3"/>
    <x v="1"/>
    <x v="139"/>
    <x v="4"/>
    <x v="3"/>
    <x v="0"/>
    <s v="REG100139"/>
    <s v="Cust 2919"/>
    <n v="13.65"/>
    <x v="127"/>
    <x v="26"/>
    <d v="2023-03-22T00:00:00"/>
    <s v="Ryan"/>
  </r>
  <r>
    <d v="2023-08-09T00:00:00"/>
    <x v="3"/>
    <x v="2"/>
    <n v="13"/>
    <n v="280.63"/>
    <s v="Store B"/>
    <s v="Wholesale"/>
    <x v="2"/>
    <x v="1"/>
    <x v="140"/>
    <x v="2"/>
    <x v="1"/>
    <x v="0"/>
    <s v="REG100140"/>
    <s v="Cust 5847"/>
    <n v="10.14"/>
    <x v="128"/>
    <x v="17"/>
    <d v="2023-08-14T00:00:00"/>
    <s v="Cameron"/>
  </r>
  <r>
    <d v="2024-10-13T00:00:00"/>
    <x v="2"/>
    <x v="3"/>
    <n v="13"/>
    <n v="416.66"/>
    <s v="Store B"/>
    <s v="Wholesale"/>
    <x v="2"/>
    <x v="5"/>
    <x v="141"/>
    <x v="2"/>
    <x v="2"/>
    <x v="0"/>
    <s v="REG100141"/>
    <s v="Cust 5711"/>
    <n v="21.74"/>
    <x v="129"/>
    <x v="6"/>
    <d v="2024-10-20T00:00:00"/>
    <s v="Ryan"/>
  </r>
  <r>
    <d v="2025-02-17T00:00:00"/>
    <x v="0"/>
    <x v="3"/>
    <n v="11"/>
    <n v="589.48"/>
    <s v="Store B"/>
    <s v="Retail"/>
    <x v="0"/>
    <x v="1"/>
    <x v="142"/>
    <x v="0"/>
    <x v="2"/>
    <x v="0"/>
    <s v="REG100142"/>
    <s v="Cust 5461"/>
    <n v="49.93"/>
    <x v="130"/>
    <x v="0"/>
    <d v="2025-02-25T00:00:00"/>
    <s v="Eric"/>
  </r>
  <r>
    <d v="2025-06-11T00:00:00"/>
    <x v="2"/>
    <x v="1"/>
    <n v="18"/>
    <n v="152.84"/>
    <s v="Store C"/>
    <s v="Retail"/>
    <x v="2"/>
    <x v="4"/>
    <x v="143"/>
    <x v="3"/>
    <x v="0"/>
    <x v="1"/>
    <s v="REG100143"/>
    <s v="Cust 8905"/>
    <n v="20.3"/>
    <x v="54"/>
    <x v="33"/>
    <d v="2025-06-20T00:00:00"/>
    <s v="Ryan"/>
  </r>
  <r>
    <d v="2024-04-29T00:00:00"/>
    <x v="3"/>
    <x v="5"/>
    <n v="4"/>
    <n v="163.66"/>
    <s v="Store B"/>
    <s v="Retail"/>
    <x v="0"/>
    <x v="5"/>
    <x v="144"/>
    <x v="1"/>
    <x v="2"/>
    <x v="1"/>
    <s v="REG100144"/>
    <s v="Cust 9618"/>
    <n v="31.8"/>
    <x v="131"/>
    <x v="40"/>
    <d v="2024-05-01T00:00:00"/>
    <s v="Cameron"/>
  </r>
  <r>
    <d v="2023-03-18T00:00:00"/>
    <x v="4"/>
    <x v="0"/>
    <n v="19"/>
    <n v="484.25"/>
    <s v="Store C"/>
    <s v="Wholesale"/>
    <x v="2"/>
    <x v="5"/>
    <x v="145"/>
    <x v="3"/>
    <x v="0"/>
    <x v="1"/>
    <s v="REG100145"/>
    <s v="Cust 5203"/>
    <n v="29.51"/>
    <x v="132"/>
    <x v="23"/>
    <d v="2023-03-20T00:00:00"/>
    <s v="Wendy"/>
  </r>
  <r>
    <d v="2024-12-21T00:00:00"/>
    <x v="2"/>
    <x v="3"/>
    <n v="9"/>
    <n v="380.4"/>
    <s v="Store B"/>
    <s v="Retail"/>
    <x v="1"/>
    <x v="3"/>
    <x v="146"/>
    <x v="2"/>
    <x v="3"/>
    <x v="0"/>
    <s v="REG100146"/>
    <s v="Cust 1732"/>
    <n v="31"/>
    <x v="133"/>
    <x v="1"/>
    <d v="2024-12-27T00:00:00"/>
    <s v="Ryan"/>
  </r>
  <r>
    <d v="2023-04-23T00:00:00"/>
    <x v="4"/>
    <x v="3"/>
    <n v="17"/>
    <n v="332.38"/>
    <s v="Store A"/>
    <s v="Retail"/>
    <x v="1"/>
    <x v="2"/>
    <x v="147"/>
    <x v="2"/>
    <x v="1"/>
    <x v="1"/>
    <s v="REG100147"/>
    <s v="Cust 4734"/>
    <n v="33.81"/>
    <x v="134"/>
    <x v="42"/>
    <d v="2023-05-02T00:00:00"/>
    <s v="Wendy"/>
  </r>
  <r>
    <d v="2025-05-11T00:00:00"/>
    <x v="3"/>
    <x v="3"/>
    <n v="15"/>
    <n v="210.94"/>
    <s v="Store C"/>
    <s v="Wholesale"/>
    <x v="3"/>
    <x v="2"/>
    <x v="148"/>
    <x v="0"/>
    <x v="1"/>
    <x v="0"/>
    <s v="REG100148"/>
    <s v="Cust 5895"/>
    <n v="10.91"/>
    <x v="15"/>
    <x v="13"/>
    <d v="2025-05-21T00:00:00"/>
    <s v="Cameron"/>
  </r>
  <r>
    <d v="2024-03-03T00:00:00"/>
    <x v="1"/>
    <x v="1"/>
    <n v="9"/>
    <n v="382.8"/>
    <s v="Store D"/>
    <s v="Wholesale"/>
    <x v="0"/>
    <x v="0"/>
    <x v="149"/>
    <x v="4"/>
    <x v="3"/>
    <x v="0"/>
    <s v="REG100149"/>
    <s v="Cust 9691"/>
    <n v="47.94"/>
    <x v="69"/>
    <x v="7"/>
    <d v="2024-03-05T00:00:00"/>
    <s v="Sophie"/>
  </r>
  <r>
    <d v="2025-01-20T00:00:00"/>
    <x v="2"/>
    <x v="4"/>
    <n v="3"/>
    <n v="386.29"/>
    <s v="Store C"/>
    <s v="Retail"/>
    <x v="2"/>
    <x v="3"/>
    <x v="150"/>
    <x v="2"/>
    <x v="0"/>
    <x v="0"/>
    <s v="REG100150"/>
    <s v="Cust 5406"/>
    <n v="32.450000000000003"/>
    <x v="135"/>
    <x v="34"/>
    <d v="2025-01-30T00:00:00"/>
    <s v="Ryan"/>
  </r>
  <r>
    <d v="2025-03-22T00:00:00"/>
    <x v="2"/>
    <x v="5"/>
    <n v="5"/>
    <n v="225.99"/>
    <s v="Store C"/>
    <s v="Retail"/>
    <x v="0"/>
    <x v="0"/>
    <x v="151"/>
    <x v="0"/>
    <x v="1"/>
    <x v="1"/>
    <s v="REG100151"/>
    <s v="Cust 5750"/>
    <n v="10.88"/>
    <x v="61"/>
    <x v="26"/>
    <d v="2025-03-30T00:00:00"/>
    <s v="Ryan"/>
  </r>
  <r>
    <d v="2025-03-28T00:00:00"/>
    <x v="1"/>
    <x v="6"/>
    <n v="20"/>
    <n v="312.56"/>
    <s v="Store D"/>
    <s v="Retail"/>
    <x v="2"/>
    <x v="2"/>
    <x v="152"/>
    <x v="1"/>
    <x v="2"/>
    <x v="0"/>
    <s v="REG100152"/>
    <s v="Cust 6506"/>
    <n v="47.39"/>
    <x v="136"/>
    <x v="41"/>
    <d v="2025-03-30T00:00:00"/>
    <s v="Sophie"/>
  </r>
  <r>
    <d v="2025-02-17T00:00:00"/>
    <x v="2"/>
    <x v="1"/>
    <n v="13"/>
    <n v="433.77"/>
    <s v="Store C"/>
    <s v="Wholesale"/>
    <x v="3"/>
    <x v="2"/>
    <x v="153"/>
    <x v="4"/>
    <x v="0"/>
    <x v="0"/>
    <s v="REG100153"/>
    <s v="Cust 8280"/>
    <n v="17.61"/>
    <x v="130"/>
    <x v="0"/>
    <d v="2025-02-21T00:00:00"/>
    <s v="Ryan"/>
  </r>
  <r>
    <d v="2024-11-08T00:00:00"/>
    <x v="1"/>
    <x v="5"/>
    <n v="20"/>
    <n v="159.33000000000001"/>
    <s v="Store A"/>
    <s v="Wholesale"/>
    <x v="0"/>
    <x v="0"/>
    <x v="154"/>
    <x v="0"/>
    <x v="0"/>
    <x v="0"/>
    <s v="REG100154"/>
    <s v="Cust 4358"/>
    <n v="26.32"/>
    <x v="137"/>
    <x v="47"/>
    <d v="2024-11-11T00:00:00"/>
    <s v="Sophie"/>
  </r>
  <r>
    <d v="2024-03-17T00:00:00"/>
    <x v="1"/>
    <x v="1"/>
    <n v="18"/>
    <n v="32.229999999999997"/>
    <s v="Store B"/>
    <s v="Retail"/>
    <x v="3"/>
    <x v="5"/>
    <x v="155"/>
    <x v="2"/>
    <x v="0"/>
    <x v="0"/>
    <s v="REG100155"/>
    <s v="Cust 3588"/>
    <n v="6.04"/>
    <x v="138"/>
    <x v="26"/>
    <d v="2024-03-21T00:00:00"/>
    <s v="Sophie"/>
  </r>
  <r>
    <d v="2023-08-29T00:00:00"/>
    <x v="1"/>
    <x v="4"/>
    <n v="3"/>
    <n v="527.77"/>
    <s v="Store C"/>
    <s v="Retail"/>
    <x v="1"/>
    <x v="5"/>
    <x v="156"/>
    <x v="4"/>
    <x v="0"/>
    <x v="0"/>
    <s v="REG100156"/>
    <s v="Cust 4539"/>
    <n v="48.66"/>
    <x v="139"/>
    <x v="44"/>
    <d v="2023-09-01T00:00:00"/>
    <s v="Sophie"/>
  </r>
  <r>
    <d v="2023-06-22T00:00:00"/>
    <x v="1"/>
    <x v="3"/>
    <n v="14"/>
    <n v="291.08999999999997"/>
    <s v="Store A"/>
    <s v="Retail"/>
    <x v="0"/>
    <x v="3"/>
    <x v="157"/>
    <x v="4"/>
    <x v="3"/>
    <x v="0"/>
    <s v="REG100157"/>
    <s v="Cust 7067"/>
    <n v="39.979999999999997"/>
    <x v="19"/>
    <x v="4"/>
    <d v="2023-06-30T00:00:00"/>
    <s v="Sophie"/>
  </r>
  <r>
    <d v="2024-02-24T00:00:00"/>
    <x v="1"/>
    <x v="1"/>
    <n v="8"/>
    <n v="350.12"/>
    <s v="Store C"/>
    <s v="Retail"/>
    <x v="0"/>
    <x v="1"/>
    <x v="158"/>
    <x v="1"/>
    <x v="0"/>
    <x v="1"/>
    <s v="REG100158"/>
    <s v="Cust 7720"/>
    <n v="31.65"/>
    <x v="62"/>
    <x v="0"/>
    <d v="2024-03-01T00:00:00"/>
    <s v="Sophie"/>
  </r>
  <r>
    <d v="2024-04-10T00:00:00"/>
    <x v="2"/>
    <x v="1"/>
    <n v="10"/>
    <n v="195.26"/>
    <s v="Store D"/>
    <s v="Retail"/>
    <x v="3"/>
    <x v="1"/>
    <x v="159"/>
    <x v="2"/>
    <x v="2"/>
    <x v="0"/>
    <s v="REG100159"/>
    <s v="Cust 5668"/>
    <n v="46.91"/>
    <x v="10"/>
    <x v="8"/>
    <d v="2024-04-15T00:00:00"/>
    <s v="Ryan"/>
  </r>
  <r>
    <d v="2023-05-14T00:00:00"/>
    <x v="1"/>
    <x v="4"/>
    <n v="13"/>
    <n v="291.10000000000002"/>
    <s v="Store A"/>
    <s v="Wholesale"/>
    <x v="0"/>
    <x v="1"/>
    <x v="160"/>
    <x v="0"/>
    <x v="0"/>
    <x v="0"/>
    <s v="REG100160"/>
    <s v="Cust 8367"/>
    <n v="7.66"/>
    <x v="140"/>
    <x v="13"/>
    <d v="2023-05-19T00:00:00"/>
    <s v="Sophie"/>
  </r>
  <r>
    <d v="2023-03-11T00:00:00"/>
    <x v="1"/>
    <x v="4"/>
    <n v="6"/>
    <n v="93.92"/>
    <s v="Store B"/>
    <s v="Wholesale"/>
    <x v="2"/>
    <x v="0"/>
    <x v="161"/>
    <x v="2"/>
    <x v="0"/>
    <x v="0"/>
    <s v="REG100161"/>
    <s v="Cust 4438"/>
    <n v="11"/>
    <x v="141"/>
    <x v="7"/>
    <d v="2023-03-18T00:00:00"/>
    <s v="Sophie"/>
  </r>
  <r>
    <d v="2024-08-24T00:00:00"/>
    <x v="3"/>
    <x v="6"/>
    <n v="5"/>
    <n v="15.92"/>
    <s v="Store D"/>
    <s v="Retail"/>
    <x v="0"/>
    <x v="0"/>
    <x v="162"/>
    <x v="2"/>
    <x v="3"/>
    <x v="1"/>
    <s v="REG100162"/>
    <s v="Cust 3481"/>
    <n v="8.66"/>
    <x v="142"/>
    <x v="48"/>
    <d v="2024-08-26T00:00:00"/>
    <s v="Cameron"/>
  </r>
  <r>
    <d v="2024-02-23T00:00:00"/>
    <x v="1"/>
    <x v="4"/>
    <n v="16"/>
    <n v="120.22"/>
    <s v="Store D"/>
    <s v="Retail"/>
    <x v="2"/>
    <x v="5"/>
    <x v="163"/>
    <x v="4"/>
    <x v="1"/>
    <x v="0"/>
    <s v="REG100163"/>
    <s v="Cust 1489"/>
    <n v="8.42"/>
    <x v="143"/>
    <x v="0"/>
    <d v="2024-03-01T00:00:00"/>
    <s v="Sophie"/>
  </r>
  <r>
    <d v="2024-01-30T00:00:00"/>
    <x v="2"/>
    <x v="4"/>
    <n v="11"/>
    <n v="118.8"/>
    <s v="Store A"/>
    <s v="Retail"/>
    <x v="3"/>
    <x v="0"/>
    <x v="164"/>
    <x v="0"/>
    <x v="1"/>
    <x v="0"/>
    <s v="REG100164"/>
    <s v="Cust 6649"/>
    <n v="39.32"/>
    <x v="144"/>
    <x v="43"/>
    <d v="2024-02-06T00:00:00"/>
    <s v="Ryan"/>
  </r>
  <r>
    <d v="2024-01-23T00:00:00"/>
    <x v="0"/>
    <x v="5"/>
    <n v="10"/>
    <n v="92.45"/>
    <s v="Store C"/>
    <s v="Wholesale"/>
    <x v="1"/>
    <x v="2"/>
    <x v="165"/>
    <x v="4"/>
    <x v="2"/>
    <x v="1"/>
    <s v="REG100165"/>
    <s v="Cust 6114"/>
    <n v="42.61"/>
    <x v="145"/>
    <x v="34"/>
    <d v="2024-01-29T00:00:00"/>
    <s v="Eric"/>
  </r>
  <r>
    <d v="2023-01-05T00:00:00"/>
    <x v="2"/>
    <x v="0"/>
    <n v="19"/>
    <n v="463.51"/>
    <s v="Store B"/>
    <s v="Retail"/>
    <x v="0"/>
    <x v="5"/>
    <x v="166"/>
    <x v="4"/>
    <x v="0"/>
    <x v="0"/>
    <s v="REG100166"/>
    <s v="Cust 9589"/>
    <n v="49.38"/>
    <x v="82"/>
    <x v="31"/>
    <d v="2023-01-08T00:00:00"/>
    <s v="Ryan"/>
  </r>
  <r>
    <d v="2023-12-21T00:00:00"/>
    <x v="2"/>
    <x v="2"/>
    <n v="7"/>
    <n v="284.7"/>
    <s v="Store D"/>
    <s v="Wholesale"/>
    <x v="3"/>
    <x v="5"/>
    <x v="167"/>
    <x v="1"/>
    <x v="3"/>
    <x v="0"/>
    <s v="REG100167"/>
    <s v="Cust 8184"/>
    <n v="5.36"/>
    <x v="146"/>
    <x v="1"/>
    <d v="2023-12-30T00:00:00"/>
    <s v="Ryan"/>
  </r>
  <r>
    <d v="2023-05-25T00:00:00"/>
    <x v="4"/>
    <x v="0"/>
    <n v="20"/>
    <n v="343.25"/>
    <s v="Store C"/>
    <s v="Wholesale"/>
    <x v="3"/>
    <x v="1"/>
    <x v="168"/>
    <x v="3"/>
    <x v="0"/>
    <x v="0"/>
    <s v="REG100168"/>
    <s v="Cust 2490"/>
    <n v="28.77"/>
    <x v="147"/>
    <x v="18"/>
    <d v="2023-06-02T00:00:00"/>
    <s v="Wendy"/>
  </r>
  <r>
    <d v="2025-06-30T00:00:00"/>
    <x v="3"/>
    <x v="3"/>
    <n v="6"/>
    <n v="95.24"/>
    <s v="Store D"/>
    <s v="Wholesale"/>
    <x v="2"/>
    <x v="4"/>
    <x v="169"/>
    <x v="1"/>
    <x v="0"/>
    <x v="0"/>
    <s v="REG100169"/>
    <s v="Cust 1647"/>
    <n v="18.72"/>
    <x v="148"/>
    <x v="49"/>
    <d v="2025-07-08T00:00:00"/>
    <s v="Cameron"/>
  </r>
  <r>
    <d v="2025-02-12T00:00:00"/>
    <x v="4"/>
    <x v="2"/>
    <n v="13"/>
    <n v="104.8"/>
    <s v="Store B"/>
    <s v="Retail"/>
    <x v="3"/>
    <x v="4"/>
    <x v="170"/>
    <x v="2"/>
    <x v="2"/>
    <x v="0"/>
    <s v="REG100170"/>
    <s v="Cust 2017"/>
    <n v="7.79"/>
    <x v="149"/>
    <x v="22"/>
    <d v="2025-02-19T00:00:00"/>
    <s v="Wendy"/>
  </r>
  <r>
    <d v="2024-01-03T00:00:00"/>
    <x v="4"/>
    <x v="5"/>
    <n v="12"/>
    <n v="164.31"/>
    <s v="Store B"/>
    <s v="Wholesale"/>
    <x v="1"/>
    <x v="0"/>
    <x v="171"/>
    <x v="4"/>
    <x v="3"/>
    <x v="1"/>
    <s v="REG100171"/>
    <s v="Cust 3446"/>
    <n v="38.9"/>
    <x v="150"/>
    <x v="31"/>
    <d v="2024-01-07T00:00:00"/>
    <s v="Wendy"/>
  </r>
  <r>
    <d v="2023-02-03T00:00:00"/>
    <x v="1"/>
    <x v="5"/>
    <n v="10"/>
    <n v="325.18"/>
    <s v="Store C"/>
    <s v="Wholesale"/>
    <x v="1"/>
    <x v="1"/>
    <x v="172"/>
    <x v="4"/>
    <x v="2"/>
    <x v="0"/>
    <s v="REG100172"/>
    <s v="Cust 4877"/>
    <n v="47.39"/>
    <x v="151"/>
    <x v="43"/>
    <d v="2023-02-13T00:00:00"/>
    <s v="Sophie"/>
  </r>
  <r>
    <d v="2024-03-01T00:00:00"/>
    <x v="0"/>
    <x v="4"/>
    <n v="17"/>
    <n v="542.82000000000005"/>
    <s v="Store A"/>
    <s v="Wholesale"/>
    <x v="0"/>
    <x v="1"/>
    <x v="173"/>
    <x v="3"/>
    <x v="2"/>
    <x v="1"/>
    <s v="REG100173"/>
    <s v="Cust 9112"/>
    <n v="7.13"/>
    <x v="152"/>
    <x v="3"/>
    <d v="2024-03-08T00:00:00"/>
    <s v="Eric"/>
  </r>
  <r>
    <d v="2023-05-24T00:00:00"/>
    <x v="2"/>
    <x v="5"/>
    <n v="14"/>
    <n v="207.48"/>
    <s v="Store C"/>
    <s v="Wholesale"/>
    <x v="3"/>
    <x v="0"/>
    <x v="174"/>
    <x v="0"/>
    <x v="3"/>
    <x v="0"/>
    <s v="REG100174"/>
    <s v="Cust 8172"/>
    <n v="5.7"/>
    <x v="56"/>
    <x v="18"/>
    <d v="2023-06-02T00:00:00"/>
    <s v="Ryan"/>
  </r>
  <r>
    <d v="2025-06-22T00:00:00"/>
    <x v="2"/>
    <x v="6"/>
    <n v="17"/>
    <n v="527.88"/>
    <s v="Store D"/>
    <s v="Retail"/>
    <x v="3"/>
    <x v="5"/>
    <x v="175"/>
    <x v="4"/>
    <x v="2"/>
    <x v="0"/>
    <s v="REG100175"/>
    <s v="Cust 4597"/>
    <n v="21.32"/>
    <x v="153"/>
    <x v="28"/>
    <d v="2025-06-28T00:00:00"/>
    <s v="Ryan"/>
  </r>
  <r>
    <d v="2023-04-10T00:00:00"/>
    <x v="2"/>
    <x v="3"/>
    <n v="11"/>
    <n v="71.209999999999994"/>
    <s v="Store B"/>
    <s v="Retail"/>
    <x v="3"/>
    <x v="4"/>
    <x v="176"/>
    <x v="0"/>
    <x v="3"/>
    <x v="1"/>
    <s v="REG100176"/>
    <s v="Cust 3690"/>
    <n v="44.2"/>
    <x v="154"/>
    <x v="8"/>
    <d v="2023-04-14T00:00:00"/>
    <s v="Ryan"/>
  </r>
  <r>
    <d v="2025-03-04T00:00:00"/>
    <x v="3"/>
    <x v="6"/>
    <n v="8"/>
    <n v="486.07"/>
    <s v="Store B"/>
    <s v="Retail"/>
    <x v="0"/>
    <x v="3"/>
    <x v="177"/>
    <x v="3"/>
    <x v="0"/>
    <x v="0"/>
    <s v="REG100177"/>
    <s v="Cust 2893"/>
    <n v="10.68"/>
    <x v="155"/>
    <x v="7"/>
    <d v="2025-03-10T00:00:00"/>
    <s v="Cameron"/>
  </r>
  <r>
    <d v="2024-07-11T00:00:00"/>
    <x v="0"/>
    <x v="0"/>
    <n v="6"/>
    <n v="555.03"/>
    <s v="Store C"/>
    <s v="Retail"/>
    <x v="1"/>
    <x v="2"/>
    <x v="178"/>
    <x v="2"/>
    <x v="3"/>
    <x v="1"/>
    <s v="REG100178"/>
    <s v="Cust 5602"/>
    <n v="23.69"/>
    <x v="156"/>
    <x v="9"/>
    <d v="2024-07-20T00:00:00"/>
    <s v="Eric"/>
  </r>
  <r>
    <d v="2024-08-17T00:00:00"/>
    <x v="0"/>
    <x v="2"/>
    <n v="13"/>
    <n v="421.08"/>
    <s v="Store B"/>
    <s v="Wholesale"/>
    <x v="0"/>
    <x v="5"/>
    <x v="179"/>
    <x v="4"/>
    <x v="3"/>
    <x v="0"/>
    <s v="REG100179"/>
    <s v="Cust 5616"/>
    <n v="24.51"/>
    <x v="157"/>
    <x v="45"/>
    <d v="2024-08-20T00:00:00"/>
    <s v="Eric"/>
  </r>
  <r>
    <d v="2025-06-30T00:00:00"/>
    <x v="2"/>
    <x v="0"/>
    <n v="16"/>
    <n v="76.17"/>
    <s v="Store D"/>
    <s v="Wholesale"/>
    <x v="1"/>
    <x v="1"/>
    <x v="180"/>
    <x v="4"/>
    <x v="2"/>
    <x v="0"/>
    <s v="REG100180"/>
    <s v="Cust 1312"/>
    <n v="41.88"/>
    <x v="148"/>
    <x v="49"/>
    <d v="2025-07-09T00:00:00"/>
    <s v="Ryan"/>
  </r>
  <r>
    <d v="2024-11-06T00:00:00"/>
    <x v="1"/>
    <x v="6"/>
    <n v="3"/>
    <n v="503.55"/>
    <s v="Store C"/>
    <s v="Wholesale"/>
    <x v="1"/>
    <x v="5"/>
    <x v="181"/>
    <x v="2"/>
    <x v="2"/>
    <x v="0"/>
    <s v="REG100181"/>
    <s v="Cust 6315"/>
    <n v="37.49"/>
    <x v="158"/>
    <x v="47"/>
    <d v="2024-11-13T00:00:00"/>
    <s v="Sophie"/>
  </r>
  <r>
    <d v="2025-04-01T00:00:00"/>
    <x v="0"/>
    <x v="5"/>
    <n v="5"/>
    <n v="31.56"/>
    <s v="Store D"/>
    <s v="Retail"/>
    <x v="0"/>
    <x v="4"/>
    <x v="182"/>
    <x v="0"/>
    <x v="1"/>
    <x v="1"/>
    <s v="REG100182"/>
    <s v="Cust 1224"/>
    <n v="29.56"/>
    <x v="159"/>
    <x v="24"/>
    <d v="2025-04-04T00:00:00"/>
    <s v="Eric"/>
  </r>
  <r>
    <d v="2024-07-01T00:00:00"/>
    <x v="4"/>
    <x v="0"/>
    <n v="16"/>
    <n v="72.92"/>
    <s v="Store C"/>
    <s v="Wholesale"/>
    <x v="3"/>
    <x v="2"/>
    <x v="183"/>
    <x v="4"/>
    <x v="0"/>
    <x v="0"/>
    <s v="REG100183"/>
    <s v="Cust 7182"/>
    <n v="5.7"/>
    <x v="160"/>
    <x v="49"/>
    <d v="2024-07-06T00:00:00"/>
    <s v="Wendy"/>
  </r>
  <r>
    <d v="2023-12-09T00:00:00"/>
    <x v="4"/>
    <x v="6"/>
    <n v="18"/>
    <n v="421.93"/>
    <s v="Store D"/>
    <s v="Retail"/>
    <x v="3"/>
    <x v="5"/>
    <x v="184"/>
    <x v="1"/>
    <x v="2"/>
    <x v="0"/>
    <s v="REG100184"/>
    <s v="Cust 7901"/>
    <n v="23.42"/>
    <x v="63"/>
    <x v="21"/>
    <d v="2023-12-18T00:00:00"/>
    <s v="Wendy"/>
  </r>
  <r>
    <d v="2023-06-27T00:00:00"/>
    <x v="2"/>
    <x v="2"/>
    <n v="15"/>
    <n v="478.41"/>
    <s v="Store B"/>
    <s v="Retail"/>
    <x v="1"/>
    <x v="3"/>
    <x v="185"/>
    <x v="3"/>
    <x v="0"/>
    <x v="0"/>
    <s v="REG100185"/>
    <s v="Cust 1736"/>
    <n v="35.630000000000003"/>
    <x v="161"/>
    <x v="28"/>
    <d v="2023-06-30T00:00:00"/>
    <s v="Ryan"/>
  </r>
  <r>
    <d v="2023-07-14T00:00:00"/>
    <x v="1"/>
    <x v="3"/>
    <n v="9"/>
    <n v="501.74"/>
    <s v="Store D"/>
    <s v="Retail"/>
    <x v="0"/>
    <x v="5"/>
    <x v="186"/>
    <x v="0"/>
    <x v="1"/>
    <x v="1"/>
    <s v="REG100186"/>
    <s v="Cust 7795"/>
    <n v="39.74"/>
    <x v="123"/>
    <x v="9"/>
    <d v="2023-07-17T00:00:00"/>
    <s v="Sophie"/>
  </r>
  <r>
    <d v="2023-02-08T00:00:00"/>
    <x v="1"/>
    <x v="5"/>
    <n v="7"/>
    <n v="247.53"/>
    <s v="Store C"/>
    <s v="Wholesale"/>
    <x v="2"/>
    <x v="1"/>
    <x v="187"/>
    <x v="1"/>
    <x v="0"/>
    <x v="0"/>
    <s v="REG100187"/>
    <s v="Cust 2471"/>
    <n v="13.63"/>
    <x v="162"/>
    <x v="29"/>
    <d v="2023-02-16T00:00:00"/>
    <s v="Sophie"/>
  </r>
  <r>
    <d v="2024-06-28T00:00:00"/>
    <x v="4"/>
    <x v="5"/>
    <n v="6"/>
    <n v="176.51"/>
    <s v="Store C"/>
    <s v="Wholesale"/>
    <x v="2"/>
    <x v="3"/>
    <x v="188"/>
    <x v="3"/>
    <x v="0"/>
    <x v="1"/>
    <s v="REG100188"/>
    <s v="Cust 3068"/>
    <n v="31.02"/>
    <x v="163"/>
    <x v="28"/>
    <d v="2024-07-07T00:00:00"/>
    <s v="Wendy"/>
  </r>
  <r>
    <d v="2024-04-15T00:00:00"/>
    <x v="4"/>
    <x v="0"/>
    <n v="2"/>
    <n v="143.43"/>
    <s v="Store D"/>
    <s v="Wholesale"/>
    <x v="0"/>
    <x v="5"/>
    <x v="189"/>
    <x v="2"/>
    <x v="3"/>
    <x v="0"/>
    <s v="REG100189"/>
    <s v="Cust 3848"/>
    <n v="36.94"/>
    <x v="164"/>
    <x v="32"/>
    <d v="2024-04-22T00:00:00"/>
    <s v="Wendy"/>
  </r>
  <r>
    <d v="2023-11-27T00:00:00"/>
    <x v="0"/>
    <x v="4"/>
    <n v="12"/>
    <n v="538.5"/>
    <s v="Store C"/>
    <s v="Wholesale"/>
    <x v="3"/>
    <x v="1"/>
    <x v="190"/>
    <x v="4"/>
    <x v="1"/>
    <x v="0"/>
    <s v="REG100190"/>
    <s v="Cust 7777"/>
    <n v="18.54"/>
    <x v="165"/>
    <x v="15"/>
    <d v="2023-12-06T00:00:00"/>
    <s v="Eric"/>
  </r>
  <r>
    <d v="2025-03-27T00:00:00"/>
    <x v="0"/>
    <x v="6"/>
    <n v="5"/>
    <n v="87.17"/>
    <s v="Store D"/>
    <s v="Wholesale"/>
    <x v="0"/>
    <x v="3"/>
    <x v="191"/>
    <x v="3"/>
    <x v="3"/>
    <x v="0"/>
    <s v="REG100191"/>
    <s v="Cust 6613"/>
    <n v="13.01"/>
    <x v="166"/>
    <x v="41"/>
    <d v="2025-03-29T00:00:00"/>
    <s v="Eric"/>
  </r>
  <r>
    <d v="2023-08-06T00:00:00"/>
    <x v="1"/>
    <x v="4"/>
    <n v="7"/>
    <n v="498.32"/>
    <s v="Store B"/>
    <s v="Wholesale"/>
    <x v="1"/>
    <x v="1"/>
    <x v="192"/>
    <x v="2"/>
    <x v="2"/>
    <x v="1"/>
    <s v="REG100192"/>
    <s v="Cust 2326"/>
    <n v="27.65"/>
    <x v="23"/>
    <x v="17"/>
    <d v="2023-08-10T00:00:00"/>
    <s v="Sophie"/>
  </r>
  <r>
    <d v="2024-12-13T00:00:00"/>
    <x v="1"/>
    <x v="6"/>
    <n v="15"/>
    <n v="57.14"/>
    <s v="Store B"/>
    <s v="Wholesale"/>
    <x v="2"/>
    <x v="3"/>
    <x v="193"/>
    <x v="3"/>
    <x v="0"/>
    <x v="0"/>
    <s v="REG100193"/>
    <s v="Cust 8304"/>
    <n v="7.02"/>
    <x v="167"/>
    <x v="12"/>
    <d v="2024-12-22T00:00:00"/>
    <s v="Sophie"/>
  </r>
  <r>
    <d v="2025-01-17T00:00:00"/>
    <x v="3"/>
    <x v="5"/>
    <n v="18"/>
    <n v="124.18"/>
    <s v="Store B"/>
    <s v="Wholesale"/>
    <x v="2"/>
    <x v="3"/>
    <x v="194"/>
    <x v="3"/>
    <x v="1"/>
    <x v="0"/>
    <s v="REG100194"/>
    <s v="Cust 3630"/>
    <n v="45.77"/>
    <x v="50"/>
    <x v="11"/>
    <d v="2025-01-26T00:00:00"/>
    <s v="Cameron"/>
  </r>
  <r>
    <d v="2023-11-26T00:00:00"/>
    <x v="4"/>
    <x v="2"/>
    <n v="12"/>
    <n v="107.45"/>
    <s v="Store C"/>
    <s v="Retail"/>
    <x v="1"/>
    <x v="5"/>
    <x v="195"/>
    <x v="0"/>
    <x v="0"/>
    <x v="0"/>
    <s v="REG100195"/>
    <s v="Cust 8617"/>
    <n v="18.170000000000002"/>
    <x v="168"/>
    <x v="15"/>
    <d v="2023-12-02T00:00:00"/>
    <s v="Wendy"/>
  </r>
  <r>
    <d v="2023-02-14T00:00:00"/>
    <x v="0"/>
    <x v="3"/>
    <n v="8"/>
    <n v="411.26"/>
    <s v="Store A"/>
    <s v="Retail"/>
    <x v="1"/>
    <x v="2"/>
    <x v="196"/>
    <x v="1"/>
    <x v="2"/>
    <x v="0"/>
    <s v="REG100196"/>
    <s v="Cust 3530"/>
    <n v="28.57"/>
    <x v="169"/>
    <x v="22"/>
    <d v="2023-02-18T00:00:00"/>
    <s v="Eric"/>
  </r>
  <r>
    <d v="2025-02-02T00:00:00"/>
    <x v="3"/>
    <x v="6"/>
    <n v="7"/>
    <n v="248.1"/>
    <s v="Store C"/>
    <s v="Retail"/>
    <x v="0"/>
    <x v="4"/>
    <x v="197"/>
    <x v="4"/>
    <x v="2"/>
    <x v="0"/>
    <s v="REG100197"/>
    <s v="Cust 3884"/>
    <n v="31.8"/>
    <x v="170"/>
    <x v="29"/>
    <d v="2025-02-06T00:00:00"/>
    <s v="Cameron"/>
  </r>
  <r>
    <d v="2023-04-11T00:00:00"/>
    <x v="4"/>
    <x v="6"/>
    <n v="3"/>
    <n v="486.52"/>
    <s v="Store B"/>
    <s v="Wholesale"/>
    <x v="1"/>
    <x v="3"/>
    <x v="198"/>
    <x v="1"/>
    <x v="3"/>
    <x v="0"/>
    <s v="REG100198"/>
    <s v="Cust 5739"/>
    <n v="16.5"/>
    <x v="171"/>
    <x v="8"/>
    <d v="2023-04-20T00:00:00"/>
    <s v="Wendy"/>
  </r>
  <r>
    <d v="2024-07-08T00:00:00"/>
    <x v="2"/>
    <x v="4"/>
    <n v="18"/>
    <n v="415.04"/>
    <s v="Store C"/>
    <s v="Wholesale"/>
    <x v="1"/>
    <x v="0"/>
    <x v="199"/>
    <x v="4"/>
    <x v="2"/>
    <x v="0"/>
    <s v="REG100199"/>
    <s v="Cust 9707"/>
    <n v="33.58"/>
    <x v="172"/>
    <x v="9"/>
    <d v="2024-07-13T00:00:00"/>
    <s v="Ryan"/>
  </r>
  <r>
    <d v="2023-02-08T00:00:00"/>
    <x v="3"/>
    <x v="6"/>
    <n v="19"/>
    <n v="165.38"/>
    <s v="Store B"/>
    <s v="Wholesale"/>
    <x v="2"/>
    <x v="1"/>
    <x v="200"/>
    <x v="0"/>
    <x v="3"/>
    <x v="0"/>
    <s v="REG100200"/>
    <s v="Cust 9288"/>
    <n v="25.2"/>
    <x v="162"/>
    <x v="29"/>
    <d v="2023-02-14T00:00:00"/>
    <s v="Cameron"/>
  </r>
  <r>
    <d v="2024-04-09T00:00:00"/>
    <x v="4"/>
    <x v="2"/>
    <n v="2"/>
    <n v="117.47"/>
    <s v="Store C"/>
    <s v="Wholesale"/>
    <x v="0"/>
    <x v="0"/>
    <x v="201"/>
    <x v="2"/>
    <x v="0"/>
    <x v="0"/>
    <s v="REG100201"/>
    <s v="Cust 1216"/>
    <n v="6.58"/>
    <x v="173"/>
    <x v="8"/>
    <d v="2024-04-16T00:00:00"/>
    <s v="Wendy"/>
  </r>
  <r>
    <d v="2023-08-14T00:00:00"/>
    <x v="3"/>
    <x v="6"/>
    <n v="9"/>
    <n v="461.79"/>
    <s v="Store C"/>
    <s v="Wholesale"/>
    <x v="2"/>
    <x v="2"/>
    <x v="202"/>
    <x v="1"/>
    <x v="3"/>
    <x v="0"/>
    <s v="REG100202"/>
    <s v="Cust 2489"/>
    <n v="47.81"/>
    <x v="174"/>
    <x v="45"/>
    <d v="2023-08-18T00:00:00"/>
    <s v="Cameron"/>
  </r>
  <r>
    <d v="2024-09-02T00:00:00"/>
    <x v="4"/>
    <x v="5"/>
    <n v="19"/>
    <n v="208.72"/>
    <s v="Store D"/>
    <s v="Retail"/>
    <x v="3"/>
    <x v="2"/>
    <x v="203"/>
    <x v="2"/>
    <x v="0"/>
    <x v="0"/>
    <s v="REG100203"/>
    <s v="Cust 7171"/>
    <n v="38.409999999999997"/>
    <x v="175"/>
    <x v="25"/>
    <d v="2024-09-06T00:00:00"/>
    <s v="Wendy"/>
  </r>
  <r>
    <d v="2025-06-29T00:00:00"/>
    <x v="3"/>
    <x v="4"/>
    <n v="16"/>
    <n v="278.13"/>
    <s v="Store A"/>
    <s v="Wholesale"/>
    <x v="2"/>
    <x v="1"/>
    <x v="204"/>
    <x v="4"/>
    <x v="1"/>
    <x v="0"/>
    <s v="REG100204"/>
    <s v="Cust 9125"/>
    <n v="24.29"/>
    <x v="176"/>
    <x v="49"/>
    <d v="2025-07-04T00:00:00"/>
    <s v="Cameron"/>
  </r>
  <r>
    <d v="2025-04-02T00:00:00"/>
    <x v="4"/>
    <x v="0"/>
    <n v="2"/>
    <n v="580.19000000000005"/>
    <s v="Store B"/>
    <s v="Wholesale"/>
    <x v="3"/>
    <x v="4"/>
    <x v="205"/>
    <x v="3"/>
    <x v="2"/>
    <x v="0"/>
    <s v="REG100205"/>
    <s v="Cust 9697"/>
    <n v="7.33"/>
    <x v="177"/>
    <x v="24"/>
    <d v="2025-04-08T00:00:00"/>
    <s v="Wendy"/>
  </r>
  <r>
    <d v="2023-04-27T00:00:00"/>
    <x v="3"/>
    <x v="5"/>
    <n v="8"/>
    <n v="536.42999999999995"/>
    <s v="Store B"/>
    <s v="Retail"/>
    <x v="0"/>
    <x v="3"/>
    <x v="206"/>
    <x v="4"/>
    <x v="3"/>
    <x v="1"/>
    <s v="REG100206"/>
    <s v="Cust 8171"/>
    <n v="14.58"/>
    <x v="178"/>
    <x v="42"/>
    <d v="2023-05-07T00:00:00"/>
    <s v="Cameron"/>
  </r>
  <r>
    <d v="2024-08-07T00:00:00"/>
    <x v="0"/>
    <x v="1"/>
    <n v="1"/>
    <n v="94.33"/>
    <s v="Store A"/>
    <s v="Wholesale"/>
    <x v="0"/>
    <x v="3"/>
    <x v="207"/>
    <x v="0"/>
    <x v="3"/>
    <x v="0"/>
    <s v="REG100207"/>
    <s v="Cust 2004"/>
    <n v="49.17"/>
    <x v="179"/>
    <x v="17"/>
    <d v="2024-08-17T00:00:00"/>
    <s v="Eric"/>
  </r>
  <r>
    <d v="2023-04-15T00:00:00"/>
    <x v="4"/>
    <x v="0"/>
    <n v="16"/>
    <n v="489.94"/>
    <s v="Store C"/>
    <s v="Retail"/>
    <x v="1"/>
    <x v="2"/>
    <x v="208"/>
    <x v="4"/>
    <x v="1"/>
    <x v="0"/>
    <s v="REG100208"/>
    <s v="Cust 4214"/>
    <n v="9.69"/>
    <x v="180"/>
    <x v="8"/>
    <d v="2023-04-25T00:00:00"/>
    <s v="Wendy"/>
  </r>
  <r>
    <d v="2023-08-12T00:00:00"/>
    <x v="1"/>
    <x v="2"/>
    <n v="4"/>
    <n v="551.71"/>
    <s v="Store A"/>
    <s v="Retail"/>
    <x v="3"/>
    <x v="0"/>
    <x v="209"/>
    <x v="1"/>
    <x v="3"/>
    <x v="1"/>
    <s v="REG100209"/>
    <s v="Cust 9837"/>
    <n v="26.32"/>
    <x v="181"/>
    <x v="17"/>
    <d v="2023-08-15T00:00:00"/>
    <s v="Sophie"/>
  </r>
  <r>
    <d v="2023-06-19T00:00:00"/>
    <x v="4"/>
    <x v="6"/>
    <n v="17"/>
    <n v="595.57000000000005"/>
    <s v="Store D"/>
    <s v="Retail"/>
    <x v="2"/>
    <x v="5"/>
    <x v="210"/>
    <x v="2"/>
    <x v="2"/>
    <x v="0"/>
    <s v="REG100210"/>
    <s v="Cust 2082"/>
    <n v="9.73"/>
    <x v="182"/>
    <x v="4"/>
    <d v="2023-06-28T00:00:00"/>
    <s v="Wendy"/>
  </r>
  <r>
    <d v="2023-12-29T00:00:00"/>
    <x v="0"/>
    <x v="6"/>
    <n v="1"/>
    <n v="180.12"/>
    <s v="Store A"/>
    <s v="Wholesale"/>
    <x v="1"/>
    <x v="0"/>
    <x v="211"/>
    <x v="3"/>
    <x v="3"/>
    <x v="0"/>
    <s v="REG100211"/>
    <s v="Cust 3001"/>
    <n v="27.07"/>
    <x v="183"/>
    <x v="37"/>
    <d v="2024-01-07T00:00:00"/>
    <s v="Eric"/>
  </r>
  <r>
    <d v="2023-03-26T00:00:00"/>
    <x v="0"/>
    <x v="2"/>
    <n v="12"/>
    <n v="301.5"/>
    <s v="Store D"/>
    <s v="Retail"/>
    <x v="2"/>
    <x v="5"/>
    <x v="212"/>
    <x v="2"/>
    <x v="0"/>
    <x v="1"/>
    <s v="REG100212"/>
    <s v="Cust 6161"/>
    <n v="43.67"/>
    <x v="184"/>
    <x v="41"/>
    <d v="2023-03-30T00:00:00"/>
    <s v="Eric"/>
  </r>
  <r>
    <d v="2023-09-01T00:00:00"/>
    <x v="1"/>
    <x v="1"/>
    <n v="20"/>
    <n v="273.55"/>
    <s v="Store D"/>
    <s v="Retail"/>
    <x v="2"/>
    <x v="2"/>
    <x v="213"/>
    <x v="3"/>
    <x v="3"/>
    <x v="0"/>
    <s v="REG100213"/>
    <s v="Cust 5220"/>
    <n v="14.76"/>
    <x v="185"/>
    <x v="44"/>
    <d v="2023-09-07T00:00:00"/>
    <s v="Sophie"/>
  </r>
  <r>
    <d v="2024-08-05T00:00:00"/>
    <x v="4"/>
    <x v="5"/>
    <n v="6"/>
    <n v="187.06"/>
    <s v="Store B"/>
    <s v="Wholesale"/>
    <x v="1"/>
    <x v="2"/>
    <x v="214"/>
    <x v="3"/>
    <x v="0"/>
    <x v="0"/>
    <s v="REG100214"/>
    <s v="Cust 3386"/>
    <n v="11.03"/>
    <x v="186"/>
    <x v="17"/>
    <d v="2024-08-13T00:00:00"/>
    <s v="Wendy"/>
  </r>
  <r>
    <d v="2025-01-23T00:00:00"/>
    <x v="2"/>
    <x v="3"/>
    <n v="16"/>
    <n v="562.52"/>
    <s v="Store D"/>
    <s v="Retail"/>
    <x v="0"/>
    <x v="2"/>
    <x v="215"/>
    <x v="1"/>
    <x v="3"/>
    <x v="0"/>
    <s v="REG100215"/>
    <s v="Cust 1591"/>
    <n v="18.23"/>
    <x v="187"/>
    <x v="34"/>
    <d v="2025-01-27T00:00:00"/>
    <s v="Ryan"/>
  </r>
  <r>
    <d v="2023-05-16T00:00:00"/>
    <x v="0"/>
    <x v="5"/>
    <n v="4"/>
    <n v="85.16"/>
    <s v="Store D"/>
    <s v="Wholesale"/>
    <x v="1"/>
    <x v="3"/>
    <x v="216"/>
    <x v="2"/>
    <x v="3"/>
    <x v="0"/>
    <s v="REG100216"/>
    <s v="Cust 3434"/>
    <n v="38.51"/>
    <x v="188"/>
    <x v="13"/>
    <d v="2023-05-23T00:00:00"/>
    <s v="Eric"/>
  </r>
  <r>
    <d v="2023-02-14T00:00:00"/>
    <x v="2"/>
    <x v="5"/>
    <n v="12"/>
    <n v="451.51"/>
    <s v="Store B"/>
    <s v="Wholesale"/>
    <x v="2"/>
    <x v="3"/>
    <x v="217"/>
    <x v="0"/>
    <x v="2"/>
    <x v="0"/>
    <s v="REG100217"/>
    <s v="Cust 1501"/>
    <n v="9.5399999999999991"/>
    <x v="169"/>
    <x v="22"/>
    <d v="2023-02-22T00:00:00"/>
    <s v="Ryan"/>
  </r>
  <r>
    <d v="2024-06-03T00:00:00"/>
    <x v="3"/>
    <x v="5"/>
    <n v="1"/>
    <n v="259.87"/>
    <s v="Store D"/>
    <s v="Retail"/>
    <x v="2"/>
    <x v="0"/>
    <x v="218"/>
    <x v="1"/>
    <x v="0"/>
    <x v="0"/>
    <s v="REG100218"/>
    <s v="Cust 9683"/>
    <n v="19.2"/>
    <x v="189"/>
    <x v="16"/>
    <d v="2024-06-12T00:00:00"/>
    <s v="Cameron"/>
  </r>
  <r>
    <d v="2023-11-08T00:00:00"/>
    <x v="3"/>
    <x v="5"/>
    <n v="20"/>
    <n v="268.25"/>
    <s v="Store D"/>
    <s v="Retail"/>
    <x v="3"/>
    <x v="4"/>
    <x v="219"/>
    <x v="4"/>
    <x v="0"/>
    <x v="0"/>
    <s v="REG100219"/>
    <s v="Cust 5416"/>
    <n v="20.96"/>
    <x v="190"/>
    <x v="47"/>
    <d v="2023-11-15T00:00:00"/>
    <s v="Cameron"/>
  </r>
  <r>
    <d v="2023-01-24T00:00:00"/>
    <x v="4"/>
    <x v="1"/>
    <n v="10"/>
    <n v="266.13"/>
    <s v="Store B"/>
    <s v="Wholesale"/>
    <x v="0"/>
    <x v="4"/>
    <x v="220"/>
    <x v="1"/>
    <x v="2"/>
    <x v="0"/>
    <s v="REG100220"/>
    <s v="Cust 2153"/>
    <n v="21.01"/>
    <x v="191"/>
    <x v="34"/>
    <d v="2023-01-26T00:00:00"/>
    <s v="Wendy"/>
  </r>
  <r>
    <d v="2025-03-20T00:00:00"/>
    <x v="4"/>
    <x v="0"/>
    <n v="18"/>
    <n v="493.06"/>
    <s v="Store D"/>
    <s v="Wholesale"/>
    <x v="3"/>
    <x v="4"/>
    <x v="221"/>
    <x v="4"/>
    <x v="2"/>
    <x v="1"/>
    <s v="REG100221"/>
    <s v="Cust 3572"/>
    <n v="46.87"/>
    <x v="192"/>
    <x v="26"/>
    <d v="2025-03-28T00:00:00"/>
    <s v="Wendy"/>
  </r>
  <r>
    <d v="2024-02-22T00:00:00"/>
    <x v="4"/>
    <x v="4"/>
    <n v="4"/>
    <n v="36.82"/>
    <s v="Store C"/>
    <s v="Wholesale"/>
    <x v="3"/>
    <x v="2"/>
    <x v="222"/>
    <x v="2"/>
    <x v="2"/>
    <x v="1"/>
    <s v="REG100222"/>
    <s v="Cust 6372"/>
    <n v="24.86"/>
    <x v="193"/>
    <x v="0"/>
    <d v="2024-03-01T00:00:00"/>
    <s v="Wendy"/>
  </r>
  <r>
    <d v="2025-04-02T00:00:00"/>
    <x v="2"/>
    <x v="6"/>
    <n v="12"/>
    <n v="413.45"/>
    <s v="Store D"/>
    <s v="Retail"/>
    <x v="2"/>
    <x v="5"/>
    <x v="223"/>
    <x v="4"/>
    <x v="0"/>
    <x v="0"/>
    <s v="REG100223"/>
    <s v="Cust 6109"/>
    <n v="23.25"/>
    <x v="177"/>
    <x v="24"/>
    <d v="2025-04-10T00:00:00"/>
    <s v="Ryan"/>
  </r>
  <r>
    <d v="2025-06-12T00:00:00"/>
    <x v="2"/>
    <x v="3"/>
    <n v="19"/>
    <n v="446.25"/>
    <s v="Store B"/>
    <s v="Retail"/>
    <x v="1"/>
    <x v="0"/>
    <x v="224"/>
    <x v="1"/>
    <x v="3"/>
    <x v="0"/>
    <s v="REG100224"/>
    <s v="Cust 5234"/>
    <n v="14.88"/>
    <x v="103"/>
    <x v="33"/>
    <d v="2025-06-18T00:00:00"/>
    <s v="Ryan"/>
  </r>
  <r>
    <d v="2023-05-13T00:00:00"/>
    <x v="0"/>
    <x v="0"/>
    <n v="7"/>
    <n v="82.77"/>
    <s v="Store D"/>
    <s v="Wholesale"/>
    <x v="2"/>
    <x v="2"/>
    <x v="225"/>
    <x v="3"/>
    <x v="1"/>
    <x v="1"/>
    <s v="REG100225"/>
    <s v="Cust 5530"/>
    <n v="15.66"/>
    <x v="194"/>
    <x v="2"/>
    <d v="2023-05-17T00:00:00"/>
    <s v="Eric"/>
  </r>
  <r>
    <d v="2023-03-25T00:00:00"/>
    <x v="1"/>
    <x v="2"/>
    <n v="17"/>
    <n v="339.88"/>
    <s v="Store A"/>
    <s v="Retail"/>
    <x v="0"/>
    <x v="1"/>
    <x v="226"/>
    <x v="4"/>
    <x v="3"/>
    <x v="0"/>
    <s v="REG100226"/>
    <s v="Cust 5398"/>
    <n v="44.86"/>
    <x v="195"/>
    <x v="26"/>
    <d v="2023-03-28T00:00:00"/>
    <s v="Sophie"/>
  </r>
  <r>
    <d v="2024-11-22T00:00:00"/>
    <x v="1"/>
    <x v="6"/>
    <n v="19"/>
    <n v="364.32"/>
    <s v="Store B"/>
    <s v="Retail"/>
    <x v="2"/>
    <x v="2"/>
    <x v="227"/>
    <x v="3"/>
    <x v="3"/>
    <x v="1"/>
    <s v="REG100227"/>
    <s v="Cust 3247"/>
    <n v="39.76"/>
    <x v="196"/>
    <x v="20"/>
    <d v="2024-11-25T00:00:00"/>
    <s v="Sophie"/>
  </r>
  <r>
    <d v="2023-07-07T00:00:00"/>
    <x v="0"/>
    <x v="5"/>
    <n v="3"/>
    <n v="71.91"/>
    <s v="Store B"/>
    <s v="Wholesale"/>
    <x v="0"/>
    <x v="1"/>
    <x v="228"/>
    <x v="1"/>
    <x v="2"/>
    <x v="1"/>
    <s v="REG100228"/>
    <s v="Cust 7137"/>
    <n v="46.25"/>
    <x v="197"/>
    <x v="49"/>
    <d v="2023-07-17T00:00:00"/>
    <s v="Eric"/>
  </r>
  <r>
    <d v="2024-10-05T00:00:00"/>
    <x v="0"/>
    <x v="5"/>
    <n v="20"/>
    <n v="576.29999999999995"/>
    <s v="Store D"/>
    <s v="Wholesale"/>
    <x v="3"/>
    <x v="0"/>
    <x v="229"/>
    <x v="2"/>
    <x v="3"/>
    <x v="0"/>
    <s v="REG100229"/>
    <s v="Cust 4627"/>
    <n v="25.22"/>
    <x v="198"/>
    <x v="35"/>
    <d v="2024-10-09T00:00:00"/>
    <s v="Eric"/>
  </r>
  <r>
    <d v="2024-03-31T00:00:00"/>
    <x v="4"/>
    <x v="0"/>
    <n v="7"/>
    <n v="120.6"/>
    <s v="Store B"/>
    <s v="Wholesale"/>
    <x v="0"/>
    <x v="4"/>
    <x v="230"/>
    <x v="0"/>
    <x v="2"/>
    <x v="0"/>
    <s v="REG100230"/>
    <s v="Cust 4878"/>
    <n v="43.8"/>
    <x v="199"/>
    <x v="24"/>
    <d v="2024-04-08T00:00:00"/>
    <s v="Wendy"/>
  </r>
  <r>
    <d v="2025-04-01T00:00:00"/>
    <x v="4"/>
    <x v="6"/>
    <n v="8"/>
    <n v="96.19"/>
    <s v="Store A"/>
    <s v="Wholesale"/>
    <x v="3"/>
    <x v="3"/>
    <x v="231"/>
    <x v="3"/>
    <x v="1"/>
    <x v="0"/>
    <s v="REG100231"/>
    <s v="Cust 2779"/>
    <n v="34.07"/>
    <x v="159"/>
    <x v="24"/>
    <d v="2025-04-04T00:00:00"/>
    <s v="Wendy"/>
  </r>
  <r>
    <d v="2023-08-23T00:00:00"/>
    <x v="4"/>
    <x v="6"/>
    <n v="14"/>
    <n v="471.17"/>
    <s v="Store A"/>
    <s v="Wholesale"/>
    <x v="3"/>
    <x v="3"/>
    <x v="232"/>
    <x v="1"/>
    <x v="0"/>
    <x v="0"/>
    <s v="REG100232"/>
    <s v="Cust 8606"/>
    <n v="26.38"/>
    <x v="200"/>
    <x v="48"/>
    <d v="2023-08-26T00:00:00"/>
    <s v="Wendy"/>
  </r>
  <r>
    <d v="2024-08-14T00:00:00"/>
    <x v="1"/>
    <x v="1"/>
    <n v="20"/>
    <n v="14.33"/>
    <s v="Store D"/>
    <s v="Wholesale"/>
    <x v="1"/>
    <x v="3"/>
    <x v="233"/>
    <x v="3"/>
    <x v="3"/>
    <x v="0"/>
    <s v="REG100233"/>
    <s v="Cust 9599"/>
    <n v="6.22"/>
    <x v="201"/>
    <x v="45"/>
    <d v="2024-08-21T00:00:00"/>
    <s v="Sophie"/>
  </r>
  <r>
    <d v="2025-02-14T00:00:00"/>
    <x v="3"/>
    <x v="5"/>
    <n v="18"/>
    <n v="499.61"/>
    <s v="Store B"/>
    <s v="Retail"/>
    <x v="2"/>
    <x v="1"/>
    <x v="234"/>
    <x v="3"/>
    <x v="3"/>
    <x v="0"/>
    <s v="REG100234"/>
    <s v="Cust 4500"/>
    <n v="9.64"/>
    <x v="202"/>
    <x v="22"/>
    <d v="2025-02-19T00:00:00"/>
    <s v="Cameron"/>
  </r>
  <r>
    <d v="2023-11-11T00:00:00"/>
    <x v="4"/>
    <x v="4"/>
    <n v="14"/>
    <n v="16.329999999999998"/>
    <s v="Store B"/>
    <s v="Wholesale"/>
    <x v="1"/>
    <x v="4"/>
    <x v="235"/>
    <x v="3"/>
    <x v="2"/>
    <x v="0"/>
    <s v="REG100235"/>
    <s v="Cust 4173"/>
    <n v="22.72"/>
    <x v="203"/>
    <x v="47"/>
    <d v="2023-11-16T00:00:00"/>
    <s v="Wendy"/>
  </r>
  <r>
    <d v="2024-04-01T00:00:00"/>
    <x v="3"/>
    <x v="2"/>
    <n v="17"/>
    <n v="480.62"/>
    <s v="Store C"/>
    <s v="Wholesale"/>
    <x v="2"/>
    <x v="3"/>
    <x v="236"/>
    <x v="0"/>
    <x v="0"/>
    <x v="0"/>
    <s v="REG100236"/>
    <s v="Cust 7607"/>
    <n v="37.090000000000003"/>
    <x v="204"/>
    <x v="24"/>
    <d v="2024-04-09T00:00:00"/>
    <s v="Cameron"/>
  </r>
  <r>
    <d v="2024-06-13T00:00:00"/>
    <x v="1"/>
    <x v="3"/>
    <n v="5"/>
    <n v="555.84"/>
    <s v="Store C"/>
    <s v="Retail"/>
    <x v="3"/>
    <x v="4"/>
    <x v="237"/>
    <x v="2"/>
    <x v="3"/>
    <x v="0"/>
    <s v="REG100237"/>
    <s v="Cust 4768"/>
    <n v="29.4"/>
    <x v="205"/>
    <x v="33"/>
    <d v="2024-06-20T00:00:00"/>
    <s v="Sophie"/>
  </r>
  <r>
    <d v="2023-11-28T00:00:00"/>
    <x v="2"/>
    <x v="3"/>
    <n v="18"/>
    <n v="174.03"/>
    <s v="Store B"/>
    <s v="Wholesale"/>
    <x v="1"/>
    <x v="2"/>
    <x v="238"/>
    <x v="0"/>
    <x v="1"/>
    <x v="0"/>
    <s v="REG100238"/>
    <s v="Cust 5746"/>
    <n v="32.19"/>
    <x v="206"/>
    <x v="15"/>
    <d v="2023-12-03T00:00:00"/>
    <s v="Ryan"/>
  </r>
  <r>
    <d v="2024-11-11T00:00:00"/>
    <x v="3"/>
    <x v="2"/>
    <n v="11"/>
    <n v="286.05"/>
    <s v="Store A"/>
    <s v="Retail"/>
    <x v="1"/>
    <x v="5"/>
    <x v="239"/>
    <x v="3"/>
    <x v="3"/>
    <x v="1"/>
    <s v="REG100239"/>
    <s v="Cust 3002"/>
    <n v="8.59"/>
    <x v="207"/>
    <x v="38"/>
    <d v="2024-11-16T00:00:00"/>
    <s v="Cameron"/>
  </r>
  <r>
    <d v="2024-11-04T00:00:00"/>
    <x v="2"/>
    <x v="2"/>
    <n v="16"/>
    <n v="40.729999999999997"/>
    <s v="Store D"/>
    <s v="Retail"/>
    <x v="0"/>
    <x v="1"/>
    <x v="240"/>
    <x v="2"/>
    <x v="3"/>
    <x v="0"/>
    <s v="REG100240"/>
    <s v="Cust 3237"/>
    <n v="24.72"/>
    <x v="208"/>
    <x v="47"/>
    <d v="2024-11-08T00:00:00"/>
    <s v="Ryan"/>
  </r>
  <r>
    <d v="2023-01-01T00:00:00"/>
    <x v="3"/>
    <x v="3"/>
    <n v="11"/>
    <n v="468.22"/>
    <s v="Store D"/>
    <s v="Retail"/>
    <x v="0"/>
    <x v="3"/>
    <x v="241"/>
    <x v="3"/>
    <x v="2"/>
    <x v="0"/>
    <s v="REG100241"/>
    <s v="Cust 6437"/>
    <n v="19.920000000000002"/>
    <x v="209"/>
    <x v="31"/>
    <d v="2023-01-11T00:00:00"/>
    <s v="Cameron"/>
  </r>
  <r>
    <d v="2025-01-18T00:00:00"/>
    <x v="2"/>
    <x v="5"/>
    <n v="1"/>
    <n v="411.54"/>
    <s v="Store C"/>
    <s v="Retail"/>
    <x v="1"/>
    <x v="0"/>
    <x v="242"/>
    <x v="1"/>
    <x v="2"/>
    <x v="0"/>
    <s v="REG100242"/>
    <s v="Cust 8806"/>
    <n v="7.46"/>
    <x v="13"/>
    <x v="11"/>
    <d v="2025-01-20T00:00:00"/>
    <s v="Ryan"/>
  </r>
  <r>
    <d v="2023-05-02T00:00:00"/>
    <x v="3"/>
    <x v="6"/>
    <n v="13"/>
    <n v="134.19999999999999"/>
    <s v="Store A"/>
    <s v="Wholesale"/>
    <x v="3"/>
    <x v="0"/>
    <x v="243"/>
    <x v="2"/>
    <x v="2"/>
    <x v="0"/>
    <s v="REG100243"/>
    <s v="Cust 8678"/>
    <n v="9.6"/>
    <x v="210"/>
    <x v="40"/>
    <d v="2023-05-10T00:00:00"/>
    <s v="Cameron"/>
  </r>
  <r>
    <d v="2025-05-27T00:00:00"/>
    <x v="4"/>
    <x v="6"/>
    <n v="10"/>
    <n v="351.23"/>
    <s v="Store B"/>
    <s v="Retail"/>
    <x v="2"/>
    <x v="2"/>
    <x v="244"/>
    <x v="0"/>
    <x v="3"/>
    <x v="0"/>
    <s v="REG100244"/>
    <s v="Cust 9649"/>
    <n v="42.74"/>
    <x v="211"/>
    <x v="14"/>
    <d v="2025-06-02T00:00:00"/>
    <s v="Wendy"/>
  </r>
  <r>
    <d v="2024-12-27T00:00:00"/>
    <x v="1"/>
    <x v="4"/>
    <n v="14"/>
    <n v="551.14"/>
    <s v="Store C"/>
    <s v="Wholesale"/>
    <x v="1"/>
    <x v="4"/>
    <x v="245"/>
    <x v="0"/>
    <x v="0"/>
    <x v="1"/>
    <s v="REG100245"/>
    <s v="Cust 1960"/>
    <n v="12.35"/>
    <x v="212"/>
    <x v="37"/>
    <d v="2025-01-05T00:00:00"/>
    <s v="Sophie"/>
  </r>
  <r>
    <d v="2025-03-18T00:00:00"/>
    <x v="4"/>
    <x v="3"/>
    <n v="2"/>
    <n v="131.13"/>
    <s v="Store B"/>
    <s v="Retail"/>
    <x v="1"/>
    <x v="0"/>
    <x v="246"/>
    <x v="3"/>
    <x v="3"/>
    <x v="0"/>
    <s v="REG100246"/>
    <s v="Cust 3910"/>
    <n v="14.74"/>
    <x v="213"/>
    <x v="26"/>
    <d v="2025-03-24T00:00:00"/>
    <s v="Wendy"/>
  </r>
  <r>
    <d v="2024-03-24T00:00:00"/>
    <x v="0"/>
    <x v="0"/>
    <n v="6"/>
    <n v="595.11"/>
    <s v="Store C"/>
    <s v="Wholesale"/>
    <x v="0"/>
    <x v="4"/>
    <x v="247"/>
    <x v="4"/>
    <x v="1"/>
    <x v="1"/>
    <s v="REG100247"/>
    <s v="Cust 4944"/>
    <n v="28.92"/>
    <x v="214"/>
    <x v="41"/>
    <d v="2024-03-31T00:00:00"/>
    <s v="Eric"/>
  </r>
  <r>
    <d v="2024-12-26T00:00:00"/>
    <x v="0"/>
    <x v="0"/>
    <n v="6"/>
    <n v="516.66"/>
    <s v="Store C"/>
    <s v="Wholesale"/>
    <x v="3"/>
    <x v="5"/>
    <x v="248"/>
    <x v="0"/>
    <x v="3"/>
    <x v="1"/>
    <s v="REG100248"/>
    <s v="Cust 9618"/>
    <n v="5.15"/>
    <x v="215"/>
    <x v="37"/>
    <d v="2025-01-03T00:00:00"/>
    <s v="Eric"/>
  </r>
  <r>
    <d v="2023-01-11T00:00:00"/>
    <x v="2"/>
    <x v="2"/>
    <n v="6"/>
    <n v="202.57"/>
    <s v="Store D"/>
    <s v="Retail"/>
    <x v="3"/>
    <x v="0"/>
    <x v="249"/>
    <x v="1"/>
    <x v="0"/>
    <x v="0"/>
    <s v="REG100249"/>
    <s v="Cust 2279"/>
    <n v="24.39"/>
    <x v="6"/>
    <x v="5"/>
    <d v="2023-01-14T00:00:00"/>
    <s v="Ryan"/>
  </r>
  <r>
    <d v="2025-06-01T00:00:00"/>
    <x v="1"/>
    <x v="0"/>
    <n v="13"/>
    <n v="306.16000000000003"/>
    <s v="Store A"/>
    <s v="Wholesale"/>
    <x v="2"/>
    <x v="2"/>
    <x v="250"/>
    <x v="4"/>
    <x v="1"/>
    <x v="0"/>
    <s v="REG100250"/>
    <s v="Cust 4689"/>
    <n v="25.16"/>
    <x v="216"/>
    <x v="16"/>
    <d v="2025-06-10T00:00:00"/>
    <s v="Sophie"/>
  </r>
  <r>
    <d v="2024-09-26T00:00:00"/>
    <x v="0"/>
    <x v="2"/>
    <n v="11"/>
    <n v="472.74"/>
    <s v="Store D"/>
    <s v="Retail"/>
    <x v="2"/>
    <x v="3"/>
    <x v="251"/>
    <x v="2"/>
    <x v="3"/>
    <x v="1"/>
    <s v="REG100251"/>
    <s v="Cust 7381"/>
    <n v="16.8"/>
    <x v="217"/>
    <x v="39"/>
    <d v="2024-10-01T00:00:00"/>
    <s v="Eric"/>
  </r>
  <r>
    <d v="2024-08-10T00:00:00"/>
    <x v="0"/>
    <x v="1"/>
    <n v="20"/>
    <n v="337.37"/>
    <s v="Store C"/>
    <s v="Retail"/>
    <x v="1"/>
    <x v="4"/>
    <x v="252"/>
    <x v="1"/>
    <x v="3"/>
    <x v="0"/>
    <s v="REG100252"/>
    <s v="Cust 2724"/>
    <n v="43.17"/>
    <x v="218"/>
    <x v="17"/>
    <d v="2024-08-17T00:00:00"/>
    <s v="Eric"/>
  </r>
  <r>
    <d v="2025-03-02T00:00:00"/>
    <x v="1"/>
    <x v="1"/>
    <n v="12"/>
    <n v="34.24"/>
    <s v="Store C"/>
    <s v="Retail"/>
    <x v="1"/>
    <x v="2"/>
    <x v="253"/>
    <x v="4"/>
    <x v="3"/>
    <x v="0"/>
    <s v="REG100253"/>
    <s v="Cust 2823"/>
    <n v="17.64"/>
    <x v="219"/>
    <x v="7"/>
    <d v="2025-03-10T00:00:00"/>
    <s v="Sophie"/>
  </r>
  <r>
    <d v="2023-02-21T00:00:00"/>
    <x v="0"/>
    <x v="5"/>
    <n v="4"/>
    <n v="477.05"/>
    <s v="Store B"/>
    <s v="Wholesale"/>
    <x v="0"/>
    <x v="3"/>
    <x v="254"/>
    <x v="2"/>
    <x v="2"/>
    <x v="0"/>
    <s v="REG100254"/>
    <s v="Cust 9402"/>
    <n v="45.54"/>
    <x v="220"/>
    <x v="0"/>
    <d v="2023-03-02T00:00:00"/>
    <s v="Eric"/>
  </r>
  <r>
    <d v="2024-11-20T00:00:00"/>
    <x v="0"/>
    <x v="0"/>
    <n v="6"/>
    <n v="562.92999999999995"/>
    <s v="Store C"/>
    <s v="Retail"/>
    <x v="0"/>
    <x v="1"/>
    <x v="255"/>
    <x v="2"/>
    <x v="2"/>
    <x v="0"/>
    <s v="REG100255"/>
    <s v="Cust 6561"/>
    <n v="43.73"/>
    <x v="221"/>
    <x v="20"/>
    <d v="2024-11-27T00:00:00"/>
    <s v="Eric"/>
  </r>
  <r>
    <d v="2023-08-26T00:00:00"/>
    <x v="0"/>
    <x v="3"/>
    <n v="20"/>
    <n v="18.29"/>
    <s v="Store B"/>
    <s v="Retail"/>
    <x v="0"/>
    <x v="4"/>
    <x v="256"/>
    <x v="3"/>
    <x v="0"/>
    <x v="1"/>
    <s v="REG100256"/>
    <s v="Cust 3116"/>
    <n v="35.369999999999997"/>
    <x v="222"/>
    <x v="48"/>
    <d v="2023-08-29T00:00:00"/>
    <s v="Eric"/>
  </r>
  <r>
    <d v="2024-01-01T00:00:00"/>
    <x v="1"/>
    <x v="4"/>
    <n v="7"/>
    <n v="208.86"/>
    <s v="Store B"/>
    <s v="Retail"/>
    <x v="0"/>
    <x v="2"/>
    <x v="257"/>
    <x v="4"/>
    <x v="0"/>
    <x v="0"/>
    <s v="REG100257"/>
    <s v="Cust 1015"/>
    <n v="20.64"/>
    <x v="223"/>
    <x v="31"/>
    <d v="2024-01-08T00:00:00"/>
    <s v="Sophie"/>
  </r>
  <r>
    <d v="2024-11-24T00:00:00"/>
    <x v="1"/>
    <x v="6"/>
    <n v="12"/>
    <n v="330.36"/>
    <s v="Store D"/>
    <s v="Retail"/>
    <x v="3"/>
    <x v="4"/>
    <x v="258"/>
    <x v="4"/>
    <x v="2"/>
    <x v="0"/>
    <s v="REG100258"/>
    <s v="Cust 1207"/>
    <n v="48.33"/>
    <x v="224"/>
    <x v="15"/>
    <d v="2024-11-30T00:00:00"/>
    <s v="Sophie"/>
  </r>
  <r>
    <d v="2024-08-25T00:00:00"/>
    <x v="1"/>
    <x v="5"/>
    <n v="7"/>
    <n v="50.26"/>
    <s v="Store C"/>
    <s v="Retail"/>
    <x v="2"/>
    <x v="4"/>
    <x v="259"/>
    <x v="4"/>
    <x v="3"/>
    <x v="0"/>
    <s v="REG100259"/>
    <s v="Cust 2501"/>
    <n v="17.12"/>
    <x v="225"/>
    <x v="44"/>
    <d v="2024-09-01T00:00:00"/>
    <s v="Sophie"/>
  </r>
  <r>
    <d v="2023-06-10T00:00:00"/>
    <x v="1"/>
    <x v="0"/>
    <n v="2"/>
    <n v="374.59"/>
    <s v="Store C"/>
    <s v="Wholesale"/>
    <x v="2"/>
    <x v="3"/>
    <x v="260"/>
    <x v="0"/>
    <x v="1"/>
    <x v="0"/>
    <s v="REG100260"/>
    <s v="Cust 2330"/>
    <n v="34.64"/>
    <x v="226"/>
    <x v="16"/>
    <d v="2023-06-18T00:00:00"/>
    <s v="Sophie"/>
  </r>
  <r>
    <d v="2024-12-18T00:00:00"/>
    <x v="2"/>
    <x v="6"/>
    <n v="7"/>
    <n v="467.6"/>
    <s v="Store A"/>
    <s v="Retail"/>
    <x v="1"/>
    <x v="3"/>
    <x v="261"/>
    <x v="3"/>
    <x v="3"/>
    <x v="0"/>
    <s v="REG100261"/>
    <s v="Cust 7436"/>
    <n v="15.64"/>
    <x v="227"/>
    <x v="1"/>
    <d v="2024-12-26T00:00:00"/>
    <s v="Ryan"/>
  </r>
  <r>
    <d v="2023-08-28T00:00:00"/>
    <x v="0"/>
    <x v="3"/>
    <n v="3"/>
    <n v="376.24"/>
    <s v="Store A"/>
    <s v="Retail"/>
    <x v="3"/>
    <x v="2"/>
    <x v="262"/>
    <x v="3"/>
    <x v="0"/>
    <x v="1"/>
    <s v="REG100262"/>
    <s v="Cust 2762"/>
    <n v="6.15"/>
    <x v="228"/>
    <x v="44"/>
    <d v="2023-09-01T00:00:00"/>
    <s v="Eric"/>
  </r>
  <r>
    <d v="2023-01-22T00:00:00"/>
    <x v="4"/>
    <x v="1"/>
    <n v="13"/>
    <n v="140.49"/>
    <s v="Store A"/>
    <s v="Retail"/>
    <x v="0"/>
    <x v="0"/>
    <x v="263"/>
    <x v="3"/>
    <x v="1"/>
    <x v="0"/>
    <s v="REG100263"/>
    <s v="Cust 3599"/>
    <n v="17.690000000000001"/>
    <x v="229"/>
    <x v="34"/>
    <d v="2023-01-31T00:00:00"/>
    <s v="Wendy"/>
  </r>
  <r>
    <d v="2023-02-07T00:00:00"/>
    <x v="2"/>
    <x v="4"/>
    <n v="3"/>
    <n v="506.33"/>
    <s v="Store B"/>
    <s v="Retail"/>
    <x v="2"/>
    <x v="2"/>
    <x v="264"/>
    <x v="3"/>
    <x v="0"/>
    <x v="0"/>
    <s v="REG100264"/>
    <s v="Cust 4127"/>
    <n v="25.71"/>
    <x v="230"/>
    <x v="29"/>
    <d v="2023-02-14T00:00:00"/>
    <s v="Ryan"/>
  </r>
  <r>
    <d v="2023-11-22T00:00:00"/>
    <x v="1"/>
    <x v="4"/>
    <n v="8"/>
    <n v="138.72999999999999"/>
    <s v="Store A"/>
    <s v="Wholesale"/>
    <x v="3"/>
    <x v="2"/>
    <x v="265"/>
    <x v="0"/>
    <x v="2"/>
    <x v="1"/>
    <s v="REG100265"/>
    <s v="Cust 6855"/>
    <n v="48.51"/>
    <x v="231"/>
    <x v="20"/>
    <d v="2023-11-29T00:00:00"/>
    <s v="Sophie"/>
  </r>
  <r>
    <d v="2023-01-25T00:00:00"/>
    <x v="4"/>
    <x v="2"/>
    <n v="6"/>
    <n v="134.53"/>
    <s v="Store C"/>
    <s v="Retail"/>
    <x v="2"/>
    <x v="3"/>
    <x v="266"/>
    <x v="3"/>
    <x v="0"/>
    <x v="1"/>
    <s v="REG100266"/>
    <s v="Cust 7017"/>
    <n v="33.5"/>
    <x v="232"/>
    <x v="34"/>
    <d v="2023-01-29T00:00:00"/>
    <s v="Wendy"/>
  </r>
  <r>
    <d v="2025-03-05T00:00:00"/>
    <x v="1"/>
    <x v="5"/>
    <n v="18"/>
    <n v="375.96"/>
    <s v="Store D"/>
    <s v="Wholesale"/>
    <x v="3"/>
    <x v="4"/>
    <x v="267"/>
    <x v="3"/>
    <x v="1"/>
    <x v="0"/>
    <s v="REG100267"/>
    <s v="Cust 6957"/>
    <n v="26.78"/>
    <x v="9"/>
    <x v="7"/>
    <d v="2025-03-09T00:00:00"/>
    <s v="Sophie"/>
  </r>
  <r>
    <d v="2023-02-02T00:00:00"/>
    <x v="2"/>
    <x v="6"/>
    <n v="10"/>
    <n v="538.47"/>
    <s v="Store D"/>
    <s v="Retail"/>
    <x v="1"/>
    <x v="5"/>
    <x v="268"/>
    <x v="1"/>
    <x v="2"/>
    <x v="1"/>
    <s v="REG100268"/>
    <s v="Cust 9822"/>
    <n v="17.25"/>
    <x v="233"/>
    <x v="43"/>
    <d v="2023-02-12T00:00:00"/>
    <s v="Ryan"/>
  </r>
  <r>
    <d v="2023-05-24T00:00:00"/>
    <x v="2"/>
    <x v="5"/>
    <n v="15"/>
    <n v="505.44"/>
    <s v="Store A"/>
    <s v="Wholesale"/>
    <x v="1"/>
    <x v="1"/>
    <x v="269"/>
    <x v="0"/>
    <x v="1"/>
    <x v="0"/>
    <s v="REG100269"/>
    <s v="Cust 7425"/>
    <n v="37.5"/>
    <x v="56"/>
    <x v="18"/>
    <d v="2023-06-01T00:00:00"/>
    <s v="Ryan"/>
  </r>
  <r>
    <d v="2024-05-30T00:00:00"/>
    <x v="1"/>
    <x v="6"/>
    <n v="4"/>
    <n v="312.08999999999997"/>
    <s v="Store C"/>
    <s v="Wholesale"/>
    <x v="2"/>
    <x v="4"/>
    <x v="270"/>
    <x v="3"/>
    <x v="1"/>
    <x v="1"/>
    <s v="REG100270"/>
    <s v="Cust 6468"/>
    <n v="17.989999999999998"/>
    <x v="234"/>
    <x v="14"/>
    <d v="2024-06-06T00:00:00"/>
    <s v="Sophie"/>
  </r>
  <r>
    <d v="2024-01-23T00:00:00"/>
    <x v="4"/>
    <x v="2"/>
    <n v="15"/>
    <n v="579.58000000000004"/>
    <s v="Store C"/>
    <s v="Retail"/>
    <x v="2"/>
    <x v="0"/>
    <x v="271"/>
    <x v="2"/>
    <x v="3"/>
    <x v="0"/>
    <s v="REG100271"/>
    <s v="Cust 8897"/>
    <n v="31.22"/>
    <x v="145"/>
    <x v="34"/>
    <d v="2024-01-31T00:00:00"/>
    <s v="Wendy"/>
  </r>
  <r>
    <d v="2023-02-06T00:00:00"/>
    <x v="2"/>
    <x v="3"/>
    <n v="10"/>
    <n v="217.43"/>
    <s v="Store A"/>
    <s v="Retail"/>
    <x v="2"/>
    <x v="5"/>
    <x v="272"/>
    <x v="2"/>
    <x v="0"/>
    <x v="0"/>
    <s v="REG100272"/>
    <s v="Cust 9816"/>
    <n v="33.14"/>
    <x v="235"/>
    <x v="29"/>
    <d v="2023-02-15T00:00:00"/>
    <s v="Ryan"/>
  </r>
  <r>
    <d v="2024-07-15T00:00:00"/>
    <x v="4"/>
    <x v="1"/>
    <n v="15"/>
    <n v="476.15"/>
    <s v="Store B"/>
    <s v="Wholesale"/>
    <x v="3"/>
    <x v="3"/>
    <x v="273"/>
    <x v="0"/>
    <x v="1"/>
    <x v="0"/>
    <s v="REG100273"/>
    <s v="Cust 8227"/>
    <n v="24.48"/>
    <x v="236"/>
    <x v="10"/>
    <d v="2024-07-19T00:00:00"/>
    <s v="Wendy"/>
  </r>
  <r>
    <d v="2025-03-06T00:00:00"/>
    <x v="0"/>
    <x v="3"/>
    <n v="5"/>
    <n v="89.03"/>
    <s v="Store C"/>
    <s v="Wholesale"/>
    <x v="1"/>
    <x v="2"/>
    <x v="274"/>
    <x v="3"/>
    <x v="2"/>
    <x v="0"/>
    <s v="REG100274"/>
    <s v="Cust 4990"/>
    <n v="22.42"/>
    <x v="55"/>
    <x v="7"/>
    <d v="2025-03-16T00:00:00"/>
    <s v="Eric"/>
  </r>
  <r>
    <d v="2023-07-29T00:00:00"/>
    <x v="3"/>
    <x v="1"/>
    <n v="17"/>
    <n v="6.88"/>
    <s v="Store A"/>
    <s v="Retail"/>
    <x v="1"/>
    <x v="2"/>
    <x v="275"/>
    <x v="1"/>
    <x v="3"/>
    <x v="0"/>
    <s v="REG100275"/>
    <s v="Cust 5834"/>
    <n v="42.37"/>
    <x v="237"/>
    <x v="27"/>
    <d v="2023-08-08T00:00:00"/>
    <s v="Cameron"/>
  </r>
  <r>
    <d v="2023-07-26T00:00:00"/>
    <x v="2"/>
    <x v="6"/>
    <n v="6"/>
    <n v="355.26"/>
    <s v="Store D"/>
    <s v="Retail"/>
    <x v="1"/>
    <x v="5"/>
    <x v="276"/>
    <x v="0"/>
    <x v="2"/>
    <x v="0"/>
    <s v="REG100276"/>
    <s v="Cust 7330"/>
    <n v="30.49"/>
    <x v="238"/>
    <x v="27"/>
    <d v="2023-07-29T00:00:00"/>
    <s v="Ryan"/>
  </r>
  <r>
    <d v="2024-04-10T00:00:00"/>
    <x v="4"/>
    <x v="5"/>
    <n v="8"/>
    <n v="294.76"/>
    <s v="Store C"/>
    <s v="Retail"/>
    <x v="1"/>
    <x v="4"/>
    <x v="277"/>
    <x v="0"/>
    <x v="1"/>
    <x v="0"/>
    <s v="REG100277"/>
    <s v="Cust 5273"/>
    <n v="36.04"/>
    <x v="10"/>
    <x v="8"/>
    <d v="2024-04-13T00:00:00"/>
    <s v="Wendy"/>
  </r>
  <r>
    <d v="2025-01-24T00:00:00"/>
    <x v="2"/>
    <x v="2"/>
    <n v="16"/>
    <n v="60.69"/>
    <s v="Store A"/>
    <s v="Wholesale"/>
    <x v="0"/>
    <x v="3"/>
    <x v="278"/>
    <x v="2"/>
    <x v="2"/>
    <x v="0"/>
    <s v="REG100278"/>
    <s v="Cust 6138"/>
    <n v="7.03"/>
    <x v="239"/>
    <x v="34"/>
    <d v="2025-01-27T00:00:00"/>
    <s v="Ryan"/>
  </r>
  <r>
    <d v="2025-04-27T00:00:00"/>
    <x v="4"/>
    <x v="0"/>
    <n v="2"/>
    <n v="559.63"/>
    <s v="Store B"/>
    <s v="Wholesale"/>
    <x v="1"/>
    <x v="4"/>
    <x v="279"/>
    <x v="2"/>
    <x v="2"/>
    <x v="1"/>
    <s v="REG100279"/>
    <s v="Cust 2084"/>
    <n v="42.34"/>
    <x v="240"/>
    <x v="40"/>
    <d v="2025-05-03T00:00:00"/>
    <s v="Wendy"/>
  </r>
  <r>
    <d v="2025-02-20T00:00:00"/>
    <x v="0"/>
    <x v="1"/>
    <n v="4"/>
    <n v="232.66"/>
    <s v="Store B"/>
    <s v="Wholesale"/>
    <x v="1"/>
    <x v="2"/>
    <x v="280"/>
    <x v="0"/>
    <x v="2"/>
    <x v="0"/>
    <s v="REG100280"/>
    <s v="Cust 2799"/>
    <n v="11.88"/>
    <x v="241"/>
    <x v="0"/>
    <d v="2025-02-23T00:00:00"/>
    <s v="Eric"/>
  </r>
  <r>
    <d v="2023-09-14T00:00:00"/>
    <x v="2"/>
    <x v="6"/>
    <n v="10"/>
    <n v="230.87"/>
    <s v="Store A"/>
    <s v="Retail"/>
    <x v="2"/>
    <x v="5"/>
    <x v="281"/>
    <x v="3"/>
    <x v="1"/>
    <x v="0"/>
    <s v="REG100281"/>
    <s v="Cust 5234"/>
    <n v="28.33"/>
    <x v="242"/>
    <x v="30"/>
    <d v="2023-09-19T00:00:00"/>
    <s v="Ryan"/>
  </r>
  <r>
    <d v="2024-04-17T00:00:00"/>
    <x v="4"/>
    <x v="5"/>
    <n v="7"/>
    <n v="353.9"/>
    <s v="Store C"/>
    <s v="Wholesale"/>
    <x v="2"/>
    <x v="1"/>
    <x v="282"/>
    <x v="3"/>
    <x v="1"/>
    <x v="1"/>
    <s v="REG100282"/>
    <s v="Cust 3051"/>
    <n v="15.74"/>
    <x v="243"/>
    <x v="32"/>
    <d v="2024-04-27T00:00:00"/>
    <s v="Wendy"/>
  </r>
  <r>
    <d v="2024-11-14T00:00:00"/>
    <x v="3"/>
    <x v="5"/>
    <n v="12"/>
    <n v="561.07000000000005"/>
    <s v="Store A"/>
    <s v="Retail"/>
    <x v="0"/>
    <x v="1"/>
    <x v="283"/>
    <x v="1"/>
    <x v="3"/>
    <x v="0"/>
    <s v="REG100283"/>
    <s v="Cust 5456"/>
    <n v="35.020000000000003"/>
    <x v="244"/>
    <x v="38"/>
    <d v="2024-11-18T00:00:00"/>
    <s v="Cameron"/>
  </r>
  <r>
    <d v="2024-07-25T00:00:00"/>
    <x v="2"/>
    <x v="3"/>
    <n v="15"/>
    <n v="247.21"/>
    <s v="Store D"/>
    <s v="Wholesale"/>
    <x v="1"/>
    <x v="5"/>
    <x v="284"/>
    <x v="1"/>
    <x v="3"/>
    <x v="0"/>
    <s v="REG100284"/>
    <s v="Cust 6029"/>
    <n v="45.42"/>
    <x v="245"/>
    <x v="27"/>
    <d v="2024-07-27T00:00:00"/>
    <s v="Ryan"/>
  </r>
  <r>
    <d v="2024-08-05T00:00:00"/>
    <x v="0"/>
    <x v="1"/>
    <n v="19"/>
    <n v="271.22000000000003"/>
    <s v="Store A"/>
    <s v="Wholesale"/>
    <x v="1"/>
    <x v="1"/>
    <x v="285"/>
    <x v="2"/>
    <x v="2"/>
    <x v="0"/>
    <s v="REG100285"/>
    <s v="Cust 4002"/>
    <n v="35.33"/>
    <x v="186"/>
    <x v="17"/>
    <d v="2024-08-15T00:00:00"/>
    <s v="Eric"/>
  </r>
  <r>
    <d v="2025-01-23T00:00:00"/>
    <x v="4"/>
    <x v="0"/>
    <n v="6"/>
    <n v="532.54"/>
    <s v="Store A"/>
    <s v="Wholesale"/>
    <x v="0"/>
    <x v="4"/>
    <x v="286"/>
    <x v="3"/>
    <x v="3"/>
    <x v="1"/>
    <s v="REG100286"/>
    <s v="Cust 5830"/>
    <n v="25.09"/>
    <x v="187"/>
    <x v="34"/>
    <d v="2025-02-02T00:00:00"/>
    <s v="Wendy"/>
  </r>
  <r>
    <d v="2025-04-27T00:00:00"/>
    <x v="4"/>
    <x v="6"/>
    <n v="16"/>
    <n v="329.54"/>
    <s v="Store A"/>
    <s v="Wholesale"/>
    <x v="2"/>
    <x v="5"/>
    <x v="287"/>
    <x v="3"/>
    <x v="0"/>
    <x v="1"/>
    <s v="REG100287"/>
    <s v="Cust 8088"/>
    <n v="39.39"/>
    <x v="240"/>
    <x v="40"/>
    <d v="2025-05-03T00:00:00"/>
    <s v="Wendy"/>
  </r>
  <r>
    <d v="2024-09-20T00:00:00"/>
    <x v="1"/>
    <x v="1"/>
    <n v="6"/>
    <n v="170.1"/>
    <s v="Store A"/>
    <s v="Retail"/>
    <x v="0"/>
    <x v="0"/>
    <x v="288"/>
    <x v="1"/>
    <x v="0"/>
    <x v="0"/>
    <s v="REG100288"/>
    <s v="Cust 6455"/>
    <n v="38.61"/>
    <x v="246"/>
    <x v="46"/>
    <d v="2024-09-23T00:00:00"/>
    <s v="Sophie"/>
  </r>
  <r>
    <d v="2023-09-08T00:00:00"/>
    <x v="4"/>
    <x v="0"/>
    <n v="19"/>
    <n v="212.83"/>
    <s v="Store D"/>
    <s v="Wholesale"/>
    <x v="2"/>
    <x v="3"/>
    <x v="289"/>
    <x v="0"/>
    <x v="2"/>
    <x v="0"/>
    <s v="REG100289"/>
    <s v="Cust 4117"/>
    <n v="42.88"/>
    <x v="247"/>
    <x v="25"/>
    <d v="2023-09-15T00:00:00"/>
    <s v="Wendy"/>
  </r>
  <r>
    <d v="2025-04-20T00:00:00"/>
    <x v="1"/>
    <x v="0"/>
    <n v="5"/>
    <n v="578.91999999999996"/>
    <s v="Store A"/>
    <s v="Wholesale"/>
    <x v="0"/>
    <x v="5"/>
    <x v="290"/>
    <x v="2"/>
    <x v="3"/>
    <x v="1"/>
    <s v="REG100290"/>
    <s v="Cust 1385"/>
    <n v="44.09"/>
    <x v="248"/>
    <x v="42"/>
    <d v="2025-04-28T00:00:00"/>
    <s v="Sophie"/>
  </r>
  <r>
    <d v="2024-06-20T00:00:00"/>
    <x v="2"/>
    <x v="1"/>
    <n v="3"/>
    <n v="456.92"/>
    <s v="Store C"/>
    <s v="Retail"/>
    <x v="1"/>
    <x v="2"/>
    <x v="291"/>
    <x v="1"/>
    <x v="0"/>
    <x v="0"/>
    <s v="REG100291"/>
    <s v="Cust 5185"/>
    <n v="17.57"/>
    <x v="249"/>
    <x v="4"/>
    <d v="2024-06-27T00:00:00"/>
    <s v="Ryan"/>
  </r>
  <r>
    <d v="2023-01-11T00:00:00"/>
    <x v="0"/>
    <x v="5"/>
    <n v="12"/>
    <n v="521.53"/>
    <s v="Store D"/>
    <s v="Retail"/>
    <x v="0"/>
    <x v="0"/>
    <x v="292"/>
    <x v="2"/>
    <x v="1"/>
    <x v="1"/>
    <s v="REG100292"/>
    <s v="Cust 8704"/>
    <n v="49.59"/>
    <x v="6"/>
    <x v="5"/>
    <d v="2023-01-20T00:00:00"/>
    <s v="Eric"/>
  </r>
  <r>
    <d v="2023-07-04T00:00:00"/>
    <x v="2"/>
    <x v="2"/>
    <n v="17"/>
    <n v="468.19"/>
    <s v="Store D"/>
    <s v="Retail"/>
    <x v="3"/>
    <x v="4"/>
    <x v="293"/>
    <x v="4"/>
    <x v="3"/>
    <x v="0"/>
    <s v="REG100293"/>
    <s v="Cust 3528"/>
    <n v="13.84"/>
    <x v="250"/>
    <x v="49"/>
    <d v="2023-07-07T00:00:00"/>
    <s v="Ryan"/>
  </r>
  <r>
    <d v="2025-03-08T00:00:00"/>
    <x v="3"/>
    <x v="4"/>
    <n v="9"/>
    <n v="8.81"/>
    <s v="Store D"/>
    <s v="Retail"/>
    <x v="2"/>
    <x v="1"/>
    <x v="294"/>
    <x v="0"/>
    <x v="1"/>
    <x v="0"/>
    <s v="REG100294"/>
    <s v="Cust 3907"/>
    <n v="42.7"/>
    <x v="251"/>
    <x v="7"/>
    <d v="2025-03-18T00:00:00"/>
    <s v="Cameron"/>
  </r>
  <r>
    <d v="2025-02-10T00:00:00"/>
    <x v="1"/>
    <x v="3"/>
    <n v="6"/>
    <n v="521.1"/>
    <s v="Store A"/>
    <s v="Wholesale"/>
    <x v="2"/>
    <x v="2"/>
    <x v="295"/>
    <x v="4"/>
    <x v="3"/>
    <x v="0"/>
    <s v="REG100295"/>
    <s v="Cust 9005"/>
    <n v="31.14"/>
    <x v="252"/>
    <x v="22"/>
    <d v="2025-02-12T00:00:00"/>
    <s v="Sophie"/>
  </r>
  <r>
    <d v="2025-03-17T00:00:00"/>
    <x v="4"/>
    <x v="4"/>
    <n v="10"/>
    <n v="289.91000000000003"/>
    <s v="Store C"/>
    <s v="Retail"/>
    <x v="1"/>
    <x v="4"/>
    <x v="296"/>
    <x v="4"/>
    <x v="1"/>
    <x v="0"/>
    <s v="REG100296"/>
    <s v="Cust 3635"/>
    <n v="32.96"/>
    <x v="253"/>
    <x v="26"/>
    <d v="2025-03-21T00:00:00"/>
    <s v="Wendy"/>
  </r>
  <r>
    <d v="2023-11-09T00:00:00"/>
    <x v="0"/>
    <x v="6"/>
    <n v="3"/>
    <n v="142.27000000000001"/>
    <s v="Store D"/>
    <s v="Retail"/>
    <x v="3"/>
    <x v="5"/>
    <x v="297"/>
    <x v="0"/>
    <x v="1"/>
    <x v="0"/>
    <s v="REG100297"/>
    <s v="Cust 2122"/>
    <n v="32.799999999999997"/>
    <x v="254"/>
    <x v="47"/>
    <d v="2023-11-15T00:00:00"/>
    <s v="Eric"/>
  </r>
  <r>
    <d v="2023-11-30T00:00:00"/>
    <x v="3"/>
    <x v="6"/>
    <n v="15"/>
    <n v="354.09"/>
    <s v="Store B"/>
    <s v="Retail"/>
    <x v="3"/>
    <x v="3"/>
    <x v="298"/>
    <x v="0"/>
    <x v="3"/>
    <x v="1"/>
    <s v="REG100298"/>
    <s v="Cust 4467"/>
    <n v="25.3"/>
    <x v="18"/>
    <x v="15"/>
    <d v="2023-12-08T00:00:00"/>
    <s v="Cameron"/>
  </r>
  <r>
    <d v="2024-08-15T00:00:00"/>
    <x v="1"/>
    <x v="5"/>
    <n v="20"/>
    <n v="358.57"/>
    <s v="Store B"/>
    <s v="Wholesale"/>
    <x v="0"/>
    <x v="1"/>
    <x v="299"/>
    <x v="3"/>
    <x v="0"/>
    <x v="1"/>
    <s v="REG100299"/>
    <s v="Cust 6146"/>
    <n v="21.11"/>
    <x v="255"/>
    <x v="45"/>
    <d v="2024-08-20T00:00:00"/>
    <s v="Sophie"/>
  </r>
  <r>
    <d v="2023-03-21T00:00:00"/>
    <x v="4"/>
    <x v="5"/>
    <n v="16"/>
    <n v="33.18"/>
    <s v="Store C"/>
    <s v="Retail"/>
    <x v="3"/>
    <x v="0"/>
    <x v="300"/>
    <x v="0"/>
    <x v="1"/>
    <x v="0"/>
    <s v="REG100300"/>
    <s v="Cust 4001"/>
    <n v="22.94"/>
    <x v="256"/>
    <x v="26"/>
    <d v="2023-03-26T00:00:00"/>
    <s v="Wendy"/>
  </r>
  <r>
    <d v="2023-10-26T00:00:00"/>
    <x v="4"/>
    <x v="4"/>
    <n v="2"/>
    <n v="124.4"/>
    <s v="Store B"/>
    <s v="Retail"/>
    <x v="0"/>
    <x v="0"/>
    <x v="301"/>
    <x v="0"/>
    <x v="3"/>
    <x v="0"/>
    <s v="REG100301"/>
    <s v="Cust 3365"/>
    <n v="37.049999999999997"/>
    <x v="71"/>
    <x v="19"/>
    <d v="2023-10-31T00:00:00"/>
    <s v="Wendy"/>
  </r>
  <r>
    <d v="2023-11-03T00:00:00"/>
    <x v="4"/>
    <x v="1"/>
    <n v="12"/>
    <n v="17.760000000000002"/>
    <s v="Store D"/>
    <s v="Retail"/>
    <x v="1"/>
    <x v="3"/>
    <x v="302"/>
    <x v="0"/>
    <x v="0"/>
    <x v="0"/>
    <s v="REG100302"/>
    <s v="Cust 2194"/>
    <n v="12.18"/>
    <x v="257"/>
    <x v="50"/>
    <d v="2023-11-11T00:00:00"/>
    <s v="Wendy"/>
  </r>
  <r>
    <d v="2025-01-30T00:00:00"/>
    <x v="2"/>
    <x v="3"/>
    <n v="16"/>
    <n v="345.53"/>
    <s v="Store C"/>
    <s v="Retail"/>
    <x v="2"/>
    <x v="2"/>
    <x v="303"/>
    <x v="1"/>
    <x v="1"/>
    <x v="0"/>
    <s v="REG100303"/>
    <s v="Cust 7942"/>
    <n v="13.43"/>
    <x v="258"/>
    <x v="43"/>
    <d v="2025-02-05T00:00:00"/>
    <s v="Ryan"/>
  </r>
  <r>
    <d v="2024-01-25T00:00:00"/>
    <x v="4"/>
    <x v="0"/>
    <n v="13"/>
    <n v="453.48"/>
    <s v="Store A"/>
    <s v="Wholesale"/>
    <x v="3"/>
    <x v="1"/>
    <x v="304"/>
    <x v="1"/>
    <x v="1"/>
    <x v="0"/>
    <s v="REG100304"/>
    <s v="Cust 8451"/>
    <n v="46.28"/>
    <x v="109"/>
    <x v="34"/>
    <d v="2024-02-03T00:00:00"/>
    <s v="Wendy"/>
  </r>
  <r>
    <d v="2025-03-29T00:00:00"/>
    <x v="1"/>
    <x v="0"/>
    <n v="10"/>
    <n v="277.74"/>
    <s v="Store B"/>
    <s v="Retail"/>
    <x v="2"/>
    <x v="3"/>
    <x v="305"/>
    <x v="1"/>
    <x v="1"/>
    <x v="1"/>
    <s v="REG100305"/>
    <s v="Cust 4238"/>
    <n v="35.020000000000003"/>
    <x v="259"/>
    <x v="41"/>
    <d v="2025-04-02T00:00:00"/>
    <s v="Sophie"/>
  </r>
  <r>
    <d v="2024-11-02T00:00:00"/>
    <x v="3"/>
    <x v="3"/>
    <n v="16"/>
    <n v="89.76"/>
    <s v="Store A"/>
    <s v="Wholesale"/>
    <x v="0"/>
    <x v="1"/>
    <x v="306"/>
    <x v="3"/>
    <x v="2"/>
    <x v="1"/>
    <s v="REG100306"/>
    <s v="Cust 2529"/>
    <n v="44.69"/>
    <x v="260"/>
    <x v="50"/>
    <d v="2024-11-09T00:00:00"/>
    <s v="Cameron"/>
  </r>
  <r>
    <d v="2024-06-30T00:00:00"/>
    <x v="3"/>
    <x v="3"/>
    <n v="11"/>
    <n v="535.37"/>
    <s v="Store D"/>
    <s v="Wholesale"/>
    <x v="0"/>
    <x v="2"/>
    <x v="307"/>
    <x v="4"/>
    <x v="3"/>
    <x v="0"/>
    <s v="REG100307"/>
    <s v="Cust 7057"/>
    <n v="35.96"/>
    <x v="261"/>
    <x v="49"/>
    <d v="2024-07-09T00:00:00"/>
    <s v="Cameron"/>
  </r>
  <r>
    <d v="2023-01-11T00:00:00"/>
    <x v="1"/>
    <x v="5"/>
    <n v="9"/>
    <n v="15.58"/>
    <s v="Store D"/>
    <s v="Retail"/>
    <x v="1"/>
    <x v="2"/>
    <x v="308"/>
    <x v="1"/>
    <x v="0"/>
    <x v="1"/>
    <s v="REG100308"/>
    <s v="Cust 9069"/>
    <n v="27.81"/>
    <x v="6"/>
    <x v="5"/>
    <d v="2023-01-19T00:00:00"/>
    <s v="Sophie"/>
  </r>
  <r>
    <d v="2025-06-05T00:00:00"/>
    <x v="2"/>
    <x v="2"/>
    <n v="13"/>
    <n v="466.54"/>
    <s v="Store C"/>
    <s v="Wholesale"/>
    <x v="0"/>
    <x v="0"/>
    <x v="309"/>
    <x v="4"/>
    <x v="0"/>
    <x v="0"/>
    <s v="REG100309"/>
    <s v="Cust 5858"/>
    <n v="18.63"/>
    <x v="20"/>
    <x v="16"/>
    <d v="2025-06-14T00:00:00"/>
    <s v="Ryan"/>
  </r>
  <r>
    <d v="2024-03-21T00:00:00"/>
    <x v="2"/>
    <x v="4"/>
    <n v="16"/>
    <n v="593"/>
    <s v="Store D"/>
    <s v="Retail"/>
    <x v="1"/>
    <x v="0"/>
    <x v="310"/>
    <x v="1"/>
    <x v="1"/>
    <x v="0"/>
    <s v="REG100310"/>
    <s v="Cust 2712"/>
    <n v="18.77"/>
    <x v="58"/>
    <x v="26"/>
    <d v="2024-03-24T00:00:00"/>
    <s v="Ryan"/>
  </r>
  <r>
    <d v="2023-08-31T00:00:00"/>
    <x v="1"/>
    <x v="2"/>
    <n v="6"/>
    <n v="567.36"/>
    <s v="Store C"/>
    <s v="Wholesale"/>
    <x v="3"/>
    <x v="1"/>
    <x v="311"/>
    <x v="1"/>
    <x v="2"/>
    <x v="0"/>
    <s v="REG100311"/>
    <s v="Cust 7052"/>
    <n v="45.98"/>
    <x v="262"/>
    <x v="44"/>
    <d v="2023-09-08T00:00:00"/>
    <s v="Sophie"/>
  </r>
  <r>
    <d v="2024-10-07T00:00:00"/>
    <x v="1"/>
    <x v="1"/>
    <n v="17"/>
    <n v="523.04"/>
    <s v="Store A"/>
    <s v="Retail"/>
    <x v="3"/>
    <x v="0"/>
    <x v="312"/>
    <x v="3"/>
    <x v="0"/>
    <x v="0"/>
    <s v="REG100312"/>
    <s v="Cust 9397"/>
    <n v="37.380000000000003"/>
    <x v="263"/>
    <x v="51"/>
    <d v="2024-10-17T00:00:00"/>
    <s v="Sophie"/>
  </r>
  <r>
    <d v="2023-04-12T00:00:00"/>
    <x v="2"/>
    <x v="0"/>
    <n v="17"/>
    <n v="376.4"/>
    <s v="Store C"/>
    <s v="Wholesale"/>
    <x v="0"/>
    <x v="1"/>
    <x v="313"/>
    <x v="3"/>
    <x v="0"/>
    <x v="0"/>
    <s v="REG100313"/>
    <s v="Cust 4614"/>
    <n v="33.380000000000003"/>
    <x v="264"/>
    <x v="8"/>
    <d v="2023-04-15T00:00:00"/>
    <s v="Ryan"/>
  </r>
  <r>
    <d v="2023-11-06T00:00:00"/>
    <x v="1"/>
    <x v="6"/>
    <n v="5"/>
    <n v="95.19"/>
    <s v="Store A"/>
    <s v="Retail"/>
    <x v="2"/>
    <x v="2"/>
    <x v="314"/>
    <x v="2"/>
    <x v="2"/>
    <x v="0"/>
    <s v="REG100314"/>
    <s v="Cust 1573"/>
    <n v="48.55"/>
    <x v="265"/>
    <x v="47"/>
    <d v="2023-11-16T00:00:00"/>
    <s v="Sophie"/>
  </r>
  <r>
    <d v="2023-04-28T00:00:00"/>
    <x v="4"/>
    <x v="2"/>
    <n v="2"/>
    <n v="210.71"/>
    <s v="Store D"/>
    <s v="Wholesale"/>
    <x v="2"/>
    <x v="4"/>
    <x v="315"/>
    <x v="2"/>
    <x v="1"/>
    <x v="0"/>
    <s v="REG100315"/>
    <s v="Cust 5660"/>
    <n v="7.78"/>
    <x v="266"/>
    <x v="42"/>
    <d v="2023-05-08T00:00:00"/>
    <s v="Wendy"/>
  </r>
  <r>
    <d v="2023-12-18T00:00:00"/>
    <x v="4"/>
    <x v="6"/>
    <n v="7"/>
    <n v="393.39"/>
    <s v="Store B"/>
    <s v="Retail"/>
    <x v="1"/>
    <x v="1"/>
    <x v="316"/>
    <x v="4"/>
    <x v="1"/>
    <x v="0"/>
    <s v="REG100316"/>
    <s v="Cust 3952"/>
    <n v="34.35"/>
    <x v="267"/>
    <x v="1"/>
    <d v="2023-12-21T00:00:00"/>
    <s v="Wendy"/>
  </r>
  <r>
    <d v="2024-10-10T00:00:00"/>
    <x v="1"/>
    <x v="1"/>
    <n v="13"/>
    <n v="114.03"/>
    <s v="Store A"/>
    <s v="Retail"/>
    <x v="0"/>
    <x v="5"/>
    <x v="317"/>
    <x v="4"/>
    <x v="3"/>
    <x v="0"/>
    <s v="REG100317"/>
    <s v="Cust 5407"/>
    <n v="43.81"/>
    <x v="268"/>
    <x v="51"/>
    <d v="2024-10-16T00:00:00"/>
    <s v="Sophie"/>
  </r>
  <r>
    <d v="2023-02-05T00:00:00"/>
    <x v="2"/>
    <x v="5"/>
    <n v="18"/>
    <n v="336.48"/>
    <s v="Store B"/>
    <s v="Retail"/>
    <x v="0"/>
    <x v="2"/>
    <x v="318"/>
    <x v="0"/>
    <x v="2"/>
    <x v="0"/>
    <s v="REG100318"/>
    <s v="Cust 9595"/>
    <n v="18.59"/>
    <x v="269"/>
    <x v="29"/>
    <d v="2023-02-07T00:00:00"/>
    <s v="Ryan"/>
  </r>
  <r>
    <d v="2024-08-04T00:00:00"/>
    <x v="3"/>
    <x v="4"/>
    <n v="9"/>
    <n v="24.44"/>
    <s v="Store C"/>
    <s v="Wholesale"/>
    <x v="2"/>
    <x v="0"/>
    <x v="319"/>
    <x v="1"/>
    <x v="1"/>
    <x v="1"/>
    <s v="REG100319"/>
    <s v="Cust 3245"/>
    <n v="22.06"/>
    <x v="270"/>
    <x v="17"/>
    <d v="2024-08-14T00:00:00"/>
    <s v="Cameron"/>
  </r>
  <r>
    <d v="2024-10-23T00:00:00"/>
    <x v="3"/>
    <x v="5"/>
    <n v="12"/>
    <n v="352.2"/>
    <s v="Store A"/>
    <s v="Retail"/>
    <x v="3"/>
    <x v="0"/>
    <x v="320"/>
    <x v="2"/>
    <x v="2"/>
    <x v="0"/>
    <s v="REG100320"/>
    <s v="Cust 7180"/>
    <n v="18.39"/>
    <x v="75"/>
    <x v="19"/>
    <d v="2024-11-01T00:00:00"/>
    <s v="Cameron"/>
  </r>
  <r>
    <d v="2024-02-13T00:00:00"/>
    <x v="4"/>
    <x v="4"/>
    <n v="7"/>
    <n v="353.99"/>
    <s v="Store C"/>
    <s v="Wholesale"/>
    <x v="3"/>
    <x v="3"/>
    <x v="321"/>
    <x v="1"/>
    <x v="0"/>
    <x v="0"/>
    <s v="REG100321"/>
    <s v="Cust 5973"/>
    <n v="5.93"/>
    <x v="30"/>
    <x v="22"/>
    <d v="2024-02-20T00:00:00"/>
    <s v="Wendy"/>
  </r>
  <r>
    <d v="2024-06-03T00:00:00"/>
    <x v="1"/>
    <x v="5"/>
    <n v="15"/>
    <n v="10.220000000000001"/>
    <s v="Store C"/>
    <s v="Retail"/>
    <x v="0"/>
    <x v="1"/>
    <x v="322"/>
    <x v="1"/>
    <x v="0"/>
    <x v="0"/>
    <s v="REG100322"/>
    <s v="Cust 4310"/>
    <n v="36.270000000000003"/>
    <x v="189"/>
    <x v="16"/>
    <d v="2024-06-07T00:00:00"/>
    <s v="Sophie"/>
  </r>
  <r>
    <d v="2023-04-14T00:00:00"/>
    <x v="1"/>
    <x v="6"/>
    <n v="17"/>
    <n v="464.16"/>
    <s v="Store A"/>
    <s v="Retail"/>
    <x v="2"/>
    <x v="3"/>
    <x v="323"/>
    <x v="3"/>
    <x v="0"/>
    <x v="1"/>
    <s v="REG100323"/>
    <s v="Cust 6243"/>
    <n v="46.83"/>
    <x v="271"/>
    <x v="8"/>
    <d v="2023-04-18T00:00:00"/>
    <s v="Sophie"/>
  </r>
  <r>
    <d v="2024-10-19T00:00:00"/>
    <x v="3"/>
    <x v="0"/>
    <n v="16"/>
    <n v="436.31"/>
    <s v="Store C"/>
    <s v="Retail"/>
    <x v="3"/>
    <x v="4"/>
    <x v="324"/>
    <x v="0"/>
    <x v="3"/>
    <x v="0"/>
    <s v="REG100324"/>
    <s v="Cust 2448"/>
    <n v="47.61"/>
    <x v="272"/>
    <x v="6"/>
    <d v="2024-10-23T00:00:00"/>
    <s v="Cameron"/>
  </r>
  <r>
    <d v="2023-12-18T00:00:00"/>
    <x v="1"/>
    <x v="0"/>
    <n v="9"/>
    <n v="219.93"/>
    <s v="Store B"/>
    <s v="Wholesale"/>
    <x v="3"/>
    <x v="5"/>
    <x v="325"/>
    <x v="1"/>
    <x v="0"/>
    <x v="0"/>
    <s v="REG100325"/>
    <s v="Cust 9386"/>
    <n v="44.78"/>
    <x v="267"/>
    <x v="1"/>
    <d v="2023-12-22T00:00:00"/>
    <s v="Sophie"/>
  </r>
  <r>
    <d v="2023-08-31T00:00:00"/>
    <x v="2"/>
    <x v="0"/>
    <n v="5"/>
    <n v="311.22000000000003"/>
    <s v="Store A"/>
    <s v="Wholesale"/>
    <x v="2"/>
    <x v="4"/>
    <x v="326"/>
    <x v="4"/>
    <x v="0"/>
    <x v="0"/>
    <s v="REG100326"/>
    <s v="Cust 2227"/>
    <n v="36.979999999999997"/>
    <x v="262"/>
    <x v="44"/>
    <d v="2023-09-06T00:00:00"/>
    <s v="Ryan"/>
  </r>
  <r>
    <d v="2023-09-19T00:00:00"/>
    <x v="1"/>
    <x v="0"/>
    <n v="4"/>
    <n v="547.55999999999995"/>
    <s v="Store D"/>
    <s v="Retail"/>
    <x v="2"/>
    <x v="2"/>
    <x v="327"/>
    <x v="1"/>
    <x v="3"/>
    <x v="0"/>
    <s v="REG100327"/>
    <s v="Cust 3803"/>
    <n v="25.88"/>
    <x v="273"/>
    <x v="46"/>
    <d v="2023-09-26T00:00:00"/>
    <s v="Sophie"/>
  </r>
  <r>
    <d v="2023-02-27T00:00:00"/>
    <x v="3"/>
    <x v="0"/>
    <n v="9"/>
    <n v="52.69"/>
    <s v="Store D"/>
    <s v="Retail"/>
    <x v="2"/>
    <x v="4"/>
    <x v="328"/>
    <x v="0"/>
    <x v="1"/>
    <x v="0"/>
    <s v="REG100328"/>
    <s v="Cust 1236"/>
    <n v="14.59"/>
    <x v="274"/>
    <x v="3"/>
    <d v="2023-03-04T00:00:00"/>
    <s v="Cameron"/>
  </r>
  <r>
    <d v="2024-01-28T00:00:00"/>
    <x v="1"/>
    <x v="5"/>
    <n v="9"/>
    <n v="434.74"/>
    <s v="Store D"/>
    <s v="Wholesale"/>
    <x v="1"/>
    <x v="5"/>
    <x v="329"/>
    <x v="0"/>
    <x v="1"/>
    <x v="0"/>
    <s v="REG100329"/>
    <s v="Cust 2669"/>
    <n v="20.11"/>
    <x v="275"/>
    <x v="43"/>
    <d v="2024-01-31T00:00:00"/>
    <s v="Sophie"/>
  </r>
  <r>
    <d v="2025-05-06T00:00:00"/>
    <x v="1"/>
    <x v="4"/>
    <n v="9"/>
    <n v="124.17"/>
    <s v="Store C"/>
    <s v="Wholesale"/>
    <x v="0"/>
    <x v="0"/>
    <x v="330"/>
    <x v="3"/>
    <x v="2"/>
    <x v="0"/>
    <s v="REG100330"/>
    <s v="Cust 3746"/>
    <n v="13.31"/>
    <x v="276"/>
    <x v="2"/>
    <d v="2025-05-10T00:00:00"/>
    <s v="Sophie"/>
  </r>
  <r>
    <d v="2024-09-13T00:00:00"/>
    <x v="0"/>
    <x v="4"/>
    <n v="2"/>
    <n v="375.48"/>
    <s v="Store D"/>
    <s v="Retail"/>
    <x v="3"/>
    <x v="4"/>
    <x v="331"/>
    <x v="2"/>
    <x v="0"/>
    <x v="0"/>
    <s v="REG100331"/>
    <s v="Cust 9694"/>
    <n v="26.39"/>
    <x v="277"/>
    <x v="30"/>
    <d v="2024-09-15T00:00:00"/>
    <s v="Eric"/>
  </r>
  <r>
    <d v="2023-05-25T00:00:00"/>
    <x v="0"/>
    <x v="6"/>
    <n v="13"/>
    <n v="211.06"/>
    <s v="Store B"/>
    <s v="Retail"/>
    <x v="1"/>
    <x v="5"/>
    <x v="332"/>
    <x v="1"/>
    <x v="3"/>
    <x v="1"/>
    <s v="REG100332"/>
    <s v="Cust 4993"/>
    <n v="19.579999999999998"/>
    <x v="147"/>
    <x v="18"/>
    <d v="2023-05-29T00:00:00"/>
    <s v="Eric"/>
  </r>
  <r>
    <d v="2024-09-26T00:00:00"/>
    <x v="1"/>
    <x v="5"/>
    <n v="7"/>
    <n v="88.87"/>
    <s v="Store C"/>
    <s v="Retail"/>
    <x v="0"/>
    <x v="1"/>
    <x v="333"/>
    <x v="0"/>
    <x v="1"/>
    <x v="0"/>
    <s v="REG100333"/>
    <s v="Cust 1271"/>
    <n v="8.36"/>
    <x v="217"/>
    <x v="39"/>
    <d v="2024-10-01T00:00:00"/>
    <s v="Sophie"/>
  </r>
  <r>
    <d v="2023-02-13T00:00:00"/>
    <x v="1"/>
    <x v="1"/>
    <n v="5"/>
    <n v="254.24"/>
    <s v="Store B"/>
    <s v="Wholesale"/>
    <x v="3"/>
    <x v="5"/>
    <x v="334"/>
    <x v="0"/>
    <x v="3"/>
    <x v="0"/>
    <s v="REG100334"/>
    <s v="Cust 3042"/>
    <n v="9.9700000000000006"/>
    <x v="278"/>
    <x v="22"/>
    <d v="2023-02-18T00:00:00"/>
    <s v="Sophie"/>
  </r>
  <r>
    <d v="2024-06-20T00:00:00"/>
    <x v="3"/>
    <x v="3"/>
    <n v="5"/>
    <n v="432.35"/>
    <s v="Store C"/>
    <s v="Wholesale"/>
    <x v="1"/>
    <x v="5"/>
    <x v="335"/>
    <x v="1"/>
    <x v="3"/>
    <x v="1"/>
    <s v="REG100335"/>
    <s v="Cust 6424"/>
    <n v="41.48"/>
    <x v="249"/>
    <x v="4"/>
    <d v="2024-06-27T00:00:00"/>
    <s v="Cameron"/>
  </r>
  <r>
    <d v="2024-03-22T00:00:00"/>
    <x v="4"/>
    <x v="0"/>
    <n v="19"/>
    <n v="590"/>
    <s v="Store D"/>
    <s v="Retail"/>
    <x v="3"/>
    <x v="1"/>
    <x v="336"/>
    <x v="0"/>
    <x v="0"/>
    <x v="0"/>
    <s v="REG100336"/>
    <s v="Cust 1422"/>
    <n v="5.91"/>
    <x v="124"/>
    <x v="26"/>
    <d v="2024-03-25T00:00:00"/>
    <s v="Wendy"/>
  </r>
  <r>
    <d v="2024-02-08T00:00:00"/>
    <x v="4"/>
    <x v="4"/>
    <n v="11"/>
    <n v="151.25"/>
    <s v="Store B"/>
    <s v="Wholesale"/>
    <x v="1"/>
    <x v="2"/>
    <x v="337"/>
    <x v="2"/>
    <x v="3"/>
    <x v="1"/>
    <s v="REG100337"/>
    <s v="Cust 5857"/>
    <n v="22.65"/>
    <x v="279"/>
    <x v="29"/>
    <d v="2024-02-11T00:00:00"/>
    <s v="Wendy"/>
  </r>
  <r>
    <d v="2024-06-01T00:00:00"/>
    <x v="0"/>
    <x v="2"/>
    <n v="3"/>
    <n v="204.79"/>
    <s v="Store B"/>
    <s v="Retail"/>
    <x v="1"/>
    <x v="2"/>
    <x v="338"/>
    <x v="0"/>
    <x v="0"/>
    <x v="1"/>
    <s v="REG100338"/>
    <s v="Cust 6953"/>
    <n v="7.72"/>
    <x v="280"/>
    <x v="14"/>
    <d v="2024-06-04T00:00:00"/>
    <s v="Eric"/>
  </r>
  <r>
    <d v="2024-05-26T00:00:00"/>
    <x v="2"/>
    <x v="0"/>
    <n v="16"/>
    <n v="586.52"/>
    <s v="Store C"/>
    <s v="Wholesale"/>
    <x v="0"/>
    <x v="4"/>
    <x v="339"/>
    <x v="2"/>
    <x v="2"/>
    <x v="1"/>
    <s v="REG100339"/>
    <s v="Cust 2916"/>
    <n v="17.059999999999999"/>
    <x v="96"/>
    <x v="14"/>
    <d v="2024-06-01T00:00:00"/>
    <s v="Ryan"/>
  </r>
  <r>
    <d v="2024-06-25T00:00:00"/>
    <x v="0"/>
    <x v="6"/>
    <n v="16"/>
    <n v="104.83"/>
    <s v="Store A"/>
    <s v="Wholesale"/>
    <x v="0"/>
    <x v="3"/>
    <x v="340"/>
    <x v="1"/>
    <x v="0"/>
    <x v="0"/>
    <s v="REG100340"/>
    <s v="Cust 6855"/>
    <n v="33.99"/>
    <x v="281"/>
    <x v="28"/>
    <d v="2024-06-30T00:00:00"/>
    <s v="Eric"/>
  </r>
  <r>
    <d v="2024-01-29T00:00:00"/>
    <x v="3"/>
    <x v="6"/>
    <n v="16"/>
    <n v="598.48"/>
    <s v="Store A"/>
    <s v="Retail"/>
    <x v="1"/>
    <x v="2"/>
    <x v="341"/>
    <x v="4"/>
    <x v="3"/>
    <x v="0"/>
    <s v="REG100341"/>
    <s v="Cust 8464"/>
    <n v="47.86"/>
    <x v="282"/>
    <x v="43"/>
    <d v="2024-02-07T00:00:00"/>
    <s v="Cameron"/>
  </r>
  <r>
    <d v="2024-12-07T00:00:00"/>
    <x v="1"/>
    <x v="3"/>
    <n v="8"/>
    <n v="367.89"/>
    <s v="Store B"/>
    <s v="Retail"/>
    <x v="3"/>
    <x v="1"/>
    <x v="342"/>
    <x v="4"/>
    <x v="0"/>
    <x v="0"/>
    <s v="REG100342"/>
    <s v="Cust 9700"/>
    <n v="18.100000000000001"/>
    <x v="29"/>
    <x v="21"/>
    <d v="2024-12-09T00:00:00"/>
    <s v="Sophie"/>
  </r>
  <r>
    <d v="2023-11-21T00:00:00"/>
    <x v="4"/>
    <x v="3"/>
    <n v="10"/>
    <n v="333.35"/>
    <s v="Store A"/>
    <s v="Retail"/>
    <x v="2"/>
    <x v="1"/>
    <x v="343"/>
    <x v="3"/>
    <x v="0"/>
    <x v="0"/>
    <s v="REG100343"/>
    <s v="Cust 7765"/>
    <n v="39.35"/>
    <x v="283"/>
    <x v="20"/>
    <d v="2023-11-26T00:00:00"/>
    <s v="Wendy"/>
  </r>
  <r>
    <d v="2024-12-16T00:00:00"/>
    <x v="2"/>
    <x v="3"/>
    <n v="8"/>
    <n v="378.88"/>
    <s v="Store A"/>
    <s v="Wholesale"/>
    <x v="1"/>
    <x v="2"/>
    <x v="344"/>
    <x v="3"/>
    <x v="2"/>
    <x v="1"/>
    <s v="REG100344"/>
    <s v="Cust 8246"/>
    <n v="5.22"/>
    <x v="284"/>
    <x v="1"/>
    <d v="2024-12-24T00:00:00"/>
    <s v="Ryan"/>
  </r>
  <r>
    <d v="2023-08-05T00:00:00"/>
    <x v="3"/>
    <x v="4"/>
    <n v="12"/>
    <n v="169.2"/>
    <s v="Store C"/>
    <s v="Retail"/>
    <x v="3"/>
    <x v="4"/>
    <x v="345"/>
    <x v="1"/>
    <x v="1"/>
    <x v="0"/>
    <s v="REG100345"/>
    <s v="Cust 6500"/>
    <n v="28.65"/>
    <x v="285"/>
    <x v="36"/>
    <d v="2023-08-15T00:00:00"/>
    <s v="Cameron"/>
  </r>
  <r>
    <d v="2023-08-30T00:00:00"/>
    <x v="3"/>
    <x v="3"/>
    <n v="7"/>
    <n v="103.03"/>
    <s v="Store D"/>
    <s v="Retail"/>
    <x v="1"/>
    <x v="5"/>
    <x v="346"/>
    <x v="0"/>
    <x v="0"/>
    <x v="1"/>
    <s v="REG100346"/>
    <s v="Cust 1150"/>
    <n v="5.29"/>
    <x v="286"/>
    <x v="44"/>
    <d v="2023-09-06T00:00:00"/>
    <s v="Cameron"/>
  </r>
  <r>
    <d v="2025-03-25T00:00:00"/>
    <x v="0"/>
    <x v="6"/>
    <n v="3"/>
    <n v="378.74"/>
    <s v="Store D"/>
    <s v="Wholesale"/>
    <x v="2"/>
    <x v="2"/>
    <x v="347"/>
    <x v="0"/>
    <x v="1"/>
    <x v="0"/>
    <s v="REG100347"/>
    <s v="Cust 7449"/>
    <n v="8.2200000000000006"/>
    <x v="287"/>
    <x v="41"/>
    <d v="2025-03-27T00:00:00"/>
    <s v="Eric"/>
  </r>
  <r>
    <d v="2024-12-13T00:00:00"/>
    <x v="2"/>
    <x v="1"/>
    <n v="15"/>
    <n v="27.21"/>
    <s v="Store C"/>
    <s v="Wholesale"/>
    <x v="0"/>
    <x v="1"/>
    <x v="348"/>
    <x v="0"/>
    <x v="2"/>
    <x v="0"/>
    <s v="REG100348"/>
    <s v="Cust 1957"/>
    <n v="43.69"/>
    <x v="167"/>
    <x v="12"/>
    <d v="2024-12-22T00:00:00"/>
    <s v="Ryan"/>
  </r>
  <r>
    <d v="2023-09-07T00:00:00"/>
    <x v="3"/>
    <x v="1"/>
    <n v="14"/>
    <n v="52.09"/>
    <s v="Store A"/>
    <s v="Retail"/>
    <x v="0"/>
    <x v="5"/>
    <x v="349"/>
    <x v="1"/>
    <x v="3"/>
    <x v="1"/>
    <s v="REG100349"/>
    <s v="Cust 3467"/>
    <n v="48.02"/>
    <x v="288"/>
    <x v="25"/>
    <d v="2023-09-14T00:00:00"/>
    <s v="Cameron"/>
  </r>
  <r>
    <d v="2023-12-12T00:00:00"/>
    <x v="2"/>
    <x v="4"/>
    <n v="7"/>
    <n v="570.01"/>
    <s v="Store C"/>
    <s v="Wholesale"/>
    <x v="0"/>
    <x v="3"/>
    <x v="350"/>
    <x v="2"/>
    <x v="2"/>
    <x v="0"/>
    <s v="REG100350"/>
    <s v="Cust 5212"/>
    <n v="42.33"/>
    <x v="289"/>
    <x v="12"/>
    <d v="2023-12-21T00:00:00"/>
    <s v="Ryan"/>
  </r>
  <r>
    <d v="2024-04-25T00:00:00"/>
    <x v="0"/>
    <x v="4"/>
    <n v="19"/>
    <n v="526.23"/>
    <s v="Store B"/>
    <s v="Retail"/>
    <x v="0"/>
    <x v="5"/>
    <x v="351"/>
    <x v="2"/>
    <x v="2"/>
    <x v="0"/>
    <s v="REG100351"/>
    <s v="Cust 3509"/>
    <n v="32.770000000000003"/>
    <x v="290"/>
    <x v="42"/>
    <d v="2024-05-05T00:00:00"/>
    <s v="Eric"/>
  </r>
  <r>
    <d v="2025-05-04T00:00:00"/>
    <x v="2"/>
    <x v="0"/>
    <n v="8"/>
    <n v="294.51"/>
    <s v="Store A"/>
    <s v="Wholesale"/>
    <x v="2"/>
    <x v="4"/>
    <x v="352"/>
    <x v="1"/>
    <x v="3"/>
    <x v="0"/>
    <s v="REG100352"/>
    <s v="Cust 5316"/>
    <n v="10.46"/>
    <x v="291"/>
    <x v="2"/>
    <d v="2025-05-07T00:00:00"/>
    <s v="Ryan"/>
  </r>
  <r>
    <d v="2023-09-16T00:00:00"/>
    <x v="1"/>
    <x v="4"/>
    <n v="18"/>
    <n v="448.27"/>
    <s v="Store C"/>
    <s v="Wholesale"/>
    <x v="3"/>
    <x v="4"/>
    <x v="353"/>
    <x v="2"/>
    <x v="1"/>
    <x v="0"/>
    <s v="REG100353"/>
    <s v="Cust 9919"/>
    <n v="47.56"/>
    <x v="292"/>
    <x v="30"/>
    <d v="2023-09-20T00:00:00"/>
    <s v="Sophie"/>
  </r>
  <r>
    <d v="2024-10-23T00:00:00"/>
    <x v="4"/>
    <x v="2"/>
    <n v="17"/>
    <n v="583.88"/>
    <s v="Store D"/>
    <s v="Retail"/>
    <x v="1"/>
    <x v="1"/>
    <x v="354"/>
    <x v="2"/>
    <x v="2"/>
    <x v="0"/>
    <s v="REG100354"/>
    <s v="Cust 7129"/>
    <n v="37.53"/>
    <x v="75"/>
    <x v="19"/>
    <d v="2024-10-26T00:00:00"/>
    <s v="Wendy"/>
  </r>
  <r>
    <d v="2023-05-03T00:00:00"/>
    <x v="2"/>
    <x v="2"/>
    <n v="2"/>
    <n v="97.5"/>
    <s v="Store D"/>
    <s v="Retail"/>
    <x v="1"/>
    <x v="1"/>
    <x v="355"/>
    <x v="4"/>
    <x v="3"/>
    <x v="1"/>
    <s v="REG100355"/>
    <s v="Cust 9841"/>
    <n v="46.37"/>
    <x v="293"/>
    <x v="40"/>
    <d v="2023-05-06T00:00:00"/>
    <s v="Ryan"/>
  </r>
  <r>
    <d v="2025-03-18T00:00:00"/>
    <x v="2"/>
    <x v="6"/>
    <n v="16"/>
    <n v="420.79"/>
    <s v="Store B"/>
    <s v="Wholesale"/>
    <x v="2"/>
    <x v="3"/>
    <x v="356"/>
    <x v="4"/>
    <x v="0"/>
    <x v="1"/>
    <s v="REG100356"/>
    <s v="Cust 6362"/>
    <n v="22.13"/>
    <x v="213"/>
    <x v="26"/>
    <d v="2025-03-25T00:00:00"/>
    <s v="Ryan"/>
  </r>
  <r>
    <d v="2023-08-25T00:00:00"/>
    <x v="4"/>
    <x v="3"/>
    <n v="13"/>
    <n v="513.17999999999995"/>
    <s v="Store B"/>
    <s v="Retail"/>
    <x v="0"/>
    <x v="0"/>
    <x v="357"/>
    <x v="2"/>
    <x v="0"/>
    <x v="0"/>
    <s v="REG100357"/>
    <s v="Cust 4142"/>
    <n v="10.57"/>
    <x v="294"/>
    <x v="48"/>
    <d v="2023-08-27T00:00:00"/>
    <s v="Wendy"/>
  </r>
  <r>
    <d v="2023-07-13T00:00:00"/>
    <x v="2"/>
    <x v="4"/>
    <n v="19"/>
    <n v="475.64"/>
    <s v="Store C"/>
    <s v="Retail"/>
    <x v="1"/>
    <x v="2"/>
    <x v="358"/>
    <x v="4"/>
    <x v="2"/>
    <x v="1"/>
    <s v="REG100358"/>
    <s v="Cust 9584"/>
    <n v="11.17"/>
    <x v="295"/>
    <x v="9"/>
    <d v="2023-07-17T00:00:00"/>
    <s v="Ryan"/>
  </r>
  <r>
    <d v="2025-02-25T00:00:00"/>
    <x v="2"/>
    <x v="5"/>
    <n v="13"/>
    <n v="238.34"/>
    <s v="Store C"/>
    <s v="Retail"/>
    <x v="1"/>
    <x v="3"/>
    <x v="359"/>
    <x v="2"/>
    <x v="1"/>
    <x v="1"/>
    <s v="REG100359"/>
    <s v="Cust 2553"/>
    <n v="7.9"/>
    <x v="296"/>
    <x v="3"/>
    <d v="2025-03-06T00:00:00"/>
    <s v="Ryan"/>
  </r>
  <r>
    <d v="2025-04-14T00:00:00"/>
    <x v="3"/>
    <x v="0"/>
    <n v="14"/>
    <n v="285.02999999999997"/>
    <s v="Store B"/>
    <s v="Wholesale"/>
    <x v="1"/>
    <x v="0"/>
    <x v="360"/>
    <x v="2"/>
    <x v="1"/>
    <x v="0"/>
    <s v="REG100360"/>
    <s v="Cust 1347"/>
    <n v="41.5"/>
    <x v="297"/>
    <x v="32"/>
    <d v="2025-04-17T00:00:00"/>
    <s v="Cameron"/>
  </r>
  <r>
    <d v="2025-06-15T00:00:00"/>
    <x v="3"/>
    <x v="2"/>
    <n v="5"/>
    <n v="5.52"/>
    <s v="Store C"/>
    <s v="Retail"/>
    <x v="3"/>
    <x v="1"/>
    <x v="361"/>
    <x v="2"/>
    <x v="0"/>
    <x v="0"/>
    <s v="REG100361"/>
    <s v="Cust 8305"/>
    <n v="10.58"/>
    <x v="298"/>
    <x v="4"/>
    <d v="2025-06-18T00:00:00"/>
    <s v="Cameron"/>
  </r>
  <r>
    <d v="2024-10-22T00:00:00"/>
    <x v="2"/>
    <x v="4"/>
    <n v="18"/>
    <n v="396.25"/>
    <s v="Store D"/>
    <s v="Retail"/>
    <x v="1"/>
    <x v="2"/>
    <x v="362"/>
    <x v="2"/>
    <x v="0"/>
    <x v="0"/>
    <s v="REG100362"/>
    <s v="Cust 7015"/>
    <n v="20.39"/>
    <x v="299"/>
    <x v="19"/>
    <d v="2024-10-27T00:00:00"/>
    <s v="Ryan"/>
  </r>
  <r>
    <d v="2023-06-20T00:00:00"/>
    <x v="1"/>
    <x v="0"/>
    <n v="9"/>
    <n v="282.8"/>
    <s v="Store D"/>
    <s v="Wholesale"/>
    <x v="3"/>
    <x v="0"/>
    <x v="363"/>
    <x v="0"/>
    <x v="3"/>
    <x v="0"/>
    <s v="REG100363"/>
    <s v="Cust 4394"/>
    <n v="49.79"/>
    <x v="300"/>
    <x v="4"/>
    <d v="2023-06-25T00:00:00"/>
    <s v="Sophie"/>
  </r>
  <r>
    <d v="2025-03-05T00:00:00"/>
    <x v="1"/>
    <x v="1"/>
    <n v="6"/>
    <n v="525.42999999999995"/>
    <s v="Store C"/>
    <s v="Wholesale"/>
    <x v="3"/>
    <x v="1"/>
    <x v="364"/>
    <x v="2"/>
    <x v="3"/>
    <x v="0"/>
    <s v="REG100364"/>
    <s v="Cust 3323"/>
    <n v="39.28"/>
    <x v="9"/>
    <x v="7"/>
    <d v="2025-03-11T00:00:00"/>
    <s v="Sophie"/>
  </r>
  <r>
    <d v="2023-10-28T00:00:00"/>
    <x v="4"/>
    <x v="5"/>
    <n v="15"/>
    <n v="127.67"/>
    <s v="Store D"/>
    <s v="Retail"/>
    <x v="1"/>
    <x v="1"/>
    <x v="365"/>
    <x v="3"/>
    <x v="3"/>
    <x v="0"/>
    <s v="REG100365"/>
    <s v="Cust 4029"/>
    <n v="48.77"/>
    <x v="301"/>
    <x v="19"/>
    <d v="2023-10-30T00:00:00"/>
    <s v="Wendy"/>
  </r>
  <r>
    <d v="2025-03-19T00:00:00"/>
    <x v="3"/>
    <x v="0"/>
    <n v="17"/>
    <n v="511.8"/>
    <s v="Store B"/>
    <s v="Retail"/>
    <x v="3"/>
    <x v="3"/>
    <x v="366"/>
    <x v="2"/>
    <x v="2"/>
    <x v="1"/>
    <s v="REG100366"/>
    <s v="Cust 1400"/>
    <n v="13.33"/>
    <x v="302"/>
    <x v="26"/>
    <d v="2025-03-26T00:00:00"/>
    <s v="Cameron"/>
  </r>
  <r>
    <d v="2023-08-06T00:00:00"/>
    <x v="4"/>
    <x v="5"/>
    <n v="4"/>
    <n v="555.86"/>
    <s v="Store C"/>
    <s v="Retail"/>
    <x v="3"/>
    <x v="5"/>
    <x v="367"/>
    <x v="4"/>
    <x v="0"/>
    <x v="0"/>
    <s v="REG100367"/>
    <s v="Cust 6361"/>
    <n v="28.92"/>
    <x v="23"/>
    <x v="17"/>
    <d v="2023-08-08T00:00:00"/>
    <s v="Wendy"/>
  </r>
  <r>
    <d v="2024-09-11T00:00:00"/>
    <x v="3"/>
    <x v="4"/>
    <n v="15"/>
    <n v="202.72"/>
    <s v="Store D"/>
    <s v="Retail"/>
    <x v="3"/>
    <x v="0"/>
    <x v="368"/>
    <x v="3"/>
    <x v="2"/>
    <x v="1"/>
    <s v="REG100368"/>
    <s v="Cust 5267"/>
    <n v="41.61"/>
    <x v="303"/>
    <x v="30"/>
    <d v="2024-09-19T00:00:00"/>
    <s v="Cameron"/>
  </r>
  <r>
    <d v="2025-01-08T00:00:00"/>
    <x v="3"/>
    <x v="3"/>
    <n v="4"/>
    <n v="353.7"/>
    <s v="Store A"/>
    <s v="Wholesale"/>
    <x v="0"/>
    <x v="2"/>
    <x v="369"/>
    <x v="2"/>
    <x v="0"/>
    <x v="0"/>
    <s v="REG100369"/>
    <s v="Cust 9354"/>
    <n v="41.98"/>
    <x v="304"/>
    <x v="5"/>
    <d v="2025-01-12T00:00:00"/>
    <s v="Cameron"/>
  </r>
  <r>
    <d v="2024-08-12T00:00:00"/>
    <x v="3"/>
    <x v="3"/>
    <n v="3"/>
    <n v="149.25"/>
    <s v="Store D"/>
    <s v="Wholesale"/>
    <x v="0"/>
    <x v="3"/>
    <x v="370"/>
    <x v="3"/>
    <x v="3"/>
    <x v="1"/>
    <s v="REG100370"/>
    <s v="Cust 9443"/>
    <n v="13.17"/>
    <x v="305"/>
    <x v="45"/>
    <d v="2024-08-14T00:00:00"/>
    <s v="Cameron"/>
  </r>
  <r>
    <d v="2023-03-30T00:00:00"/>
    <x v="2"/>
    <x v="4"/>
    <n v="19"/>
    <n v="156.44"/>
    <s v="Store C"/>
    <s v="Wholesale"/>
    <x v="1"/>
    <x v="1"/>
    <x v="371"/>
    <x v="0"/>
    <x v="2"/>
    <x v="0"/>
    <s v="REG100371"/>
    <s v="Cust 2252"/>
    <n v="19.440000000000001"/>
    <x v="306"/>
    <x v="41"/>
    <d v="2023-04-04T00:00:00"/>
    <s v="Ryan"/>
  </r>
  <r>
    <d v="2023-02-01T00:00:00"/>
    <x v="3"/>
    <x v="1"/>
    <n v="7"/>
    <n v="241.76"/>
    <s v="Store D"/>
    <s v="Wholesale"/>
    <x v="0"/>
    <x v="3"/>
    <x v="372"/>
    <x v="0"/>
    <x v="1"/>
    <x v="0"/>
    <s v="REG100372"/>
    <s v="Cust 1031"/>
    <n v="48.13"/>
    <x v="307"/>
    <x v="43"/>
    <d v="2023-02-09T00:00:00"/>
    <s v="Cameron"/>
  </r>
  <r>
    <d v="2025-04-18T00:00:00"/>
    <x v="2"/>
    <x v="0"/>
    <n v="20"/>
    <n v="170.49"/>
    <s v="Store A"/>
    <s v="Wholesale"/>
    <x v="0"/>
    <x v="4"/>
    <x v="373"/>
    <x v="0"/>
    <x v="0"/>
    <x v="0"/>
    <s v="REG100373"/>
    <s v="Cust 6086"/>
    <n v="19.739999999999998"/>
    <x v="308"/>
    <x v="32"/>
    <d v="2025-04-27T00:00:00"/>
    <s v="Ryan"/>
  </r>
  <r>
    <d v="2025-03-29T00:00:00"/>
    <x v="3"/>
    <x v="4"/>
    <n v="11"/>
    <n v="149.66999999999999"/>
    <s v="Store C"/>
    <s v="Retail"/>
    <x v="1"/>
    <x v="0"/>
    <x v="374"/>
    <x v="2"/>
    <x v="3"/>
    <x v="0"/>
    <s v="REG100374"/>
    <s v="Cust 1672"/>
    <n v="34.130000000000003"/>
    <x v="259"/>
    <x v="41"/>
    <d v="2025-04-02T00:00:00"/>
    <s v="Cameron"/>
  </r>
  <r>
    <d v="2024-04-25T00:00:00"/>
    <x v="0"/>
    <x v="5"/>
    <n v="1"/>
    <n v="173.56"/>
    <s v="Store D"/>
    <s v="Retail"/>
    <x v="1"/>
    <x v="0"/>
    <x v="375"/>
    <x v="3"/>
    <x v="0"/>
    <x v="0"/>
    <s v="REG100375"/>
    <s v="Cust 9313"/>
    <n v="39.1"/>
    <x v="290"/>
    <x v="42"/>
    <d v="2024-04-28T00:00:00"/>
    <s v="Eric"/>
  </r>
  <r>
    <d v="2024-09-22T00:00:00"/>
    <x v="1"/>
    <x v="4"/>
    <n v="7"/>
    <n v="349.55"/>
    <s v="Store A"/>
    <s v="Retail"/>
    <x v="3"/>
    <x v="3"/>
    <x v="376"/>
    <x v="2"/>
    <x v="0"/>
    <x v="0"/>
    <s v="REG100376"/>
    <s v="Cust 4405"/>
    <n v="23.7"/>
    <x v="309"/>
    <x v="39"/>
    <d v="2024-09-27T00:00:00"/>
    <s v="Sophie"/>
  </r>
  <r>
    <d v="2023-08-05T00:00:00"/>
    <x v="3"/>
    <x v="5"/>
    <n v="9"/>
    <n v="245.14"/>
    <s v="Store B"/>
    <s v="Wholesale"/>
    <x v="0"/>
    <x v="1"/>
    <x v="377"/>
    <x v="0"/>
    <x v="1"/>
    <x v="1"/>
    <s v="REG100377"/>
    <s v="Cust 6453"/>
    <n v="44.6"/>
    <x v="285"/>
    <x v="36"/>
    <d v="2023-08-14T00:00:00"/>
    <s v="Cameron"/>
  </r>
  <r>
    <d v="2024-06-07T00:00:00"/>
    <x v="1"/>
    <x v="2"/>
    <n v="1"/>
    <n v="423.08"/>
    <s v="Store B"/>
    <s v="Wholesale"/>
    <x v="3"/>
    <x v="5"/>
    <x v="378"/>
    <x v="1"/>
    <x v="2"/>
    <x v="0"/>
    <s v="REG100378"/>
    <s v="Cust 4772"/>
    <n v="31.75"/>
    <x v="310"/>
    <x v="16"/>
    <d v="2024-06-11T00:00:00"/>
    <s v="Sophie"/>
  </r>
  <r>
    <d v="2025-05-24T00:00:00"/>
    <x v="0"/>
    <x v="1"/>
    <n v="19"/>
    <n v="337.82"/>
    <s v="Store B"/>
    <s v="Wholesale"/>
    <x v="2"/>
    <x v="1"/>
    <x v="379"/>
    <x v="0"/>
    <x v="0"/>
    <x v="0"/>
    <s v="REG100379"/>
    <s v="Cust 1762"/>
    <n v="45.74"/>
    <x v="311"/>
    <x v="18"/>
    <d v="2025-05-30T00:00:00"/>
    <s v="Eric"/>
  </r>
  <r>
    <d v="2024-07-18T00:00:00"/>
    <x v="1"/>
    <x v="3"/>
    <n v="10"/>
    <n v="252.63"/>
    <s v="Store B"/>
    <s v="Retail"/>
    <x v="2"/>
    <x v="0"/>
    <x v="380"/>
    <x v="4"/>
    <x v="0"/>
    <x v="0"/>
    <s v="REG100380"/>
    <s v="Cust 1865"/>
    <n v="8.92"/>
    <x v="118"/>
    <x v="10"/>
    <d v="2024-07-25T00:00:00"/>
    <s v="Sophie"/>
  </r>
  <r>
    <d v="2024-07-14T00:00:00"/>
    <x v="4"/>
    <x v="5"/>
    <n v="3"/>
    <n v="87.02"/>
    <s v="Store B"/>
    <s v="Wholesale"/>
    <x v="1"/>
    <x v="2"/>
    <x v="381"/>
    <x v="4"/>
    <x v="2"/>
    <x v="0"/>
    <s v="REG100381"/>
    <s v="Cust 9552"/>
    <n v="11.13"/>
    <x v="106"/>
    <x v="10"/>
    <d v="2024-07-16T00:00:00"/>
    <s v="Wendy"/>
  </r>
  <r>
    <d v="2023-04-14T00:00:00"/>
    <x v="3"/>
    <x v="5"/>
    <n v="11"/>
    <n v="6.72"/>
    <s v="Store D"/>
    <s v="Wholesale"/>
    <x v="3"/>
    <x v="5"/>
    <x v="382"/>
    <x v="4"/>
    <x v="1"/>
    <x v="0"/>
    <s v="REG100382"/>
    <s v="Cust 4273"/>
    <n v="34.270000000000003"/>
    <x v="271"/>
    <x v="8"/>
    <d v="2023-04-19T00:00:00"/>
    <s v="Cameron"/>
  </r>
  <r>
    <d v="2023-06-01T00:00:00"/>
    <x v="1"/>
    <x v="6"/>
    <n v="2"/>
    <n v="279.38"/>
    <s v="Store D"/>
    <s v="Retail"/>
    <x v="1"/>
    <x v="3"/>
    <x v="383"/>
    <x v="0"/>
    <x v="0"/>
    <x v="0"/>
    <s v="REG100383"/>
    <s v="Cust 8712"/>
    <n v="22.95"/>
    <x v="312"/>
    <x v="14"/>
    <d v="2023-06-06T00:00:00"/>
    <s v="Sophie"/>
  </r>
  <r>
    <d v="2025-04-17T00:00:00"/>
    <x v="3"/>
    <x v="1"/>
    <n v="9"/>
    <n v="207.8"/>
    <s v="Store D"/>
    <s v="Retail"/>
    <x v="1"/>
    <x v="1"/>
    <x v="384"/>
    <x v="0"/>
    <x v="2"/>
    <x v="0"/>
    <s v="REG100384"/>
    <s v="Cust 9048"/>
    <n v="16.989999999999998"/>
    <x v="313"/>
    <x v="32"/>
    <d v="2025-04-20T00:00:00"/>
    <s v="Cameron"/>
  </r>
  <r>
    <d v="2025-03-31T00:00:00"/>
    <x v="0"/>
    <x v="6"/>
    <n v="15"/>
    <n v="511.88"/>
    <s v="Store C"/>
    <s v="Wholesale"/>
    <x v="3"/>
    <x v="5"/>
    <x v="385"/>
    <x v="4"/>
    <x v="1"/>
    <x v="0"/>
    <s v="REG100385"/>
    <s v="Cust 7714"/>
    <n v="10.220000000000001"/>
    <x v="314"/>
    <x v="24"/>
    <d v="2025-04-09T00:00:00"/>
    <s v="Eric"/>
  </r>
  <r>
    <d v="2024-07-15T00:00:00"/>
    <x v="0"/>
    <x v="6"/>
    <n v="10"/>
    <n v="325.97000000000003"/>
    <s v="Store D"/>
    <s v="Retail"/>
    <x v="0"/>
    <x v="5"/>
    <x v="386"/>
    <x v="4"/>
    <x v="0"/>
    <x v="1"/>
    <s v="REG100386"/>
    <s v="Cust 4770"/>
    <n v="49.95"/>
    <x v="236"/>
    <x v="10"/>
    <d v="2024-07-22T00:00:00"/>
    <s v="Eric"/>
  </r>
  <r>
    <d v="2024-08-30T00:00:00"/>
    <x v="1"/>
    <x v="0"/>
    <n v="17"/>
    <n v="469.32"/>
    <s v="Store B"/>
    <s v="Retail"/>
    <x v="0"/>
    <x v="3"/>
    <x v="387"/>
    <x v="1"/>
    <x v="2"/>
    <x v="1"/>
    <s v="REG100387"/>
    <s v="Cust 2007"/>
    <n v="5.86"/>
    <x v="315"/>
    <x v="44"/>
    <d v="2024-09-01T00:00:00"/>
    <s v="Sophie"/>
  </r>
  <r>
    <d v="2025-01-07T00:00:00"/>
    <x v="3"/>
    <x v="1"/>
    <n v="13"/>
    <n v="186.69"/>
    <s v="Store D"/>
    <s v="Wholesale"/>
    <x v="0"/>
    <x v="5"/>
    <x v="388"/>
    <x v="4"/>
    <x v="0"/>
    <x v="0"/>
    <s v="REG100388"/>
    <s v="Cust 8909"/>
    <n v="19.920000000000002"/>
    <x v="316"/>
    <x v="5"/>
    <d v="2025-01-10T00:00:00"/>
    <s v="Cameron"/>
  </r>
  <r>
    <d v="2025-02-05T00:00:00"/>
    <x v="1"/>
    <x v="1"/>
    <n v="16"/>
    <n v="34.659999999999997"/>
    <s v="Store C"/>
    <s v="Retail"/>
    <x v="3"/>
    <x v="1"/>
    <x v="389"/>
    <x v="3"/>
    <x v="3"/>
    <x v="0"/>
    <s v="REG100389"/>
    <s v="Cust 4196"/>
    <n v="49.9"/>
    <x v="317"/>
    <x v="29"/>
    <d v="2025-02-11T00:00:00"/>
    <s v="Sophie"/>
  </r>
  <r>
    <d v="2024-04-01T00:00:00"/>
    <x v="2"/>
    <x v="6"/>
    <n v="18"/>
    <n v="155.04"/>
    <s v="Store B"/>
    <s v="Wholesale"/>
    <x v="2"/>
    <x v="2"/>
    <x v="390"/>
    <x v="4"/>
    <x v="2"/>
    <x v="0"/>
    <s v="REG100390"/>
    <s v="Cust 4189"/>
    <n v="39.99"/>
    <x v="204"/>
    <x v="24"/>
    <d v="2024-04-04T00:00:00"/>
    <s v="Ryan"/>
  </r>
  <r>
    <d v="2025-03-01T00:00:00"/>
    <x v="4"/>
    <x v="4"/>
    <n v="4"/>
    <n v="69.599999999999994"/>
    <s v="Store D"/>
    <s v="Wholesale"/>
    <x v="3"/>
    <x v="0"/>
    <x v="391"/>
    <x v="1"/>
    <x v="1"/>
    <x v="0"/>
    <s v="REG100391"/>
    <s v="Cust 7226"/>
    <n v="17.68"/>
    <x v="89"/>
    <x v="3"/>
    <d v="2025-03-09T00:00:00"/>
    <s v="Wendy"/>
  </r>
  <r>
    <d v="2023-07-03T00:00:00"/>
    <x v="3"/>
    <x v="4"/>
    <n v="13"/>
    <n v="55.09"/>
    <s v="Store A"/>
    <s v="Wholesale"/>
    <x v="2"/>
    <x v="4"/>
    <x v="392"/>
    <x v="4"/>
    <x v="0"/>
    <x v="1"/>
    <s v="REG100392"/>
    <s v="Cust 5015"/>
    <n v="47.78"/>
    <x v="318"/>
    <x v="49"/>
    <d v="2023-07-06T00:00:00"/>
    <s v="Cameron"/>
  </r>
  <r>
    <d v="2023-04-25T00:00:00"/>
    <x v="3"/>
    <x v="0"/>
    <n v="13"/>
    <n v="206.11"/>
    <s v="Store B"/>
    <s v="Retail"/>
    <x v="2"/>
    <x v="5"/>
    <x v="393"/>
    <x v="1"/>
    <x v="1"/>
    <x v="1"/>
    <s v="REG100393"/>
    <s v="Cust 9904"/>
    <n v="22.59"/>
    <x v="319"/>
    <x v="42"/>
    <d v="2023-05-01T00:00:00"/>
    <s v="Cameron"/>
  </r>
  <r>
    <d v="2025-04-09T00:00:00"/>
    <x v="4"/>
    <x v="5"/>
    <n v="14"/>
    <n v="484.38"/>
    <s v="Store D"/>
    <s v="Retail"/>
    <x v="3"/>
    <x v="2"/>
    <x v="394"/>
    <x v="3"/>
    <x v="1"/>
    <x v="0"/>
    <s v="REG100394"/>
    <s v="Cust 7687"/>
    <n v="29.24"/>
    <x v="320"/>
    <x v="8"/>
    <d v="2025-04-19T00:00:00"/>
    <s v="Wendy"/>
  </r>
  <r>
    <d v="2023-11-05T00:00:00"/>
    <x v="2"/>
    <x v="4"/>
    <n v="6"/>
    <n v="449.57"/>
    <s v="Store D"/>
    <s v="Wholesale"/>
    <x v="0"/>
    <x v="2"/>
    <x v="395"/>
    <x v="1"/>
    <x v="2"/>
    <x v="0"/>
    <s v="REG100395"/>
    <s v="Cust 6511"/>
    <n v="23.09"/>
    <x v="321"/>
    <x v="47"/>
    <d v="2023-11-12T00:00:00"/>
    <s v="Ryan"/>
  </r>
  <r>
    <d v="2023-01-13T00:00:00"/>
    <x v="0"/>
    <x v="0"/>
    <n v="9"/>
    <n v="223.01"/>
    <s v="Store C"/>
    <s v="Retail"/>
    <x v="0"/>
    <x v="4"/>
    <x v="396"/>
    <x v="4"/>
    <x v="3"/>
    <x v="1"/>
    <s v="REG100396"/>
    <s v="Cust 2412"/>
    <n v="11.9"/>
    <x v="322"/>
    <x v="5"/>
    <d v="2023-01-19T00:00:00"/>
    <s v="Eric"/>
  </r>
  <r>
    <d v="2025-02-06T00:00:00"/>
    <x v="4"/>
    <x v="3"/>
    <n v="14"/>
    <n v="291.91000000000003"/>
    <s v="Store A"/>
    <s v="Retail"/>
    <x v="2"/>
    <x v="2"/>
    <x v="397"/>
    <x v="2"/>
    <x v="3"/>
    <x v="0"/>
    <s v="REG100397"/>
    <s v="Cust 1664"/>
    <n v="27.51"/>
    <x v="323"/>
    <x v="29"/>
    <d v="2025-02-10T00:00:00"/>
    <s v="Wendy"/>
  </r>
  <r>
    <d v="2023-05-20T00:00:00"/>
    <x v="1"/>
    <x v="4"/>
    <n v="13"/>
    <n v="90.86"/>
    <s v="Store A"/>
    <s v="Wholesale"/>
    <x v="0"/>
    <x v="3"/>
    <x v="398"/>
    <x v="1"/>
    <x v="1"/>
    <x v="0"/>
    <s v="REG100398"/>
    <s v="Cust 6033"/>
    <n v="16.739999999999998"/>
    <x v="42"/>
    <x v="13"/>
    <d v="2023-05-25T00:00:00"/>
    <s v="Sophie"/>
  </r>
  <r>
    <d v="2025-06-18T00:00:00"/>
    <x v="0"/>
    <x v="2"/>
    <n v="4"/>
    <n v="109.05"/>
    <s v="Store D"/>
    <s v="Wholesale"/>
    <x v="0"/>
    <x v="4"/>
    <x v="399"/>
    <x v="1"/>
    <x v="2"/>
    <x v="0"/>
    <s v="REG100399"/>
    <s v="Cust 4019"/>
    <n v="21.02"/>
    <x v="324"/>
    <x v="4"/>
    <d v="2025-06-24T00:00:00"/>
    <s v="Eric"/>
  </r>
  <r>
    <d v="2023-02-23T00:00:00"/>
    <x v="4"/>
    <x v="5"/>
    <n v="12"/>
    <n v="245.6"/>
    <s v="Store D"/>
    <s v="Retail"/>
    <x v="0"/>
    <x v="5"/>
    <x v="400"/>
    <x v="4"/>
    <x v="0"/>
    <x v="1"/>
    <s v="REG100400"/>
    <s v="Cust 4515"/>
    <n v="43.92"/>
    <x v="0"/>
    <x v="0"/>
    <d v="2023-02-27T00:00:00"/>
    <s v="Wendy"/>
  </r>
  <r>
    <d v="2024-11-09T00:00:00"/>
    <x v="0"/>
    <x v="6"/>
    <n v="15"/>
    <n v="380.03"/>
    <s v="Store A"/>
    <s v="Retail"/>
    <x v="0"/>
    <x v="5"/>
    <x v="401"/>
    <x v="0"/>
    <x v="3"/>
    <x v="0"/>
    <s v="REG100401"/>
    <s v="Cust 7532"/>
    <n v="25.72"/>
    <x v="325"/>
    <x v="47"/>
    <d v="2024-11-12T00:00:00"/>
    <s v="Eric"/>
  </r>
  <r>
    <d v="2024-07-25T00:00:00"/>
    <x v="1"/>
    <x v="5"/>
    <n v="3"/>
    <n v="417.58"/>
    <s v="Store D"/>
    <s v="Retail"/>
    <x v="3"/>
    <x v="2"/>
    <x v="402"/>
    <x v="1"/>
    <x v="1"/>
    <x v="0"/>
    <s v="REG100402"/>
    <s v="Cust 8756"/>
    <n v="43.42"/>
    <x v="245"/>
    <x v="27"/>
    <d v="2024-07-31T00:00:00"/>
    <s v="Sophie"/>
  </r>
  <r>
    <d v="2023-08-19T00:00:00"/>
    <x v="4"/>
    <x v="0"/>
    <n v="15"/>
    <n v="432.17"/>
    <s v="Store D"/>
    <s v="Wholesale"/>
    <x v="2"/>
    <x v="2"/>
    <x v="403"/>
    <x v="3"/>
    <x v="2"/>
    <x v="0"/>
    <s v="REG100403"/>
    <s v="Cust 7620"/>
    <n v="44.88"/>
    <x v="326"/>
    <x v="45"/>
    <d v="2023-08-23T00:00:00"/>
    <s v="Wendy"/>
  </r>
  <r>
    <d v="2023-11-13T00:00:00"/>
    <x v="1"/>
    <x v="4"/>
    <n v="13"/>
    <n v="531.77"/>
    <s v="Store C"/>
    <s v="Retail"/>
    <x v="1"/>
    <x v="5"/>
    <x v="404"/>
    <x v="0"/>
    <x v="1"/>
    <x v="0"/>
    <s v="REG100404"/>
    <s v="Cust 7368"/>
    <n v="37.909999999999997"/>
    <x v="327"/>
    <x v="38"/>
    <d v="2023-11-15T00:00:00"/>
    <s v="Sophie"/>
  </r>
  <r>
    <d v="2024-09-10T00:00:00"/>
    <x v="4"/>
    <x v="5"/>
    <n v="13"/>
    <n v="442.99"/>
    <s v="Store A"/>
    <s v="Wholesale"/>
    <x v="3"/>
    <x v="1"/>
    <x v="405"/>
    <x v="1"/>
    <x v="1"/>
    <x v="0"/>
    <s v="REG100405"/>
    <s v="Cust 1319"/>
    <n v="37.119999999999997"/>
    <x v="328"/>
    <x v="30"/>
    <d v="2024-09-18T00:00:00"/>
    <s v="Wendy"/>
  </r>
  <r>
    <d v="2024-08-30T00:00:00"/>
    <x v="3"/>
    <x v="3"/>
    <n v="13"/>
    <n v="567.5"/>
    <s v="Store A"/>
    <s v="Retail"/>
    <x v="0"/>
    <x v="0"/>
    <x v="406"/>
    <x v="2"/>
    <x v="3"/>
    <x v="0"/>
    <s v="REG100406"/>
    <s v="Cust 9597"/>
    <n v="28.41"/>
    <x v="315"/>
    <x v="44"/>
    <d v="2024-09-02T00:00:00"/>
    <s v="Cameron"/>
  </r>
  <r>
    <d v="2024-11-10T00:00:00"/>
    <x v="0"/>
    <x v="5"/>
    <n v="15"/>
    <n v="469.52"/>
    <s v="Store C"/>
    <s v="Wholesale"/>
    <x v="0"/>
    <x v="1"/>
    <x v="407"/>
    <x v="2"/>
    <x v="0"/>
    <x v="0"/>
    <s v="REG100407"/>
    <s v="Cust 7369"/>
    <n v="35.6"/>
    <x v="329"/>
    <x v="38"/>
    <d v="2024-11-17T00:00:00"/>
    <s v="Eric"/>
  </r>
  <r>
    <d v="2023-04-13T00:00:00"/>
    <x v="0"/>
    <x v="6"/>
    <n v="1"/>
    <n v="396.09"/>
    <s v="Store D"/>
    <s v="Wholesale"/>
    <x v="2"/>
    <x v="2"/>
    <x v="408"/>
    <x v="2"/>
    <x v="2"/>
    <x v="0"/>
    <s v="REG100408"/>
    <s v="Cust 8592"/>
    <n v="39.380000000000003"/>
    <x v="330"/>
    <x v="8"/>
    <d v="2023-04-19T00:00:00"/>
    <s v="Eric"/>
  </r>
  <r>
    <d v="2023-11-20T00:00:00"/>
    <x v="0"/>
    <x v="0"/>
    <n v="12"/>
    <n v="195.73"/>
    <s v="Store C"/>
    <s v="Wholesale"/>
    <x v="3"/>
    <x v="1"/>
    <x v="409"/>
    <x v="4"/>
    <x v="1"/>
    <x v="0"/>
    <s v="REG100409"/>
    <s v="Cust 2337"/>
    <n v="37.090000000000003"/>
    <x v="331"/>
    <x v="20"/>
    <d v="2023-11-27T00:00:00"/>
    <s v="Eric"/>
  </r>
  <r>
    <d v="2025-04-14T00:00:00"/>
    <x v="2"/>
    <x v="6"/>
    <n v="5"/>
    <n v="412.24"/>
    <s v="Store B"/>
    <s v="Wholesale"/>
    <x v="2"/>
    <x v="3"/>
    <x v="410"/>
    <x v="4"/>
    <x v="0"/>
    <x v="0"/>
    <s v="REG100410"/>
    <s v="Cust 9697"/>
    <n v="29.31"/>
    <x v="297"/>
    <x v="32"/>
    <d v="2025-04-19T00:00:00"/>
    <s v="Ryan"/>
  </r>
  <r>
    <d v="2023-03-04T00:00:00"/>
    <x v="3"/>
    <x v="4"/>
    <n v="11"/>
    <n v="558.5"/>
    <s v="Store B"/>
    <s v="Retail"/>
    <x v="2"/>
    <x v="3"/>
    <x v="411"/>
    <x v="4"/>
    <x v="2"/>
    <x v="0"/>
    <s v="REG100411"/>
    <s v="Cust 5895"/>
    <n v="48.15"/>
    <x v="332"/>
    <x v="3"/>
    <d v="2023-03-09T00:00:00"/>
    <s v="Cameron"/>
  </r>
  <r>
    <d v="2024-11-16T00:00:00"/>
    <x v="2"/>
    <x v="0"/>
    <n v="4"/>
    <n v="175.34"/>
    <s v="Store C"/>
    <s v="Retail"/>
    <x v="2"/>
    <x v="0"/>
    <x v="412"/>
    <x v="4"/>
    <x v="0"/>
    <x v="0"/>
    <s v="REG100412"/>
    <s v="Cust 9097"/>
    <n v="40.86"/>
    <x v="85"/>
    <x v="38"/>
    <d v="2024-11-19T00:00:00"/>
    <s v="Ryan"/>
  </r>
  <r>
    <d v="2024-05-25T00:00:00"/>
    <x v="1"/>
    <x v="0"/>
    <n v="19"/>
    <n v="478.73"/>
    <s v="Store A"/>
    <s v="Retail"/>
    <x v="0"/>
    <x v="2"/>
    <x v="413"/>
    <x v="3"/>
    <x v="2"/>
    <x v="1"/>
    <s v="REG100413"/>
    <s v="Cust 5938"/>
    <n v="46.46"/>
    <x v="333"/>
    <x v="18"/>
    <d v="2024-06-02T00:00:00"/>
    <s v="Sophie"/>
  </r>
  <r>
    <d v="2023-04-12T00:00:00"/>
    <x v="0"/>
    <x v="2"/>
    <n v="5"/>
    <n v="365.38"/>
    <s v="Store D"/>
    <s v="Wholesale"/>
    <x v="2"/>
    <x v="1"/>
    <x v="414"/>
    <x v="3"/>
    <x v="1"/>
    <x v="1"/>
    <s v="REG100414"/>
    <s v="Cust 6928"/>
    <n v="5.66"/>
    <x v="264"/>
    <x v="8"/>
    <d v="2023-04-15T00:00:00"/>
    <s v="Eric"/>
  </r>
  <r>
    <d v="2023-03-07T00:00:00"/>
    <x v="1"/>
    <x v="2"/>
    <n v="10"/>
    <n v="397.33"/>
    <s v="Store B"/>
    <s v="Retail"/>
    <x v="2"/>
    <x v="1"/>
    <x v="415"/>
    <x v="2"/>
    <x v="3"/>
    <x v="0"/>
    <s v="REG100415"/>
    <s v="Cust 6223"/>
    <n v="10.199999999999999"/>
    <x v="334"/>
    <x v="7"/>
    <d v="2023-03-13T00:00:00"/>
    <s v="Sophie"/>
  </r>
  <r>
    <d v="2024-01-05T00:00:00"/>
    <x v="3"/>
    <x v="3"/>
    <n v="17"/>
    <n v="241.01"/>
    <s v="Store A"/>
    <s v="Retail"/>
    <x v="1"/>
    <x v="5"/>
    <x v="416"/>
    <x v="3"/>
    <x v="2"/>
    <x v="0"/>
    <s v="REG100416"/>
    <s v="Cust 7614"/>
    <n v="24.69"/>
    <x v="52"/>
    <x v="31"/>
    <d v="2024-01-11T00:00:00"/>
    <s v="Cameron"/>
  </r>
  <r>
    <d v="2024-10-31T00:00:00"/>
    <x v="4"/>
    <x v="2"/>
    <n v="17"/>
    <n v="82.2"/>
    <s v="Store C"/>
    <s v="Wholesale"/>
    <x v="0"/>
    <x v="1"/>
    <x v="417"/>
    <x v="4"/>
    <x v="2"/>
    <x v="0"/>
    <s v="REG100417"/>
    <s v="Cust 3231"/>
    <n v="32.5"/>
    <x v="335"/>
    <x v="50"/>
    <d v="2024-11-10T00:00:00"/>
    <s v="Wendy"/>
  </r>
  <r>
    <d v="2024-05-08T00:00:00"/>
    <x v="4"/>
    <x v="4"/>
    <n v="16"/>
    <n v="170.77"/>
    <s v="Store C"/>
    <s v="Retail"/>
    <x v="1"/>
    <x v="2"/>
    <x v="418"/>
    <x v="0"/>
    <x v="1"/>
    <x v="1"/>
    <s v="REG100418"/>
    <s v="Cust 9123"/>
    <n v="45.93"/>
    <x v="336"/>
    <x v="2"/>
    <d v="2024-05-14T00:00:00"/>
    <s v="Wendy"/>
  </r>
  <r>
    <d v="2024-03-05T00:00:00"/>
    <x v="3"/>
    <x v="4"/>
    <n v="1"/>
    <n v="8.1999999999999993"/>
    <s v="Store C"/>
    <s v="Wholesale"/>
    <x v="2"/>
    <x v="2"/>
    <x v="419"/>
    <x v="3"/>
    <x v="3"/>
    <x v="0"/>
    <s v="REG100419"/>
    <s v="Cust 7054"/>
    <n v="30.35"/>
    <x v="337"/>
    <x v="7"/>
    <d v="2024-03-15T00:00:00"/>
    <s v="Cameron"/>
  </r>
  <r>
    <d v="2023-07-18T00:00:00"/>
    <x v="2"/>
    <x v="0"/>
    <n v="12"/>
    <n v="425.78"/>
    <s v="Store A"/>
    <s v="Retail"/>
    <x v="1"/>
    <x v="5"/>
    <x v="420"/>
    <x v="0"/>
    <x v="3"/>
    <x v="1"/>
    <s v="REG100420"/>
    <s v="Cust 4240"/>
    <n v="25.48"/>
    <x v="338"/>
    <x v="10"/>
    <d v="2023-07-22T00:00:00"/>
    <s v="Ryan"/>
  </r>
  <r>
    <d v="2023-08-05T00:00:00"/>
    <x v="1"/>
    <x v="6"/>
    <n v="20"/>
    <n v="121.14"/>
    <s v="Store C"/>
    <s v="Retail"/>
    <x v="1"/>
    <x v="5"/>
    <x v="421"/>
    <x v="2"/>
    <x v="0"/>
    <x v="0"/>
    <s v="REG100421"/>
    <s v="Cust 1237"/>
    <n v="21.47"/>
    <x v="285"/>
    <x v="36"/>
    <d v="2023-08-14T00:00:00"/>
    <s v="Sophie"/>
  </r>
  <r>
    <d v="2023-09-18T00:00:00"/>
    <x v="4"/>
    <x v="5"/>
    <n v="19"/>
    <n v="448.13"/>
    <s v="Store D"/>
    <s v="Wholesale"/>
    <x v="0"/>
    <x v="1"/>
    <x v="422"/>
    <x v="3"/>
    <x v="0"/>
    <x v="0"/>
    <s v="REG100422"/>
    <s v="Cust 5513"/>
    <n v="28.29"/>
    <x v="339"/>
    <x v="46"/>
    <d v="2023-09-20T00:00:00"/>
    <s v="Wendy"/>
  </r>
  <r>
    <d v="2023-03-27T00:00:00"/>
    <x v="1"/>
    <x v="0"/>
    <n v="8"/>
    <n v="7.81"/>
    <s v="Store D"/>
    <s v="Wholesale"/>
    <x v="1"/>
    <x v="2"/>
    <x v="423"/>
    <x v="0"/>
    <x v="1"/>
    <x v="0"/>
    <s v="REG100423"/>
    <s v="Cust 1835"/>
    <n v="25.03"/>
    <x v="340"/>
    <x v="41"/>
    <d v="2023-03-29T00:00:00"/>
    <s v="Sophie"/>
  </r>
  <r>
    <d v="2023-03-08T00:00:00"/>
    <x v="0"/>
    <x v="3"/>
    <n v="19"/>
    <n v="191.44"/>
    <s v="Store C"/>
    <s v="Wholesale"/>
    <x v="2"/>
    <x v="3"/>
    <x v="424"/>
    <x v="4"/>
    <x v="2"/>
    <x v="1"/>
    <s v="REG100424"/>
    <s v="Cust 8492"/>
    <n v="35.54"/>
    <x v="341"/>
    <x v="7"/>
    <d v="2023-03-17T00:00:00"/>
    <s v="Eric"/>
  </r>
  <r>
    <d v="2024-05-02T00:00:00"/>
    <x v="4"/>
    <x v="2"/>
    <n v="5"/>
    <n v="245.2"/>
    <s v="Store B"/>
    <s v="Retail"/>
    <x v="2"/>
    <x v="0"/>
    <x v="425"/>
    <x v="0"/>
    <x v="3"/>
    <x v="0"/>
    <s v="REG100425"/>
    <s v="Cust 2451"/>
    <n v="46.37"/>
    <x v="342"/>
    <x v="40"/>
    <d v="2024-05-06T00:00:00"/>
    <s v="Wendy"/>
  </r>
  <r>
    <d v="2023-09-16T00:00:00"/>
    <x v="2"/>
    <x v="2"/>
    <n v="17"/>
    <n v="163.37"/>
    <s v="Store B"/>
    <s v="Wholesale"/>
    <x v="2"/>
    <x v="0"/>
    <x v="426"/>
    <x v="1"/>
    <x v="1"/>
    <x v="0"/>
    <s v="REG100426"/>
    <s v="Cust 4509"/>
    <n v="5.36"/>
    <x v="292"/>
    <x v="30"/>
    <d v="2023-09-26T00:00:00"/>
    <s v="Ryan"/>
  </r>
  <r>
    <d v="2023-06-13T00:00:00"/>
    <x v="1"/>
    <x v="5"/>
    <n v="14"/>
    <n v="583.96"/>
    <s v="Store C"/>
    <s v="Retail"/>
    <x v="0"/>
    <x v="4"/>
    <x v="427"/>
    <x v="3"/>
    <x v="2"/>
    <x v="0"/>
    <s v="REG100427"/>
    <s v="Cust 6643"/>
    <n v="23.03"/>
    <x v="343"/>
    <x v="33"/>
    <d v="2023-06-22T00:00:00"/>
    <s v="Sophie"/>
  </r>
  <r>
    <d v="2023-11-05T00:00:00"/>
    <x v="2"/>
    <x v="2"/>
    <n v="16"/>
    <n v="181.08"/>
    <s v="Store C"/>
    <s v="Retail"/>
    <x v="1"/>
    <x v="3"/>
    <x v="428"/>
    <x v="0"/>
    <x v="2"/>
    <x v="0"/>
    <s v="REG100428"/>
    <s v="Cust 2559"/>
    <n v="39.840000000000003"/>
    <x v="321"/>
    <x v="47"/>
    <d v="2023-11-08T00:00:00"/>
    <s v="Ryan"/>
  </r>
  <r>
    <d v="2024-11-23T00:00:00"/>
    <x v="1"/>
    <x v="5"/>
    <n v="8"/>
    <n v="414.94"/>
    <s v="Store A"/>
    <s v="Wholesale"/>
    <x v="0"/>
    <x v="1"/>
    <x v="429"/>
    <x v="3"/>
    <x v="1"/>
    <x v="0"/>
    <s v="REG100429"/>
    <s v="Cust 4423"/>
    <n v="46.58"/>
    <x v="344"/>
    <x v="20"/>
    <d v="2024-11-26T00:00:00"/>
    <s v="Sophie"/>
  </r>
  <r>
    <d v="2024-02-09T00:00:00"/>
    <x v="3"/>
    <x v="1"/>
    <n v="16"/>
    <n v="442.22"/>
    <s v="Store B"/>
    <s v="Retail"/>
    <x v="0"/>
    <x v="1"/>
    <x v="430"/>
    <x v="4"/>
    <x v="0"/>
    <x v="0"/>
    <s v="REG100430"/>
    <s v="Cust 9139"/>
    <n v="27.36"/>
    <x v="345"/>
    <x v="29"/>
    <d v="2024-02-18T00:00:00"/>
    <s v="Cameron"/>
  </r>
  <r>
    <d v="2023-11-16T00:00:00"/>
    <x v="3"/>
    <x v="6"/>
    <n v="14"/>
    <n v="595.39"/>
    <s v="Store A"/>
    <s v="Wholesale"/>
    <x v="1"/>
    <x v="5"/>
    <x v="431"/>
    <x v="2"/>
    <x v="1"/>
    <x v="0"/>
    <s v="REG100431"/>
    <s v="Cust 6668"/>
    <n v="9.51"/>
    <x v="346"/>
    <x v="38"/>
    <d v="2023-11-22T00:00:00"/>
    <s v="Cameron"/>
  </r>
  <r>
    <d v="2025-01-24T00:00:00"/>
    <x v="3"/>
    <x v="4"/>
    <n v="6"/>
    <n v="175.3"/>
    <s v="Store A"/>
    <s v="Wholesale"/>
    <x v="2"/>
    <x v="1"/>
    <x v="432"/>
    <x v="4"/>
    <x v="1"/>
    <x v="1"/>
    <s v="REG100432"/>
    <s v="Cust 4315"/>
    <n v="17.920000000000002"/>
    <x v="239"/>
    <x v="34"/>
    <d v="2025-01-29T00:00:00"/>
    <s v="Cameron"/>
  </r>
  <r>
    <d v="2025-05-06T00:00:00"/>
    <x v="3"/>
    <x v="5"/>
    <n v="7"/>
    <n v="319.58999999999997"/>
    <s v="Store C"/>
    <s v="Wholesale"/>
    <x v="2"/>
    <x v="3"/>
    <x v="433"/>
    <x v="1"/>
    <x v="2"/>
    <x v="1"/>
    <s v="REG100433"/>
    <s v="Cust 8000"/>
    <n v="8.4700000000000006"/>
    <x v="276"/>
    <x v="2"/>
    <d v="2025-05-09T00:00:00"/>
    <s v="Cameron"/>
  </r>
  <r>
    <d v="2025-05-17T00:00:00"/>
    <x v="0"/>
    <x v="6"/>
    <n v="15"/>
    <n v="506.81"/>
    <s v="Store A"/>
    <s v="Retail"/>
    <x v="2"/>
    <x v="5"/>
    <x v="434"/>
    <x v="4"/>
    <x v="0"/>
    <x v="1"/>
    <s v="REG100434"/>
    <s v="Cust 7585"/>
    <n v="41.03"/>
    <x v="347"/>
    <x v="13"/>
    <d v="2025-05-27T00:00:00"/>
    <s v="Eric"/>
  </r>
  <r>
    <d v="2023-11-29T00:00:00"/>
    <x v="3"/>
    <x v="0"/>
    <n v="17"/>
    <n v="538.08000000000004"/>
    <s v="Store A"/>
    <s v="Retail"/>
    <x v="3"/>
    <x v="0"/>
    <x v="435"/>
    <x v="3"/>
    <x v="0"/>
    <x v="0"/>
    <s v="REG100435"/>
    <s v="Cust 3127"/>
    <n v="19.61"/>
    <x v="348"/>
    <x v="15"/>
    <d v="2023-12-01T00:00:00"/>
    <s v="Cameron"/>
  </r>
  <r>
    <d v="2023-02-24T00:00:00"/>
    <x v="1"/>
    <x v="3"/>
    <n v="16"/>
    <n v="187.84"/>
    <s v="Store A"/>
    <s v="Retail"/>
    <x v="0"/>
    <x v="1"/>
    <x v="436"/>
    <x v="2"/>
    <x v="1"/>
    <x v="0"/>
    <s v="REG100436"/>
    <s v="Cust 4130"/>
    <n v="18.649999999999999"/>
    <x v="349"/>
    <x v="0"/>
    <d v="2023-02-26T00:00:00"/>
    <s v="Sophie"/>
  </r>
  <r>
    <d v="2023-11-04T00:00:00"/>
    <x v="1"/>
    <x v="0"/>
    <n v="18"/>
    <n v="426.3"/>
    <s v="Store A"/>
    <s v="Wholesale"/>
    <x v="2"/>
    <x v="3"/>
    <x v="437"/>
    <x v="2"/>
    <x v="3"/>
    <x v="1"/>
    <s v="REG100437"/>
    <s v="Cust 6956"/>
    <n v="29.81"/>
    <x v="350"/>
    <x v="50"/>
    <d v="2023-11-10T00:00:00"/>
    <s v="Sophie"/>
  </r>
  <r>
    <d v="2024-06-15T00:00:00"/>
    <x v="0"/>
    <x v="2"/>
    <n v="1"/>
    <n v="498.35"/>
    <s v="Store B"/>
    <s v="Retail"/>
    <x v="1"/>
    <x v="1"/>
    <x v="438"/>
    <x v="0"/>
    <x v="0"/>
    <x v="0"/>
    <s v="REG100438"/>
    <s v="Cust 8155"/>
    <n v="34.700000000000003"/>
    <x v="351"/>
    <x v="33"/>
    <d v="2024-06-22T00:00:00"/>
    <s v="Eric"/>
  </r>
  <r>
    <d v="2024-10-02T00:00:00"/>
    <x v="2"/>
    <x v="5"/>
    <n v="19"/>
    <n v="385.72"/>
    <s v="Store A"/>
    <s v="Retail"/>
    <x v="3"/>
    <x v="3"/>
    <x v="439"/>
    <x v="4"/>
    <x v="1"/>
    <x v="1"/>
    <s v="REG100439"/>
    <s v="Cust 8852"/>
    <n v="12.46"/>
    <x v="352"/>
    <x v="35"/>
    <d v="2024-10-06T00:00:00"/>
    <s v="Ryan"/>
  </r>
  <r>
    <d v="2023-06-03T00:00:00"/>
    <x v="4"/>
    <x v="5"/>
    <n v="3"/>
    <n v="54.37"/>
    <s v="Store B"/>
    <s v="Wholesale"/>
    <x v="1"/>
    <x v="2"/>
    <x v="440"/>
    <x v="2"/>
    <x v="2"/>
    <x v="0"/>
    <s v="REG100440"/>
    <s v="Cust 2850"/>
    <n v="48.71"/>
    <x v="353"/>
    <x v="14"/>
    <d v="2023-06-13T00:00:00"/>
    <s v="Wendy"/>
  </r>
  <r>
    <d v="2023-09-10T00:00:00"/>
    <x v="0"/>
    <x v="1"/>
    <n v="6"/>
    <n v="471.74"/>
    <s v="Store C"/>
    <s v="Retail"/>
    <x v="2"/>
    <x v="3"/>
    <x v="441"/>
    <x v="0"/>
    <x v="3"/>
    <x v="0"/>
    <s v="REG100441"/>
    <s v="Cust 9572"/>
    <n v="36.79"/>
    <x v="354"/>
    <x v="30"/>
    <d v="2023-09-18T00:00:00"/>
    <s v="Eric"/>
  </r>
  <r>
    <d v="2025-05-20T00:00:00"/>
    <x v="3"/>
    <x v="6"/>
    <n v="19"/>
    <n v="322.31"/>
    <s v="Store B"/>
    <s v="Retail"/>
    <x v="2"/>
    <x v="5"/>
    <x v="442"/>
    <x v="4"/>
    <x v="0"/>
    <x v="0"/>
    <s v="REG100442"/>
    <s v="Cust 6253"/>
    <n v="33.950000000000003"/>
    <x v="355"/>
    <x v="18"/>
    <d v="2025-05-22T00:00:00"/>
    <s v="Cameron"/>
  </r>
  <r>
    <d v="2023-09-24T00:00:00"/>
    <x v="2"/>
    <x v="5"/>
    <n v="13"/>
    <n v="115.86"/>
    <s v="Store A"/>
    <s v="Wholesale"/>
    <x v="1"/>
    <x v="4"/>
    <x v="443"/>
    <x v="4"/>
    <x v="3"/>
    <x v="1"/>
    <s v="REG100443"/>
    <s v="Cust 4154"/>
    <n v="28.52"/>
    <x v="356"/>
    <x v="39"/>
    <d v="2023-10-03T00:00:00"/>
    <s v="Ryan"/>
  </r>
  <r>
    <d v="2025-03-29T00:00:00"/>
    <x v="0"/>
    <x v="5"/>
    <n v="18"/>
    <n v="398.26"/>
    <s v="Store B"/>
    <s v="Retail"/>
    <x v="1"/>
    <x v="5"/>
    <x v="444"/>
    <x v="3"/>
    <x v="3"/>
    <x v="0"/>
    <s v="REG100444"/>
    <s v="Cust 2137"/>
    <n v="16.8"/>
    <x v="259"/>
    <x v="41"/>
    <d v="2025-04-04T00:00:00"/>
    <s v="Eric"/>
  </r>
  <r>
    <d v="2023-06-17T00:00:00"/>
    <x v="0"/>
    <x v="3"/>
    <n v="4"/>
    <n v="584.79999999999995"/>
    <s v="Store B"/>
    <s v="Retail"/>
    <x v="1"/>
    <x v="0"/>
    <x v="445"/>
    <x v="0"/>
    <x v="0"/>
    <x v="0"/>
    <s v="REG100445"/>
    <s v="Cust 8157"/>
    <n v="16.440000000000001"/>
    <x v="357"/>
    <x v="33"/>
    <d v="2023-06-25T00:00:00"/>
    <s v="Eric"/>
  </r>
  <r>
    <d v="2024-01-28T00:00:00"/>
    <x v="4"/>
    <x v="6"/>
    <n v="20"/>
    <n v="424.7"/>
    <s v="Store B"/>
    <s v="Wholesale"/>
    <x v="2"/>
    <x v="5"/>
    <x v="446"/>
    <x v="0"/>
    <x v="0"/>
    <x v="0"/>
    <s v="REG100446"/>
    <s v="Cust 4861"/>
    <n v="42.03"/>
    <x v="275"/>
    <x v="43"/>
    <d v="2024-02-05T00:00:00"/>
    <s v="Wendy"/>
  </r>
  <r>
    <d v="2023-03-14T00:00:00"/>
    <x v="3"/>
    <x v="3"/>
    <n v="16"/>
    <n v="179.22"/>
    <s v="Store D"/>
    <s v="Retail"/>
    <x v="1"/>
    <x v="1"/>
    <x v="447"/>
    <x v="0"/>
    <x v="2"/>
    <x v="0"/>
    <s v="REG100447"/>
    <s v="Cust 7493"/>
    <n v="45.99"/>
    <x v="358"/>
    <x v="23"/>
    <d v="2023-03-17T00:00:00"/>
    <s v="Cameron"/>
  </r>
  <r>
    <d v="2025-01-09T00:00:00"/>
    <x v="0"/>
    <x v="0"/>
    <n v="12"/>
    <n v="148.66"/>
    <s v="Store A"/>
    <s v="Wholesale"/>
    <x v="0"/>
    <x v="4"/>
    <x v="448"/>
    <x v="0"/>
    <x v="3"/>
    <x v="1"/>
    <s v="REG100448"/>
    <s v="Cust 7073"/>
    <n v="27.16"/>
    <x v="359"/>
    <x v="5"/>
    <d v="2025-01-17T00:00:00"/>
    <s v="Eric"/>
  </r>
  <r>
    <d v="2025-03-30T00:00:00"/>
    <x v="3"/>
    <x v="1"/>
    <n v="16"/>
    <n v="460.43"/>
    <s v="Store B"/>
    <s v="Wholesale"/>
    <x v="2"/>
    <x v="5"/>
    <x v="449"/>
    <x v="0"/>
    <x v="2"/>
    <x v="0"/>
    <s v="REG100449"/>
    <s v="Cust 9085"/>
    <n v="20.38"/>
    <x v="360"/>
    <x v="24"/>
    <d v="2025-04-06T00:00:00"/>
    <s v="Cameron"/>
  </r>
  <r>
    <d v="2023-10-23T00:00:00"/>
    <x v="0"/>
    <x v="5"/>
    <n v="5"/>
    <n v="334.37"/>
    <s v="Store B"/>
    <s v="Retail"/>
    <x v="3"/>
    <x v="3"/>
    <x v="450"/>
    <x v="2"/>
    <x v="3"/>
    <x v="0"/>
    <s v="REG100450"/>
    <s v="Cust 3247"/>
    <n v="32.130000000000003"/>
    <x v="25"/>
    <x v="19"/>
    <d v="2023-10-28T00:00:00"/>
    <s v="Eric"/>
  </r>
  <r>
    <d v="2025-06-08T00:00:00"/>
    <x v="4"/>
    <x v="4"/>
    <n v="3"/>
    <n v="599.72"/>
    <s v="Store D"/>
    <s v="Retail"/>
    <x v="2"/>
    <x v="1"/>
    <x v="451"/>
    <x v="0"/>
    <x v="2"/>
    <x v="1"/>
    <s v="REG100451"/>
    <s v="Cust 8504"/>
    <n v="14.93"/>
    <x v="119"/>
    <x v="33"/>
    <d v="2025-06-14T00:00:00"/>
    <s v="Wendy"/>
  </r>
  <r>
    <d v="2024-02-26T00:00:00"/>
    <x v="4"/>
    <x v="4"/>
    <n v="11"/>
    <n v="389.84"/>
    <s v="Store D"/>
    <s v="Wholesale"/>
    <x v="0"/>
    <x v="1"/>
    <x v="452"/>
    <x v="1"/>
    <x v="1"/>
    <x v="1"/>
    <s v="REG100452"/>
    <s v="Cust 4164"/>
    <n v="10.24"/>
    <x v="361"/>
    <x v="3"/>
    <d v="2024-02-29T00:00:00"/>
    <s v="Wendy"/>
  </r>
  <r>
    <d v="2024-10-30T00:00:00"/>
    <x v="0"/>
    <x v="3"/>
    <n v="11"/>
    <n v="445.75"/>
    <s v="Store A"/>
    <s v="Wholesale"/>
    <x v="1"/>
    <x v="2"/>
    <x v="453"/>
    <x v="0"/>
    <x v="1"/>
    <x v="0"/>
    <s v="REG100453"/>
    <s v="Cust 9592"/>
    <n v="18.07"/>
    <x v="362"/>
    <x v="50"/>
    <d v="2024-11-07T00:00:00"/>
    <s v="Eric"/>
  </r>
  <r>
    <d v="2024-08-19T00:00:00"/>
    <x v="1"/>
    <x v="0"/>
    <n v="18"/>
    <n v="96.84"/>
    <s v="Store A"/>
    <s v="Wholesale"/>
    <x v="2"/>
    <x v="2"/>
    <x v="454"/>
    <x v="4"/>
    <x v="1"/>
    <x v="1"/>
    <s v="REG100454"/>
    <s v="Cust 7450"/>
    <n v="8.1"/>
    <x v="363"/>
    <x v="48"/>
    <d v="2024-08-23T00:00:00"/>
    <s v="Sophie"/>
  </r>
  <r>
    <d v="2023-07-30T00:00:00"/>
    <x v="3"/>
    <x v="3"/>
    <n v="1"/>
    <n v="528.30999999999995"/>
    <s v="Store C"/>
    <s v="Wholesale"/>
    <x v="1"/>
    <x v="1"/>
    <x v="455"/>
    <x v="0"/>
    <x v="0"/>
    <x v="0"/>
    <s v="REG100455"/>
    <s v="Cust 4186"/>
    <n v="24.55"/>
    <x v="364"/>
    <x v="36"/>
    <d v="2023-08-09T00:00:00"/>
    <s v="Cameron"/>
  </r>
  <r>
    <d v="2024-08-13T00:00:00"/>
    <x v="2"/>
    <x v="4"/>
    <n v="16"/>
    <n v="64.03"/>
    <s v="Store A"/>
    <s v="Wholesale"/>
    <x v="0"/>
    <x v="3"/>
    <x v="456"/>
    <x v="1"/>
    <x v="2"/>
    <x v="1"/>
    <s v="REG100456"/>
    <s v="Cust 3305"/>
    <n v="16.71"/>
    <x v="365"/>
    <x v="45"/>
    <d v="2024-08-23T00:00:00"/>
    <s v="Ryan"/>
  </r>
  <r>
    <d v="2023-11-04T00:00:00"/>
    <x v="2"/>
    <x v="6"/>
    <n v="13"/>
    <n v="179.37"/>
    <s v="Store A"/>
    <s v="Retail"/>
    <x v="3"/>
    <x v="0"/>
    <x v="457"/>
    <x v="0"/>
    <x v="0"/>
    <x v="0"/>
    <s v="REG100457"/>
    <s v="Cust 9768"/>
    <n v="35.28"/>
    <x v="350"/>
    <x v="50"/>
    <d v="2023-11-12T00:00:00"/>
    <s v="Ryan"/>
  </r>
  <r>
    <d v="2025-06-05T00:00:00"/>
    <x v="0"/>
    <x v="6"/>
    <n v="19"/>
    <n v="491.15"/>
    <s v="Store C"/>
    <s v="Retail"/>
    <x v="0"/>
    <x v="2"/>
    <x v="458"/>
    <x v="0"/>
    <x v="3"/>
    <x v="0"/>
    <s v="REG100458"/>
    <s v="Cust 1179"/>
    <n v="48.68"/>
    <x v="20"/>
    <x v="16"/>
    <d v="2025-06-15T00:00:00"/>
    <s v="Eric"/>
  </r>
  <r>
    <d v="2023-06-23T00:00:00"/>
    <x v="2"/>
    <x v="6"/>
    <n v="5"/>
    <n v="360.34"/>
    <s v="Store C"/>
    <s v="Wholesale"/>
    <x v="0"/>
    <x v="3"/>
    <x v="459"/>
    <x v="1"/>
    <x v="3"/>
    <x v="0"/>
    <s v="REG100459"/>
    <s v="Cust 2546"/>
    <n v="33.76"/>
    <x v="366"/>
    <x v="4"/>
    <d v="2023-06-28T00:00:00"/>
    <s v="Ryan"/>
  </r>
  <r>
    <d v="2024-09-21T00:00:00"/>
    <x v="1"/>
    <x v="0"/>
    <n v="20"/>
    <n v="296.8"/>
    <s v="Store A"/>
    <s v="Retail"/>
    <x v="1"/>
    <x v="2"/>
    <x v="460"/>
    <x v="1"/>
    <x v="3"/>
    <x v="0"/>
    <s v="REG100460"/>
    <s v="Cust 2672"/>
    <n v="19.57"/>
    <x v="367"/>
    <x v="46"/>
    <d v="2024-09-28T00:00:00"/>
    <s v="Sophie"/>
  </r>
  <r>
    <d v="2024-01-01T00:00:00"/>
    <x v="1"/>
    <x v="2"/>
    <n v="3"/>
    <n v="599.41999999999996"/>
    <s v="Store A"/>
    <s v="Wholesale"/>
    <x v="1"/>
    <x v="5"/>
    <x v="461"/>
    <x v="0"/>
    <x v="1"/>
    <x v="0"/>
    <s v="REG100461"/>
    <s v="Cust 3394"/>
    <n v="48.02"/>
    <x v="223"/>
    <x v="31"/>
    <d v="2024-01-03T00:00:00"/>
    <s v="Sophie"/>
  </r>
  <r>
    <d v="2025-01-02T00:00:00"/>
    <x v="4"/>
    <x v="0"/>
    <n v="1"/>
    <n v="374.33"/>
    <s v="Store B"/>
    <s v="Wholesale"/>
    <x v="0"/>
    <x v="3"/>
    <x v="462"/>
    <x v="2"/>
    <x v="0"/>
    <x v="0"/>
    <s v="REG100462"/>
    <s v="Cust 1649"/>
    <n v="33.31"/>
    <x v="368"/>
    <x v="31"/>
    <d v="2025-01-12T00:00:00"/>
    <s v="Wendy"/>
  </r>
  <r>
    <d v="2024-03-14T00:00:00"/>
    <x v="2"/>
    <x v="2"/>
    <n v="13"/>
    <n v="588.79999999999995"/>
    <s v="Store D"/>
    <s v="Wholesale"/>
    <x v="2"/>
    <x v="2"/>
    <x v="463"/>
    <x v="4"/>
    <x v="1"/>
    <x v="0"/>
    <s v="REG100463"/>
    <s v="Cust 6994"/>
    <n v="45.03"/>
    <x v="47"/>
    <x v="23"/>
    <d v="2024-03-21T00:00:00"/>
    <s v="Ryan"/>
  </r>
  <r>
    <d v="2024-05-04T00:00:00"/>
    <x v="4"/>
    <x v="4"/>
    <n v="13"/>
    <n v="198.44"/>
    <s v="Store D"/>
    <s v="Wholesale"/>
    <x v="0"/>
    <x v="3"/>
    <x v="464"/>
    <x v="4"/>
    <x v="1"/>
    <x v="1"/>
    <s v="REG100464"/>
    <s v="Cust 9879"/>
    <n v="31.51"/>
    <x v="369"/>
    <x v="40"/>
    <d v="2024-05-09T00:00:00"/>
    <s v="Wendy"/>
  </r>
  <r>
    <d v="2025-02-27T00:00:00"/>
    <x v="1"/>
    <x v="6"/>
    <n v="12"/>
    <n v="384.2"/>
    <s v="Store A"/>
    <s v="Retail"/>
    <x v="0"/>
    <x v="0"/>
    <x v="465"/>
    <x v="4"/>
    <x v="0"/>
    <x v="0"/>
    <s v="REG100465"/>
    <s v="Cust 9069"/>
    <n v="38.99"/>
    <x v="370"/>
    <x v="3"/>
    <d v="2025-03-02T00:00:00"/>
    <s v="Sophie"/>
  </r>
  <r>
    <d v="2024-11-13T00:00:00"/>
    <x v="3"/>
    <x v="1"/>
    <n v="4"/>
    <n v="475.49"/>
    <s v="Store B"/>
    <s v="Wholesale"/>
    <x v="2"/>
    <x v="2"/>
    <x v="466"/>
    <x v="4"/>
    <x v="2"/>
    <x v="0"/>
    <s v="REG100466"/>
    <s v="Cust 3712"/>
    <n v="11.6"/>
    <x v="371"/>
    <x v="38"/>
    <d v="2024-11-17T00:00:00"/>
    <s v="Cameron"/>
  </r>
  <r>
    <d v="2023-10-31T00:00:00"/>
    <x v="4"/>
    <x v="6"/>
    <n v="6"/>
    <n v="202.97"/>
    <s v="Store C"/>
    <s v="Retail"/>
    <x v="1"/>
    <x v="0"/>
    <x v="467"/>
    <x v="1"/>
    <x v="2"/>
    <x v="0"/>
    <s v="REG100467"/>
    <s v="Cust 3829"/>
    <n v="43.55"/>
    <x v="372"/>
    <x v="50"/>
    <d v="2023-11-10T00:00:00"/>
    <s v="Wendy"/>
  </r>
  <r>
    <d v="2023-12-19T00:00:00"/>
    <x v="3"/>
    <x v="5"/>
    <n v="18"/>
    <n v="135.22999999999999"/>
    <s v="Store C"/>
    <s v="Wholesale"/>
    <x v="0"/>
    <x v="4"/>
    <x v="468"/>
    <x v="0"/>
    <x v="2"/>
    <x v="1"/>
    <s v="REG100468"/>
    <s v="Cust 1623"/>
    <n v="46.1"/>
    <x v="373"/>
    <x v="1"/>
    <d v="2023-12-24T00:00:00"/>
    <s v="Cameron"/>
  </r>
  <r>
    <d v="2023-11-27T00:00:00"/>
    <x v="1"/>
    <x v="5"/>
    <n v="20"/>
    <n v="356.4"/>
    <s v="Store C"/>
    <s v="Wholesale"/>
    <x v="3"/>
    <x v="4"/>
    <x v="469"/>
    <x v="4"/>
    <x v="0"/>
    <x v="1"/>
    <s v="REG100469"/>
    <s v="Cust 3532"/>
    <n v="26.7"/>
    <x v="165"/>
    <x v="15"/>
    <d v="2023-12-03T00:00:00"/>
    <s v="Sophie"/>
  </r>
  <r>
    <d v="2023-08-15T00:00:00"/>
    <x v="0"/>
    <x v="0"/>
    <n v="3"/>
    <n v="294.72000000000003"/>
    <s v="Store C"/>
    <s v="Wholesale"/>
    <x v="3"/>
    <x v="1"/>
    <x v="470"/>
    <x v="4"/>
    <x v="1"/>
    <x v="0"/>
    <s v="REG100470"/>
    <s v="Cust 4712"/>
    <n v="45.33"/>
    <x v="374"/>
    <x v="45"/>
    <d v="2023-08-18T00:00:00"/>
    <s v="Eric"/>
  </r>
  <r>
    <d v="2023-01-16T00:00:00"/>
    <x v="4"/>
    <x v="1"/>
    <n v="20"/>
    <n v="553.85"/>
    <s v="Store A"/>
    <s v="Retail"/>
    <x v="0"/>
    <x v="2"/>
    <x v="471"/>
    <x v="4"/>
    <x v="2"/>
    <x v="0"/>
    <s v="REG100471"/>
    <s v="Cust 6211"/>
    <n v="33.21"/>
    <x v="375"/>
    <x v="11"/>
    <d v="2023-01-24T00:00:00"/>
    <s v="Wendy"/>
  </r>
  <r>
    <d v="2025-02-28T00:00:00"/>
    <x v="3"/>
    <x v="5"/>
    <n v="13"/>
    <n v="81.17"/>
    <s v="Store D"/>
    <s v="Retail"/>
    <x v="1"/>
    <x v="2"/>
    <x v="472"/>
    <x v="4"/>
    <x v="1"/>
    <x v="1"/>
    <s v="REG100472"/>
    <s v="Cust 1222"/>
    <n v="48.21"/>
    <x v="376"/>
    <x v="3"/>
    <d v="2025-03-08T00:00:00"/>
    <s v="Cameron"/>
  </r>
  <r>
    <d v="2023-11-28T00:00:00"/>
    <x v="4"/>
    <x v="1"/>
    <n v="2"/>
    <n v="532.51"/>
    <s v="Store B"/>
    <s v="Wholesale"/>
    <x v="0"/>
    <x v="3"/>
    <x v="473"/>
    <x v="2"/>
    <x v="2"/>
    <x v="1"/>
    <s v="REG100473"/>
    <s v="Cust 6208"/>
    <n v="49.67"/>
    <x v="206"/>
    <x v="15"/>
    <d v="2023-12-01T00:00:00"/>
    <s v="Wendy"/>
  </r>
  <r>
    <d v="2023-12-04T00:00:00"/>
    <x v="4"/>
    <x v="6"/>
    <n v="1"/>
    <n v="268.19"/>
    <s v="Store B"/>
    <s v="Wholesale"/>
    <x v="1"/>
    <x v="3"/>
    <x v="474"/>
    <x v="1"/>
    <x v="2"/>
    <x v="0"/>
    <s v="REG100474"/>
    <s v="Cust 5942"/>
    <n v="9.48"/>
    <x v="377"/>
    <x v="21"/>
    <d v="2023-12-13T00:00:00"/>
    <s v="Wendy"/>
  </r>
  <r>
    <d v="2024-06-21T00:00:00"/>
    <x v="1"/>
    <x v="6"/>
    <n v="17"/>
    <n v="432.65"/>
    <s v="Store A"/>
    <s v="Retail"/>
    <x v="2"/>
    <x v="2"/>
    <x v="475"/>
    <x v="4"/>
    <x v="0"/>
    <x v="0"/>
    <s v="REG100475"/>
    <s v="Cust 1745"/>
    <n v="18.850000000000001"/>
    <x v="378"/>
    <x v="4"/>
    <d v="2024-06-29T00:00:00"/>
    <s v="Sophie"/>
  </r>
  <r>
    <d v="2025-03-17T00:00:00"/>
    <x v="0"/>
    <x v="2"/>
    <n v="14"/>
    <n v="123.04"/>
    <s v="Store A"/>
    <s v="Wholesale"/>
    <x v="1"/>
    <x v="4"/>
    <x v="476"/>
    <x v="4"/>
    <x v="2"/>
    <x v="1"/>
    <s v="REG100476"/>
    <s v="Cust 2679"/>
    <n v="43.28"/>
    <x v="253"/>
    <x v="26"/>
    <d v="2025-03-26T00:00:00"/>
    <s v="Eric"/>
  </r>
  <r>
    <d v="2023-08-17T00:00:00"/>
    <x v="3"/>
    <x v="2"/>
    <n v="16"/>
    <n v="454.54"/>
    <s v="Store B"/>
    <s v="Retail"/>
    <x v="1"/>
    <x v="5"/>
    <x v="477"/>
    <x v="0"/>
    <x v="0"/>
    <x v="0"/>
    <s v="REG100477"/>
    <s v="Cust 9907"/>
    <n v="20.55"/>
    <x v="379"/>
    <x v="45"/>
    <d v="2023-08-19T00:00:00"/>
    <s v="Cameron"/>
  </r>
  <r>
    <d v="2023-08-30T00:00:00"/>
    <x v="3"/>
    <x v="4"/>
    <n v="11"/>
    <n v="414.58"/>
    <s v="Store D"/>
    <s v="Wholesale"/>
    <x v="3"/>
    <x v="4"/>
    <x v="478"/>
    <x v="4"/>
    <x v="2"/>
    <x v="0"/>
    <s v="REG100478"/>
    <s v="Cust 5750"/>
    <n v="25.33"/>
    <x v="286"/>
    <x v="44"/>
    <d v="2023-09-05T00:00:00"/>
    <s v="Cameron"/>
  </r>
  <r>
    <d v="2025-06-16T00:00:00"/>
    <x v="0"/>
    <x v="1"/>
    <n v="9"/>
    <n v="352.91"/>
    <s v="Store B"/>
    <s v="Wholesale"/>
    <x v="1"/>
    <x v="5"/>
    <x v="479"/>
    <x v="4"/>
    <x v="0"/>
    <x v="0"/>
    <s v="REG100479"/>
    <s v="Cust 5717"/>
    <n v="30.57"/>
    <x v="26"/>
    <x v="4"/>
    <d v="2025-06-18T00:00:00"/>
    <s v="Eric"/>
  </r>
  <r>
    <d v="2023-06-29T00:00:00"/>
    <x v="2"/>
    <x v="3"/>
    <n v="10"/>
    <n v="126.46"/>
    <s v="Store A"/>
    <s v="Retail"/>
    <x v="1"/>
    <x v="0"/>
    <x v="480"/>
    <x v="0"/>
    <x v="2"/>
    <x v="0"/>
    <s v="REG100480"/>
    <s v="Cust 7995"/>
    <n v="26.96"/>
    <x v="380"/>
    <x v="28"/>
    <d v="2023-07-09T00:00:00"/>
    <s v="Ryan"/>
  </r>
  <r>
    <d v="2023-08-13T00:00:00"/>
    <x v="2"/>
    <x v="4"/>
    <n v="7"/>
    <n v="125.02"/>
    <s v="Store D"/>
    <s v="Wholesale"/>
    <x v="0"/>
    <x v="3"/>
    <x v="481"/>
    <x v="2"/>
    <x v="0"/>
    <x v="0"/>
    <s v="REG100481"/>
    <s v="Cust 5572"/>
    <n v="12.45"/>
    <x v="381"/>
    <x v="45"/>
    <d v="2023-08-20T00:00:00"/>
    <s v="Ryan"/>
  </r>
  <r>
    <d v="2024-04-29T00:00:00"/>
    <x v="4"/>
    <x v="5"/>
    <n v="20"/>
    <n v="367.24"/>
    <s v="Store A"/>
    <s v="Wholesale"/>
    <x v="3"/>
    <x v="3"/>
    <x v="482"/>
    <x v="1"/>
    <x v="0"/>
    <x v="0"/>
    <s v="REG100482"/>
    <s v="Cust 1721"/>
    <n v="45.67"/>
    <x v="131"/>
    <x v="40"/>
    <d v="2024-05-07T00:00:00"/>
    <s v="Wendy"/>
  </r>
  <r>
    <d v="2023-07-15T00:00:00"/>
    <x v="4"/>
    <x v="4"/>
    <n v="8"/>
    <n v="432.12"/>
    <s v="Store B"/>
    <s v="Retail"/>
    <x v="0"/>
    <x v="4"/>
    <x v="483"/>
    <x v="2"/>
    <x v="2"/>
    <x v="0"/>
    <s v="REG100483"/>
    <s v="Cust 2641"/>
    <n v="42.1"/>
    <x v="382"/>
    <x v="9"/>
    <d v="2023-07-25T00:00:00"/>
    <s v="Wendy"/>
  </r>
  <r>
    <d v="2025-01-17T00:00:00"/>
    <x v="2"/>
    <x v="5"/>
    <n v="3"/>
    <n v="13.33"/>
    <s v="Store D"/>
    <s v="Retail"/>
    <x v="1"/>
    <x v="0"/>
    <x v="484"/>
    <x v="4"/>
    <x v="1"/>
    <x v="0"/>
    <s v="REG100484"/>
    <s v="Cust 9769"/>
    <n v="17.62"/>
    <x v="50"/>
    <x v="11"/>
    <d v="2025-01-23T00:00:00"/>
    <s v="Ryan"/>
  </r>
  <r>
    <d v="2025-02-21T00:00:00"/>
    <x v="0"/>
    <x v="6"/>
    <n v="13"/>
    <n v="105.93"/>
    <s v="Store C"/>
    <s v="Retail"/>
    <x v="0"/>
    <x v="5"/>
    <x v="485"/>
    <x v="3"/>
    <x v="0"/>
    <x v="0"/>
    <s v="REG100485"/>
    <s v="Cust 1718"/>
    <n v="38.96"/>
    <x v="383"/>
    <x v="0"/>
    <d v="2025-03-03T00:00:00"/>
    <s v="Eric"/>
  </r>
  <r>
    <d v="2023-07-19T00:00:00"/>
    <x v="4"/>
    <x v="4"/>
    <n v="20"/>
    <n v="526.54999999999995"/>
    <s v="Store A"/>
    <s v="Wholesale"/>
    <x v="0"/>
    <x v="1"/>
    <x v="486"/>
    <x v="3"/>
    <x v="0"/>
    <x v="1"/>
    <s v="REG100486"/>
    <s v="Cust 1210"/>
    <n v="25.64"/>
    <x v="384"/>
    <x v="10"/>
    <d v="2023-07-26T00:00:00"/>
    <s v="Wendy"/>
  </r>
  <r>
    <d v="2024-09-29T00:00:00"/>
    <x v="4"/>
    <x v="1"/>
    <n v="11"/>
    <n v="339.78"/>
    <s v="Store A"/>
    <s v="Retail"/>
    <x v="3"/>
    <x v="4"/>
    <x v="487"/>
    <x v="3"/>
    <x v="2"/>
    <x v="1"/>
    <s v="REG100487"/>
    <s v="Cust 7710"/>
    <n v="11.56"/>
    <x v="385"/>
    <x v="35"/>
    <d v="2024-10-06T00:00:00"/>
    <s v="Wendy"/>
  </r>
  <r>
    <d v="2024-10-17T00:00:00"/>
    <x v="0"/>
    <x v="0"/>
    <n v="10"/>
    <n v="91.75"/>
    <s v="Store D"/>
    <s v="Wholesale"/>
    <x v="2"/>
    <x v="2"/>
    <x v="488"/>
    <x v="4"/>
    <x v="2"/>
    <x v="0"/>
    <s v="REG100488"/>
    <s v="Cust 1428"/>
    <n v="37.270000000000003"/>
    <x v="386"/>
    <x v="6"/>
    <d v="2024-10-21T00:00:00"/>
    <s v="Eric"/>
  </r>
  <r>
    <d v="2025-06-11T00:00:00"/>
    <x v="0"/>
    <x v="1"/>
    <n v="15"/>
    <n v="13.66"/>
    <s v="Store B"/>
    <s v="Retail"/>
    <x v="1"/>
    <x v="1"/>
    <x v="489"/>
    <x v="3"/>
    <x v="0"/>
    <x v="0"/>
    <s v="REG100489"/>
    <s v="Cust 2810"/>
    <n v="38.04"/>
    <x v="54"/>
    <x v="33"/>
    <d v="2025-06-17T00:00:00"/>
    <s v="Eric"/>
  </r>
  <r>
    <d v="2024-01-19T00:00:00"/>
    <x v="4"/>
    <x v="2"/>
    <n v="6"/>
    <n v="148.22999999999999"/>
    <s v="Store B"/>
    <s v="Retail"/>
    <x v="1"/>
    <x v="0"/>
    <x v="490"/>
    <x v="2"/>
    <x v="0"/>
    <x v="0"/>
    <s v="REG100490"/>
    <s v="Cust 2234"/>
    <n v="19.579999999999998"/>
    <x v="387"/>
    <x v="11"/>
    <d v="2024-01-29T00:00:00"/>
    <s v="Wendy"/>
  </r>
  <r>
    <d v="2023-12-03T00:00:00"/>
    <x v="0"/>
    <x v="3"/>
    <n v="11"/>
    <n v="495.03"/>
    <s v="Store D"/>
    <s v="Wholesale"/>
    <x v="2"/>
    <x v="2"/>
    <x v="491"/>
    <x v="4"/>
    <x v="2"/>
    <x v="0"/>
    <s v="REG100491"/>
    <s v="Cust 9602"/>
    <n v="27.37"/>
    <x v="388"/>
    <x v="21"/>
    <d v="2023-12-05T00:00:00"/>
    <s v="Eric"/>
  </r>
  <r>
    <d v="2024-06-19T00:00:00"/>
    <x v="3"/>
    <x v="3"/>
    <n v="6"/>
    <n v="247.2"/>
    <s v="Store A"/>
    <s v="Wholesale"/>
    <x v="3"/>
    <x v="4"/>
    <x v="492"/>
    <x v="2"/>
    <x v="0"/>
    <x v="0"/>
    <s v="REG100492"/>
    <s v="Cust 2546"/>
    <n v="18.75"/>
    <x v="389"/>
    <x v="4"/>
    <d v="2024-06-27T00:00:00"/>
    <s v="Cameron"/>
  </r>
  <r>
    <d v="2024-10-16T00:00:00"/>
    <x v="4"/>
    <x v="5"/>
    <n v="19"/>
    <n v="207.45"/>
    <s v="Store C"/>
    <s v="Retail"/>
    <x v="3"/>
    <x v="5"/>
    <x v="493"/>
    <x v="3"/>
    <x v="1"/>
    <x v="0"/>
    <s v="REG100493"/>
    <s v="Cust 5032"/>
    <n v="11.5"/>
    <x v="8"/>
    <x v="6"/>
    <d v="2024-10-21T00:00:00"/>
    <s v="Wendy"/>
  </r>
  <r>
    <d v="2025-01-23T00:00:00"/>
    <x v="0"/>
    <x v="0"/>
    <n v="2"/>
    <n v="370.78"/>
    <s v="Store D"/>
    <s v="Wholesale"/>
    <x v="2"/>
    <x v="4"/>
    <x v="494"/>
    <x v="0"/>
    <x v="0"/>
    <x v="0"/>
    <s v="REG100494"/>
    <s v="Cust 4297"/>
    <n v="20.45"/>
    <x v="187"/>
    <x v="34"/>
    <d v="2025-01-27T00:00:00"/>
    <s v="Eric"/>
  </r>
  <r>
    <d v="2023-10-02T00:00:00"/>
    <x v="3"/>
    <x v="0"/>
    <n v="9"/>
    <n v="146.72"/>
    <s v="Store A"/>
    <s v="Wholesale"/>
    <x v="1"/>
    <x v="4"/>
    <x v="495"/>
    <x v="2"/>
    <x v="3"/>
    <x v="0"/>
    <s v="REG100495"/>
    <s v="Cust 6944"/>
    <n v="10.45"/>
    <x v="390"/>
    <x v="35"/>
    <d v="2023-10-10T00:00:00"/>
    <s v="Cameron"/>
  </r>
  <r>
    <d v="2023-11-05T00:00:00"/>
    <x v="0"/>
    <x v="2"/>
    <n v="12"/>
    <n v="159.85"/>
    <s v="Store D"/>
    <s v="Retail"/>
    <x v="1"/>
    <x v="1"/>
    <x v="496"/>
    <x v="4"/>
    <x v="2"/>
    <x v="0"/>
    <s v="REG100496"/>
    <s v="Cust 4136"/>
    <n v="32.61"/>
    <x v="321"/>
    <x v="47"/>
    <d v="2023-11-07T00:00:00"/>
    <s v="Eric"/>
  </r>
  <r>
    <d v="2023-06-18T00:00:00"/>
    <x v="1"/>
    <x v="6"/>
    <n v="13"/>
    <n v="181.68"/>
    <s v="Store C"/>
    <s v="Wholesale"/>
    <x v="3"/>
    <x v="4"/>
    <x v="497"/>
    <x v="1"/>
    <x v="1"/>
    <x v="0"/>
    <s v="REG100497"/>
    <s v="Cust 7460"/>
    <n v="14.69"/>
    <x v="391"/>
    <x v="4"/>
    <d v="2023-06-23T00:00:00"/>
    <s v="Sophie"/>
  </r>
  <r>
    <d v="2024-07-15T00:00:00"/>
    <x v="3"/>
    <x v="1"/>
    <n v="16"/>
    <n v="34.159999999999997"/>
    <s v="Store A"/>
    <s v="Retail"/>
    <x v="2"/>
    <x v="5"/>
    <x v="498"/>
    <x v="4"/>
    <x v="1"/>
    <x v="0"/>
    <s v="REG100498"/>
    <s v="Cust 3960"/>
    <n v="36.33"/>
    <x v="236"/>
    <x v="10"/>
    <d v="2024-07-21T00:00:00"/>
    <s v="Cameron"/>
  </r>
  <r>
    <d v="2024-06-14T00:00:00"/>
    <x v="3"/>
    <x v="0"/>
    <n v="2"/>
    <n v="287.43"/>
    <s v="Store C"/>
    <s v="Wholesale"/>
    <x v="1"/>
    <x v="4"/>
    <x v="499"/>
    <x v="4"/>
    <x v="2"/>
    <x v="0"/>
    <s v="REG100499"/>
    <s v="Cust 5530"/>
    <n v="25.34"/>
    <x v="392"/>
    <x v="33"/>
    <d v="2024-06-23T00:00:00"/>
    <s v="Cameron"/>
  </r>
  <r>
    <d v="2024-04-05T00:00:00"/>
    <x v="0"/>
    <x v="4"/>
    <n v="15"/>
    <n v="405.95"/>
    <s v="Store D"/>
    <s v="Wholesale"/>
    <x v="2"/>
    <x v="0"/>
    <x v="500"/>
    <x v="1"/>
    <x v="3"/>
    <x v="0"/>
    <s v="REG100500"/>
    <s v="Cust 3160"/>
    <n v="32.04"/>
    <x v="393"/>
    <x v="24"/>
    <d v="2024-04-10T00:00:00"/>
    <s v="Eric"/>
  </r>
  <r>
    <d v="2023-02-27T00:00:00"/>
    <x v="2"/>
    <x v="0"/>
    <n v="1"/>
    <n v="430.61"/>
    <s v="Store B"/>
    <s v="Retail"/>
    <x v="0"/>
    <x v="1"/>
    <x v="501"/>
    <x v="1"/>
    <x v="2"/>
    <x v="0"/>
    <s v="REG100501"/>
    <s v="Cust 9641"/>
    <n v="14.53"/>
    <x v="274"/>
    <x v="3"/>
    <d v="2023-03-07T00:00:00"/>
    <s v="Ryan"/>
  </r>
  <r>
    <d v="2023-07-31T00:00:00"/>
    <x v="4"/>
    <x v="0"/>
    <n v="5"/>
    <n v="508.05"/>
    <s v="Store D"/>
    <s v="Retail"/>
    <x v="0"/>
    <x v="2"/>
    <x v="502"/>
    <x v="2"/>
    <x v="2"/>
    <x v="1"/>
    <s v="REG100502"/>
    <s v="Cust 9742"/>
    <n v="35.630000000000003"/>
    <x v="65"/>
    <x v="36"/>
    <d v="2023-08-09T00:00:00"/>
    <s v="Wendy"/>
  </r>
  <r>
    <d v="2023-03-03T00:00:00"/>
    <x v="4"/>
    <x v="0"/>
    <n v="13"/>
    <n v="522.97"/>
    <s v="Store C"/>
    <s v="Retail"/>
    <x v="2"/>
    <x v="3"/>
    <x v="503"/>
    <x v="3"/>
    <x v="0"/>
    <x v="0"/>
    <s v="REG100503"/>
    <s v="Cust 1144"/>
    <n v="33.9"/>
    <x v="21"/>
    <x v="3"/>
    <d v="2023-03-10T00:00:00"/>
    <s v="Wendy"/>
  </r>
  <r>
    <d v="2023-04-26T00:00:00"/>
    <x v="1"/>
    <x v="0"/>
    <n v="17"/>
    <n v="260.25"/>
    <s v="Store D"/>
    <s v="Wholesale"/>
    <x v="1"/>
    <x v="2"/>
    <x v="504"/>
    <x v="2"/>
    <x v="1"/>
    <x v="0"/>
    <s v="REG100504"/>
    <s v="Cust 2936"/>
    <n v="23.26"/>
    <x v="394"/>
    <x v="42"/>
    <d v="2023-04-28T00:00:00"/>
    <s v="Sophie"/>
  </r>
  <r>
    <d v="2024-10-19T00:00:00"/>
    <x v="0"/>
    <x v="1"/>
    <n v="6"/>
    <n v="549.21"/>
    <s v="Store B"/>
    <s v="Retail"/>
    <x v="1"/>
    <x v="0"/>
    <x v="505"/>
    <x v="2"/>
    <x v="2"/>
    <x v="1"/>
    <s v="REG100505"/>
    <s v="Cust 3035"/>
    <n v="12.29"/>
    <x v="272"/>
    <x v="6"/>
    <d v="2024-10-27T00:00:00"/>
    <s v="Eric"/>
  </r>
  <r>
    <d v="2024-06-30T00:00:00"/>
    <x v="3"/>
    <x v="6"/>
    <n v="17"/>
    <n v="472.33"/>
    <s v="Store C"/>
    <s v="Retail"/>
    <x v="2"/>
    <x v="3"/>
    <x v="506"/>
    <x v="3"/>
    <x v="2"/>
    <x v="0"/>
    <s v="REG100506"/>
    <s v="Cust 1717"/>
    <n v="22.63"/>
    <x v="261"/>
    <x v="49"/>
    <d v="2024-07-04T00:00:00"/>
    <s v="Cameron"/>
  </r>
  <r>
    <d v="2024-10-11T00:00:00"/>
    <x v="4"/>
    <x v="0"/>
    <n v="9"/>
    <n v="596.83000000000004"/>
    <s v="Store A"/>
    <s v="Retail"/>
    <x v="0"/>
    <x v="0"/>
    <x v="507"/>
    <x v="4"/>
    <x v="2"/>
    <x v="0"/>
    <s v="REG100507"/>
    <s v="Cust 4456"/>
    <n v="6.43"/>
    <x v="395"/>
    <x v="51"/>
    <d v="2024-10-19T00:00:00"/>
    <s v="Wendy"/>
  </r>
  <r>
    <d v="2025-06-14T00:00:00"/>
    <x v="3"/>
    <x v="4"/>
    <n v="15"/>
    <n v="154.04"/>
    <s v="Store D"/>
    <s v="Retail"/>
    <x v="1"/>
    <x v="1"/>
    <x v="508"/>
    <x v="4"/>
    <x v="0"/>
    <x v="1"/>
    <s v="REG100508"/>
    <s v="Cust 6435"/>
    <n v="24.53"/>
    <x v="396"/>
    <x v="33"/>
    <d v="2025-06-23T00:00:00"/>
    <s v="Cameron"/>
  </r>
  <r>
    <d v="2024-12-22T00:00:00"/>
    <x v="0"/>
    <x v="0"/>
    <n v="18"/>
    <n v="500.44"/>
    <s v="Store D"/>
    <s v="Wholesale"/>
    <x v="1"/>
    <x v="5"/>
    <x v="509"/>
    <x v="2"/>
    <x v="3"/>
    <x v="0"/>
    <s v="REG100509"/>
    <s v="Cust 9352"/>
    <n v="8.8699999999999992"/>
    <x v="397"/>
    <x v="37"/>
    <d v="2024-12-30T00:00:00"/>
    <s v="Eric"/>
  </r>
  <r>
    <d v="2024-04-22T00:00:00"/>
    <x v="4"/>
    <x v="5"/>
    <n v="5"/>
    <n v="382.17"/>
    <s v="Store C"/>
    <s v="Wholesale"/>
    <x v="0"/>
    <x v="4"/>
    <x v="510"/>
    <x v="2"/>
    <x v="0"/>
    <x v="0"/>
    <s v="REG100510"/>
    <s v="Cust 6746"/>
    <n v="17.72"/>
    <x v="398"/>
    <x v="42"/>
    <d v="2024-04-25T00:00:00"/>
    <s v="Wendy"/>
  </r>
  <r>
    <d v="2025-01-25T00:00:00"/>
    <x v="2"/>
    <x v="3"/>
    <n v="3"/>
    <n v="365.54"/>
    <s v="Store B"/>
    <s v="Retail"/>
    <x v="2"/>
    <x v="2"/>
    <x v="511"/>
    <x v="0"/>
    <x v="3"/>
    <x v="0"/>
    <s v="REG100511"/>
    <s v="Cust 8189"/>
    <n v="45.89"/>
    <x v="59"/>
    <x v="34"/>
    <d v="2025-01-29T00:00:00"/>
    <s v="Ryan"/>
  </r>
  <r>
    <d v="2024-11-13T00:00:00"/>
    <x v="2"/>
    <x v="0"/>
    <n v="5"/>
    <n v="270.13"/>
    <s v="Store C"/>
    <s v="Retail"/>
    <x v="2"/>
    <x v="0"/>
    <x v="512"/>
    <x v="2"/>
    <x v="3"/>
    <x v="0"/>
    <s v="REG100512"/>
    <s v="Cust 8470"/>
    <n v="15.74"/>
    <x v="371"/>
    <x v="38"/>
    <d v="2024-11-19T00:00:00"/>
    <s v="Ryan"/>
  </r>
  <r>
    <d v="2023-03-16T00:00:00"/>
    <x v="0"/>
    <x v="5"/>
    <n v="2"/>
    <n v="480.15"/>
    <s v="Store D"/>
    <s v="Retail"/>
    <x v="2"/>
    <x v="4"/>
    <x v="513"/>
    <x v="0"/>
    <x v="3"/>
    <x v="0"/>
    <s v="REG100513"/>
    <s v="Cust 1044"/>
    <n v="42.07"/>
    <x v="399"/>
    <x v="23"/>
    <d v="2023-03-21T00:00:00"/>
    <s v="Eric"/>
  </r>
  <r>
    <d v="2023-05-06T00:00:00"/>
    <x v="2"/>
    <x v="0"/>
    <n v="18"/>
    <n v="414.77"/>
    <s v="Store C"/>
    <s v="Wholesale"/>
    <x v="1"/>
    <x v="0"/>
    <x v="514"/>
    <x v="2"/>
    <x v="3"/>
    <x v="1"/>
    <s v="REG100514"/>
    <s v="Cust 4010"/>
    <n v="28.55"/>
    <x v="400"/>
    <x v="40"/>
    <d v="2023-05-15T00:00:00"/>
    <s v="Ryan"/>
  </r>
  <r>
    <d v="2024-11-15T00:00:00"/>
    <x v="0"/>
    <x v="4"/>
    <n v="10"/>
    <n v="98.24"/>
    <s v="Store C"/>
    <s v="Wholesale"/>
    <x v="0"/>
    <x v="2"/>
    <x v="515"/>
    <x v="2"/>
    <x v="0"/>
    <x v="1"/>
    <s v="REG100515"/>
    <s v="Cust 1385"/>
    <n v="21.01"/>
    <x v="67"/>
    <x v="38"/>
    <d v="2024-11-17T00:00:00"/>
    <s v="Eric"/>
  </r>
  <r>
    <d v="2024-06-28T00:00:00"/>
    <x v="3"/>
    <x v="0"/>
    <n v="6"/>
    <n v="227.6"/>
    <s v="Store D"/>
    <s v="Retail"/>
    <x v="3"/>
    <x v="3"/>
    <x v="516"/>
    <x v="3"/>
    <x v="0"/>
    <x v="0"/>
    <s v="REG100516"/>
    <s v="Cust 1904"/>
    <n v="38.22"/>
    <x v="163"/>
    <x v="28"/>
    <d v="2024-07-05T00:00:00"/>
    <s v="Cameron"/>
  </r>
  <r>
    <d v="2025-05-11T00:00:00"/>
    <x v="3"/>
    <x v="4"/>
    <n v="5"/>
    <n v="136.13"/>
    <s v="Store C"/>
    <s v="Retail"/>
    <x v="2"/>
    <x v="3"/>
    <x v="517"/>
    <x v="0"/>
    <x v="3"/>
    <x v="0"/>
    <s v="REG100517"/>
    <s v="Cust 6034"/>
    <n v="10.02"/>
    <x v="15"/>
    <x v="13"/>
    <d v="2025-05-20T00:00:00"/>
    <s v="Cameron"/>
  </r>
  <r>
    <d v="2023-02-26T00:00:00"/>
    <x v="3"/>
    <x v="5"/>
    <n v="5"/>
    <n v="489.13"/>
    <s v="Store C"/>
    <s v="Retail"/>
    <x v="1"/>
    <x v="4"/>
    <x v="518"/>
    <x v="1"/>
    <x v="0"/>
    <x v="0"/>
    <s v="REG100518"/>
    <s v="Cust 9239"/>
    <n v="44.73"/>
    <x v="16"/>
    <x v="3"/>
    <d v="2023-03-04T00:00:00"/>
    <s v="Cameron"/>
  </r>
  <r>
    <d v="2024-04-30T00:00:00"/>
    <x v="1"/>
    <x v="0"/>
    <n v="4"/>
    <n v="414.36"/>
    <s v="Store A"/>
    <s v="Retail"/>
    <x v="0"/>
    <x v="5"/>
    <x v="519"/>
    <x v="3"/>
    <x v="0"/>
    <x v="0"/>
    <s v="REG100519"/>
    <s v="Cust 5678"/>
    <n v="8.02"/>
    <x v="401"/>
    <x v="40"/>
    <d v="2024-05-07T00:00:00"/>
    <s v="Sophie"/>
  </r>
  <r>
    <d v="2025-03-11T00:00:00"/>
    <x v="0"/>
    <x v="0"/>
    <n v="6"/>
    <n v="138.26"/>
    <s v="Store B"/>
    <s v="Retail"/>
    <x v="2"/>
    <x v="0"/>
    <x v="520"/>
    <x v="0"/>
    <x v="3"/>
    <x v="1"/>
    <s v="REG100520"/>
    <s v="Cust 3696"/>
    <n v="31.4"/>
    <x v="402"/>
    <x v="23"/>
    <d v="2025-03-13T00:00:00"/>
    <s v="Eric"/>
  </r>
  <r>
    <d v="2025-06-30T00:00:00"/>
    <x v="0"/>
    <x v="1"/>
    <n v="12"/>
    <n v="487.57"/>
    <s v="Store A"/>
    <s v="Wholesale"/>
    <x v="3"/>
    <x v="0"/>
    <x v="521"/>
    <x v="4"/>
    <x v="3"/>
    <x v="0"/>
    <s v="REG100521"/>
    <s v="Cust 9025"/>
    <n v="37.33"/>
    <x v="148"/>
    <x v="49"/>
    <d v="2025-07-10T00:00:00"/>
    <s v="Eric"/>
  </r>
  <r>
    <d v="2024-06-02T00:00:00"/>
    <x v="2"/>
    <x v="3"/>
    <n v="20"/>
    <n v="427.3"/>
    <s v="Store C"/>
    <s v="Wholesale"/>
    <x v="3"/>
    <x v="2"/>
    <x v="522"/>
    <x v="1"/>
    <x v="0"/>
    <x v="1"/>
    <s v="REG100522"/>
    <s v="Cust 9924"/>
    <n v="25.19"/>
    <x v="403"/>
    <x v="16"/>
    <d v="2024-06-08T00:00:00"/>
    <s v="Ryan"/>
  </r>
  <r>
    <d v="2024-09-01T00:00:00"/>
    <x v="1"/>
    <x v="0"/>
    <n v="16"/>
    <n v="588.91999999999996"/>
    <s v="Store D"/>
    <s v="Wholesale"/>
    <x v="2"/>
    <x v="1"/>
    <x v="523"/>
    <x v="4"/>
    <x v="0"/>
    <x v="0"/>
    <s v="REG100523"/>
    <s v="Cust 3887"/>
    <n v="7.89"/>
    <x v="404"/>
    <x v="25"/>
    <d v="2024-09-05T00:00:00"/>
    <s v="Sophie"/>
  </r>
  <r>
    <d v="2025-01-11T00:00:00"/>
    <x v="1"/>
    <x v="0"/>
    <n v="6"/>
    <n v="429.45"/>
    <s v="Store B"/>
    <s v="Retail"/>
    <x v="1"/>
    <x v="1"/>
    <x v="524"/>
    <x v="4"/>
    <x v="3"/>
    <x v="0"/>
    <s v="REG100524"/>
    <s v="Cust 5302"/>
    <n v="47.18"/>
    <x v="405"/>
    <x v="5"/>
    <d v="2025-01-18T00:00:00"/>
    <s v="Sophie"/>
  </r>
  <r>
    <d v="2025-03-31T00:00:00"/>
    <x v="1"/>
    <x v="1"/>
    <n v="1"/>
    <n v="476"/>
    <s v="Store A"/>
    <s v="Wholesale"/>
    <x v="2"/>
    <x v="3"/>
    <x v="525"/>
    <x v="4"/>
    <x v="0"/>
    <x v="0"/>
    <s v="REG100525"/>
    <s v="Cust 2290"/>
    <n v="18.95"/>
    <x v="314"/>
    <x v="24"/>
    <d v="2025-04-03T00:00:00"/>
    <s v="Sophie"/>
  </r>
  <r>
    <d v="2024-11-28T00:00:00"/>
    <x v="1"/>
    <x v="1"/>
    <n v="13"/>
    <n v="141.26"/>
    <s v="Store B"/>
    <s v="Retail"/>
    <x v="0"/>
    <x v="2"/>
    <x v="526"/>
    <x v="0"/>
    <x v="3"/>
    <x v="0"/>
    <s v="REG100526"/>
    <s v="Cust 2227"/>
    <n v="23.68"/>
    <x v="406"/>
    <x v="15"/>
    <d v="2024-12-05T00:00:00"/>
    <s v="Sophie"/>
  </r>
  <r>
    <d v="2023-07-05T00:00:00"/>
    <x v="2"/>
    <x v="3"/>
    <n v="3"/>
    <n v="250.65"/>
    <s v="Store D"/>
    <s v="Retail"/>
    <x v="2"/>
    <x v="0"/>
    <x v="527"/>
    <x v="2"/>
    <x v="1"/>
    <x v="0"/>
    <s v="REG100527"/>
    <s v="Cust 1726"/>
    <n v="44.46"/>
    <x v="407"/>
    <x v="49"/>
    <d v="2023-07-07T00:00:00"/>
    <s v="Ryan"/>
  </r>
  <r>
    <d v="2024-10-24T00:00:00"/>
    <x v="4"/>
    <x v="4"/>
    <n v="19"/>
    <n v="301.17"/>
    <s v="Store D"/>
    <s v="Retail"/>
    <x v="3"/>
    <x v="1"/>
    <x v="528"/>
    <x v="3"/>
    <x v="2"/>
    <x v="0"/>
    <s v="REG100528"/>
    <s v="Cust 9874"/>
    <n v="5.71"/>
    <x v="408"/>
    <x v="19"/>
    <d v="2024-11-03T00:00:00"/>
    <s v="Wendy"/>
  </r>
  <r>
    <d v="2025-04-08T00:00:00"/>
    <x v="2"/>
    <x v="3"/>
    <n v="7"/>
    <n v="30.79"/>
    <s v="Store C"/>
    <s v="Retail"/>
    <x v="1"/>
    <x v="5"/>
    <x v="529"/>
    <x v="4"/>
    <x v="2"/>
    <x v="1"/>
    <s v="REG100529"/>
    <s v="Cust 1774"/>
    <n v="11.39"/>
    <x v="409"/>
    <x v="8"/>
    <d v="2025-04-16T00:00:00"/>
    <s v="Ryan"/>
  </r>
  <r>
    <d v="2024-06-05T00:00:00"/>
    <x v="0"/>
    <x v="0"/>
    <n v="1"/>
    <n v="561.6"/>
    <s v="Store A"/>
    <s v="Wholesale"/>
    <x v="2"/>
    <x v="1"/>
    <x v="530"/>
    <x v="3"/>
    <x v="1"/>
    <x v="0"/>
    <s v="REG100530"/>
    <s v="Cust 2414"/>
    <n v="38.020000000000003"/>
    <x v="410"/>
    <x v="16"/>
    <d v="2024-06-10T00:00:00"/>
    <s v="Eric"/>
  </r>
  <r>
    <d v="2025-01-23T00:00:00"/>
    <x v="4"/>
    <x v="1"/>
    <n v="16"/>
    <n v="193.7"/>
    <s v="Store A"/>
    <s v="Retail"/>
    <x v="2"/>
    <x v="5"/>
    <x v="531"/>
    <x v="2"/>
    <x v="1"/>
    <x v="0"/>
    <s v="REG100531"/>
    <s v="Cust 6534"/>
    <n v="6.83"/>
    <x v="187"/>
    <x v="34"/>
    <d v="2025-01-29T00:00:00"/>
    <s v="Wendy"/>
  </r>
  <r>
    <d v="2024-11-04T00:00:00"/>
    <x v="3"/>
    <x v="5"/>
    <n v="17"/>
    <n v="310.02999999999997"/>
    <s v="Store D"/>
    <s v="Retail"/>
    <x v="3"/>
    <x v="3"/>
    <x v="532"/>
    <x v="0"/>
    <x v="0"/>
    <x v="0"/>
    <s v="REG100532"/>
    <s v="Cust 3170"/>
    <n v="8.06"/>
    <x v="208"/>
    <x v="47"/>
    <d v="2024-11-12T00:00:00"/>
    <s v="Cameron"/>
  </r>
  <r>
    <d v="2024-01-01T00:00:00"/>
    <x v="4"/>
    <x v="6"/>
    <n v="13"/>
    <n v="204.67"/>
    <s v="Store A"/>
    <s v="Retail"/>
    <x v="2"/>
    <x v="1"/>
    <x v="533"/>
    <x v="0"/>
    <x v="3"/>
    <x v="0"/>
    <s v="REG100533"/>
    <s v="Cust 5438"/>
    <n v="6.76"/>
    <x v="223"/>
    <x v="31"/>
    <d v="2024-01-05T00:00:00"/>
    <s v="Wendy"/>
  </r>
  <r>
    <d v="2024-04-09T00:00:00"/>
    <x v="3"/>
    <x v="6"/>
    <n v="3"/>
    <n v="250.11"/>
    <s v="Store D"/>
    <s v="Wholesale"/>
    <x v="0"/>
    <x v="1"/>
    <x v="534"/>
    <x v="1"/>
    <x v="0"/>
    <x v="0"/>
    <s v="REG100534"/>
    <s v="Cust 2670"/>
    <n v="36.35"/>
    <x v="173"/>
    <x v="8"/>
    <d v="2024-04-17T00:00:00"/>
    <s v="Cameron"/>
  </r>
  <r>
    <d v="2025-01-17T00:00:00"/>
    <x v="2"/>
    <x v="2"/>
    <n v="12"/>
    <n v="526.82000000000005"/>
    <s v="Store A"/>
    <s v="Retail"/>
    <x v="0"/>
    <x v="2"/>
    <x v="535"/>
    <x v="2"/>
    <x v="2"/>
    <x v="0"/>
    <s v="REG100535"/>
    <s v="Cust 8949"/>
    <n v="29.75"/>
    <x v="50"/>
    <x v="11"/>
    <d v="2025-01-25T00:00:00"/>
    <s v="Ryan"/>
  </r>
  <r>
    <d v="2024-09-22T00:00:00"/>
    <x v="0"/>
    <x v="3"/>
    <n v="18"/>
    <n v="575.1"/>
    <s v="Store D"/>
    <s v="Wholesale"/>
    <x v="0"/>
    <x v="5"/>
    <x v="536"/>
    <x v="0"/>
    <x v="0"/>
    <x v="0"/>
    <s v="REG100536"/>
    <s v="Cust 9748"/>
    <n v="35.32"/>
    <x v="309"/>
    <x v="39"/>
    <d v="2024-09-29T00:00:00"/>
    <s v="Eric"/>
  </r>
  <r>
    <d v="2023-01-20T00:00:00"/>
    <x v="0"/>
    <x v="4"/>
    <n v="8"/>
    <n v="325.52"/>
    <s v="Store C"/>
    <s v="Retail"/>
    <x v="1"/>
    <x v="2"/>
    <x v="537"/>
    <x v="3"/>
    <x v="2"/>
    <x v="0"/>
    <s v="REG100537"/>
    <s v="Cust 1220"/>
    <n v="45.59"/>
    <x v="411"/>
    <x v="11"/>
    <d v="2023-01-25T00:00:00"/>
    <s v="Eric"/>
  </r>
  <r>
    <d v="2024-01-12T00:00:00"/>
    <x v="2"/>
    <x v="4"/>
    <n v="14"/>
    <n v="157.13999999999999"/>
    <s v="Store A"/>
    <s v="Wholesale"/>
    <x v="2"/>
    <x v="4"/>
    <x v="538"/>
    <x v="1"/>
    <x v="1"/>
    <x v="0"/>
    <s v="REG100538"/>
    <s v="Cust 5645"/>
    <n v="36.04"/>
    <x v="412"/>
    <x v="5"/>
    <d v="2024-01-22T00:00:00"/>
    <s v="Ryan"/>
  </r>
  <r>
    <d v="2024-04-08T00:00:00"/>
    <x v="3"/>
    <x v="0"/>
    <n v="10"/>
    <n v="100.26"/>
    <s v="Store D"/>
    <s v="Wholesale"/>
    <x v="3"/>
    <x v="3"/>
    <x v="539"/>
    <x v="1"/>
    <x v="1"/>
    <x v="0"/>
    <s v="REG100539"/>
    <s v="Cust 6577"/>
    <n v="36.71"/>
    <x v="413"/>
    <x v="8"/>
    <d v="2024-04-15T00:00:00"/>
    <s v="Cameron"/>
  </r>
  <r>
    <d v="2023-04-27T00:00:00"/>
    <x v="3"/>
    <x v="0"/>
    <n v="9"/>
    <n v="554.48"/>
    <s v="Store C"/>
    <s v="Wholesale"/>
    <x v="0"/>
    <x v="3"/>
    <x v="540"/>
    <x v="0"/>
    <x v="3"/>
    <x v="0"/>
    <s v="REG100540"/>
    <s v="Cust 9506"/>
    <n v="48.26"/>
    <x v="178"/>
    <x v="42"/>
    <d v="2023-05-01T00:00:00"/>
    <s v="Cameron"/>
  </r>
  <r>
    <d v="2024-07-17T00:00:00"/>
    <x v="2"/>
    <x v="1"/>
    <n v="4"/>
    <n v="375.96"/>
    <s v="Store C"/>
    <s v="Retail"/>
    <x v="2"/>
    <x v="3"/>
    <x v="541"/>
    <x v="3"/>
    <x v="3"/>
    <x v="0"/>
    <s v="REG100541"/>
    <s v="Cust 9302"/>
    <n v="44.99"/>
    <x v="414"/>
    <x v="10"/>
    <d v="2024-07-25T00:00:00"/>
    <s v="Ryan"/>
  </r>
  <r>
    <d v="2024-02-17T00:00:00"/>
    <x v="3"/>
    <x v="4"/>
    <n v="14"/>
    <n v="485.21"/>
    <s v="Store A"/>
    <s v="Retail"/>
    <x v="0"/>
    <x v="2"/>
    <x v="542"/>
    <x v="0"/>
    <x v="0"/>
    <x v="0"/>
    <s v="REG100542"/>
    <s v="Cust 3030"/>
    <n v="41.72"/>
    <x v="415"/>
    <x v="22"/>
    <d v="2024-02-23T00:00:00"/>
    <s v="Cameron"/>
  </r>
  <r>
    <d v="2024-01-25T00:00:00"/>
    <x v="1"/>
    <x v="4"/>
    <n v="9"/>
    <n v="372.44"/>
    <s v="Store A"/>
    <s v="Wholesale"/>
    <x v="3"/>
    <x v="4"/>
    <x v="543"/>
    <x v="1"/>
    <x v="0"/>
    <x v="0"/>
    <s v="REG100543"/>
    <s v="Cust 5896"/>
    <n v="41.87"/>
    <x v="109"/>
    <x v="34"/>
    <d v="2024-02-02T00:00:00"/>
    <s v="Sophie"/>
  </r>
  <r>
    <d v="2024-03-24T00:00:00"/>
    <x v="3"/>
    <x v="0"/>
    <n v="7"/>
    <n v="140.53"/>
    <s v="Store D"/>
    <s v="Retail"/>
    <x v="0"/>
    <x v="2"/>
    <x v="544"/>
    <x v="3"/>
    <x v="3"/>
    <x v="1"/>
    <s v="REG100544"/>
    <s v="Cust 3763"/>
    <n v="24.53"/>
    <x v="214"/>
    <x v="41"/>
    <d v="2024-04-02T00:00:00"/>
    <s v="Cameron"/>
  </r>
  <r>
    <d v="2023-06-25T00:00:00"/>
    <x v="2"/>
    <x v="2"/>
    <n v="15"/>
    <n v="365.61"/>
    <s v="Store D"/>
    <s v="Retail"/>
    <x v="2"/>
    <x v="5"/>
    <x v="545"/>
    <x v="4"/>
    <x v="0"/>
    <x v="0"/>
    <s v="REG100545"/>
    <s v="Cust 9510"/>
    <n v="35.840000000000003"/>
    <x v="416"/>
    <x v="28"/>
    <d v="2023-06-27T00:00:00"/>
    <s v="Ryan"/>
  </r>
  <r>
    <d v="2023-04-17T00:00:00"/>
    <x v="1"/>
    <x v="0"/>
    <n v="20"/>
    <n v="353.97"/>
    <s v="Store B"/>
    <s v="Wholesale"/>
    <x v="2"/>
    <x v="2"/>
    <x v="546"/>
    <x v="4"/>
    <x v="2"/>
    <x v="1"/>
    <s v="REG100546"/>
    <s v="Cust 7637"/>
    <n v="22.05"/>
    <x v="417"/>
    <x v="32"/>
    <d v="2023-04-20T00:00:00"/>
    <s v="Sophie"/>
  </r>
  <r>
    <d v="2023-06-28T00:00:00"/>
    <x v="0"/>
    <x v="3"/>
    <n v="14"/>
    <n v="293.31"/>
    <s v="Store D"/>
    <s v="Wholesale"/>
    <x v="0"/>
    <x v="1"/>
    <x v="547"/>
    <x v="1"/>
    <x v="3"/>
    <x v="0"/>
    <s v="REG100547"/>
    <s v="Cust 8382"/>
    <n v="21.61"/>
    <x v="418"/>
    <x v="28"/>
    <d v="2023-06-30T00:00:00"/>
    <s v="Eric"/>
  </r>
  <r>
    <d v="2024-04-06T00:00:00"/>
    <x v="3"/>
    <x v="3"/>
    <n v="10"/>
    <n v="397.39"/>
    <s v="Store D"/>
    <s v="Retail"/>
    <x v="2"/>
    <x v="1"/>
    <x v="548"/>
    <x v="1"/>
    <x v="3"/>
    <x v="0"/>
    <s v="REG100548"/>
    <s v="Cust 4015"/>
    <n v="25.27"/>
    <x v="419"/>
    <x v="24"/>
    <d v="2024-04-16T00:00:00"/>
    <s v="Cameron"/>
  </r>
  <r>
    <d v="2025-02-17T00:00:00"/>
    <x v="1"/>
    <x v="3"/>
    <n v="2"/>
    <n v="98.35"/>
    <s v="Store C"/>
    <s v="Retail"/>
    <x v="0"/>
    <x v="0"/>
    <x v="549"/>
    <x v="3"/>
    <x v="0"/>
    <x v="0"/>
    <s v="REG100549"/>
    <s v="Cust 5172"/>
    <n v="28.65"/>
    <x v="130"/>
    <x v="0"/>
    <d v="2025-02-19T00:00:00"/>
    <s v="Sophie"/>
  </r>
  <r>
    <d v="2023-01-08T00:00:00"/>
    <x v="1"/>
    <x v="2"/>
    <n v="6"/>
    <n v="581.66999999999996"/>
    <s v="Store A"/>
    <s v="Wholesale"/>
    <x v="0"/>
    <x v="2"/>
    <x v="550"/>
    <x v="3"/>
    <x v="3"/>
    <x v="0"/>
    <s v="REG100550"/>
    <s v="Cust 7584"/>
    <n v="39.4"/>
    <x v="420"/>
    <x v="5"/>
    <d v="2023-01-11T00:00:00"/>
    <s v="Sophie"/>
  </r>
  <r>
    <d v="2023-12-21T00:00:00"/>
    <x v="1"/>
    <x v="1"/>
    <n v="19"/>
    <n v="30.41"/>
    <s v="Store D"/>
    <s v="Retail"/>
    <x v="3"/>
    <x v="2"/>
    <x v="551"/>
    <x v="3"/>
    <x v="0"/>
    <x v="0"/>
    <s v="REG100551"/>
    <s v="Cust 6809"/>
    <n v="48.33"/>
    <x v="146"/>
    <x v="1"/>
    <d v="2023-12-31T00:00:00"/>
    <s v="Sophie"/>
  </r>
  <r>
    <d v="2024-07-13T00:00:00"/>
    <x v="2"/>
    <x v="4"/>
    <n v="15"/>
    <n v="368.79"/>
    <s v="Store C"/>
    <s v="Wholesale"/>
    <x v="1"/>
    <x v="5"/>
    <x v="552"/>
    <x v="1"/>
    <x v="2"/>
    <x v="0"/>
    <s v="REG100552"/>
    <s v="Cust 7540"/>
    <n v="16.899999999999999"/>
    <x v="421"/>
    <x v="9"/>
    <d v="2024-07-15T00:00:00"/>
    <s v="Ryan"/>
  </r>
  <r>
    <d v="2024-03-23T00:00:00"/>
    <x v="4"/>
    <x v="4"/>
    <n v="4"/>
    <n v="56.06"/>
    <s v="Store D"/>
    <s v="Retail"/>
    <x v="2"/>
    <x v="3"/>
    <x v="553"/>
    <x v="4"/>
    <x v="1"/>
    <x v="0"/>
    <s v="REG100553"/>
    <s v="Cust 6888"/>
    <n v="10.77"/>
    <x v="105"/>
    <x v="26"/>
    <d v="2024-04-01T00:00:00"/>
    <s v="Wendy"/>
  </r>
  <r>
    <d v="2024-03-19T00:00:00"/>
    <x v="4"/>
    <x v="3"/>
    <n v="7"/>
    <n v="15.65"/>
    <s v="Store D"/>
    <s v="Wholesale"/>
    <x v="0"/>
    <x v="3"/>
    <x v="554"/>
    <x v="3"/>
    <x v="3"/>
    <x v="0"/>
    <s v="REG100554"/>
    <s v="Cust 3304"/>
    <n v="13.28"/>
    <x v="422"/>
    <x v="26"/>
    <d v="2024-03-25T00:00:00"/>
    <s v="Wendy"/>
  </r>
  <r>
    <d v="2025-05-20T00:00:00"/>
    <x v="3"/>
    <x v="5"/>
    <n v="9"/>
    <n v="380.85"/>
    <s v="Store B"/>
    <s v="Wholesale"/>
    <x v="0"/>
    <x v="3"/>
    <x v="555"/>
    <x v="4"/>
    <x v="0"/>
    <x v="0"/>
    <s v="REG100555"/>
    <s v="Cust 4196"/>
    <n v="33.4"/>
    <x v="355"/>
    <x v="18"/>
    <d v="2025-05-29T00:00:00"/>
    <s v="Cameron"/>
  </r>
  <r>
    <d v="2025-01-19T00:00:00"/>
    <x v="1"/>
    <x v="3"/>
    <n v="11"/>
    <n v="587.21"/>
    <s v="Store C"/>
    <s v="Wholesale"/>
    <x v="0"/>
    <x v="3"/>
    <x v="556"/>
    <x v="3"/>
    <x v="2"/>
    <x v="0"/>
    <s v="REG100556"/>
    <s v="Cust 6596"/>
    <n v="34.32"/>
    <x v="423"/>
    <x v="34"/>
    <d v="2025-01-26T00:00:00"/>
    <s v="Sophie"/>
  </r>
  <r>
    <d v="2023-05-28T00:00:00"/>
    <x v="1"/>
    <x v="6"/>
    <n v="17"/>
    <n v="554.25"/>
    <s v="Store A"/>
    <s v="Wholesale"/>
    <x v="1"/>
    <x v="4"/>
    <x v="557"/>
    <x v="3"/>
    <x v="3"/>
    <x v="0"/>
    <s v="REG100557"/>
    <s v="Cust 5588"/>
    <n v="8.66"/>
    <x v="424"/>
    <x v="14"/>
    <d v="2023-06-01T00:00:00"/>
    <s v="Sophie"/>
  </r>
  <r>
    <d v="2023-10-28T00:00:00"/>
    <x v="0"/>
    <x v="6"/>
    <n v="3"/>
    <n v="410.23"/>
    <s v="Store A"/>
    <s v="Wholesale"/>
    <x v="2"/>
    <x v="4"/>
    <x v="558"/>
    <x v="2"/>
    <x v="0"/>
    <x v="0"/>
    <s v="REG100558"/>
    <s v="Cust 1518"/>
    <n v="6.04"/>
    <x v="301"/>
    <x v="19"/>
    <d v="2023-11-03T00:00:00"/>
    <s v="Eric"/>
  </r>
  <r>
    <d v="2023-11-25T00:00:00"/>
    <x v="4"/>
    <x v="4"/>
    <n v="5"/>
    <n v="99.23"/>
    <s v="Store B"/>
    <s v="Retail"/>
    <x v="0"/>
    <x v="0"/>
    <x v="559"/>
    <x v="3"/>
    <x v="3"/>
    <x v="0"/>
    <s v="REG100559"/>
    <s v="Cust 2819"/>
    <n v="37.659999999999997"/>
    <x v="425"/>
    <x v="20"/>
    <d v="2023-12-02T00:00:00"/>
    <s v="Wendy"/>
  </r>
  <r>
    <d v="2024-11-17T00:00:00"/>
    <x v="1"/>
    <x v="4"/>
    <n v="9"/>
    <n v="503.18"/>
    <s v="Store B"/>
    <s v="Wholesale"/>
    <x v="0"/>
    <x v="4"/>
    <x v="560"/>
    <x v="1"/>
    <x v="1"/>
    <x v="1"/>
    <s v="REG100560"/>
    <s v="Cust 1947"/>
    <n v="46.02"/>
    <x v="426"/>
    <x v="20"/>
    <d v="2024-11-24T00:00:00"/>
    <s v="Sophie"/>
  </r>
  <r>
    <d v="2024-01-24T00:00:00"/>
    <x v="3"/>
    <x v="4"/>
    <n v="17"/>
    <n v="155.31"/>
    <s v="Store C"/>
    <s v="Retail"/>
    <x v="2"/>
    <x v="5"/>
    <x v="561"/>
    <x v="2"/>
    <x v="2"/>
    <x v="0"/>
    <s v="REG100561"/>
    <s v="Cust 7332"/>
    <n v="27.1"/>
    <x v="113"/>
    <x v="34"/>
    <d v="2024-01-29T00:00:00"/>
    <s v="Cameron"/>
  </r>
  <r>
    <d v="2023-06-19T00:00:00"/>
    <x v="2"/>
    <x v="3"/>
    <n v="7"/>
    <n v="303.79000000000002"/>
    <s v="Store D"/>
    <s v="Wholesale"/>
    <x v="2"/>
    <x v="2"/>
    <x v="562"/>
    <x v="2"/>
    <x v="1"/>
    <x v="0"/>
    <s v="REG100562"/>
    <s v="Cust 7314"/>
    <n v="38.85"/>
    <x v="182"/>
    <x v="4"/>
    <d v="2023-06-29T00:00:00"/>
    <s v="Ryan"/>
  </r>
  <r>
    <d v="2025-01-13T00:00:00"/>
    <x v="0"/>
    <x v="1"/>
    <n v="17"/>
    <n v="263.75"/>
    <s v="Store B"/>
    <s v="Retail"/>
    <x v="0"/>
    <x v="1"/>
    <x v="563"/>
    <x v="0"/>
    <x v="3"/>
    <x v="1"/>
    <s v="REG100563"/>
    <s v="Cust 5296"/>
    <n v="12.97"/>
    <x v="427"/>
    <x v="11"/>
    <d v="2025-01-18T00:00:00"/>
    <s v="Eric"/>
  </r>
  <r>
    <d v="2024-01-24T00:00:00"/>
    <x v="0"/>
    <x v="1"/>
    <n v="4"/>
    <n v="179.92"/>
    <s v="Store D"/>
    <s v="Retail"/>
    <x v="1"/>
    <x v="4"/>
    <x v="564"/>
    <x v="0"/>
    <x v="2"/>
    <x v="0"/>
    <s v="REG100564"/>
    <s v="Cust 2964"/>
    <n v="35.26"/>
    <x v="113"/>
    <x v="34"/>
    <d v="2024-02-01T00:00:00"/>
    <s v="Eric"/>
  </r>
  <r>
    <d v="2025-01-06T00:00:00"/>
    <x v="1"/>
    <x v="6"/>
    <n v="2"/>
    <n v="264"/>
    <s v="Store D"/>
    <s v="Retail"/>
    <x v="0"/>
    <x v="5"/>
    <x v="565"/>
    <x v="1"/>
    <x v="1"/>
    <x v="0"/>
    <s v="REG100565"/>
    <s v="Cust 5381"/>
    <n v="26.73"/>
    <x v="428"/>
    <x v="5"/>
    <d v="2025-01-14T00:00:00"/>
    <s v="Sophie"/>
  </r>
  <r>
    <d v="2025-01-02T00:00:00"/>
    <x v="3"/>
    <x v="0"/>
    <n v="4"/>
    <n v="403.97"/>
    <s v="Store A"/>
    <s v="Wholesale"/>
    <x v="3"/>
    <x v="1"/>
    <x v="566"/>
    <x v="4"/>
    <x v="2"/>
    <x v="0"/>
    <s v="REG100566"/>
    <s v="Cust 5436"/>
    <n v="39.92"/>
    <x v="368"/>
    <x v="31"/>
    <d v="2025-01-09T00:00:00"/>
    <s v="Cameron"/>
  </r>
  <r>
    <d v="2023-02-22T00:00:00"/>
    <x v="2"/>
    <x v="2"/>
    <n v="4"/>
    <n v="85.96"/>
    <s v="Store A"/>
    <s v="Retail"/>
    <x v="1"/>
    <x v="2"/>
    <x v="567"/>
    <x v="2"/>
    <x v="3"/>
    <x v="0"/>
    <s v="REG100567"/>
    <s v="Cust 1494"/>
    <n v="32.119999999999997"/>
    <x v="429"/>
    <x v="0"/>
    <d v="2023-03-03T00:00:00"/>
    <s v="Ryan"/>
  </r>
  <r>
    <d v="2025-02-06T00:00:00"/>
    <x v="0"/>
    <x v="2"/>
    <n v="2"/>
    <n v="93.49"/>
    <s v="Store A"/>
    <s v="Wholesale"/>
    <x v="1"/>
    <x v="1"/>
    <x v="568"/>
    <x v="3"/>
    <x v="2"/>
    <x v="0"/>
    <s v="REG100568"/>
    <s v="Cust 4380"/>
    <n v="26.31"/>
    <x v="323"/>
    <x v="29"/>
    <d v="2025-02-16T00:00:00"/>
    <s v="Eric"/>
  </r>
  <r>
    <d v="2024-09-26T00:00:00"/>
    <x v="0"/>
    <x v="2"/>
    <n v="11"/>
    <n v="144.29"/>
    <s v="Store B"/>
    <s v="Retail"/>
    <x v="3"/>
    <x v="5"/>
    <x v="569"/>
    <x v="2"/>
    <x v="2"/>
    <x v="0"/>
    <s v="REG100569"/>
    <s v="Cust 7054"/>
    <n v="11.91"/>
    <x v="217"/>
    <x v="39"/>
    <d v="2024-09-30T00:00:00"/>
    <s v="Eric"/>
  </r>
  <r>
    <d v="2025-03-28T00:00:00"/>
    <x v="2"/>
    <x v="3"/>
    <n v="18"/>
    <n v="553.23"/>
    <s v="Store D"/>
    <s v="Wholesale"/>
    <x v="0"/>
    <x v="2"/>
    <x v="570"/>
    <x v="4"/>
    <x v="0"/>
    <x v="0"/>
    <s v="REG100570"/>
    <s v="Cust 1375"/>
    <n v="31.76"/>
    <x v="136"/>
    <x v="41"/>
    <d v="2025-04-01T00:00:00"/>
    <s v="Ryan"/>
  </r>
  <r>
    <d v="2023-07-01T00:00:00"/>
    <x v="0"/>
    <x v="3"/>
    <n v="9"/>
    <n v="228.3"/>
    <s v="Store B"/>
    <s v="Retail"/>
    <x v="3"/>
    <x v="0"/>
    <x v="571"/>
    <x v="3"/>
    <x v="0"/>
    <x v="0"/>
    <s v="REG100571"/>
    <s v="Cust 5698"/>
    <n v="8.75"/>
    <x v="430"/>
    <x v="28"/>
    <d v="2023-07-09T00:00:00"/>
    <s v="Eric"/>
  </r>
  <r>
    <d v="2023-04-29T00:00:00"/>
    <x v="4"/>
    <x v="2"/>
    <n v="7"/>
    <n v="235.94"/>
    <s v="Store D"/>
    <s v="Wholesale"/>
    <x v="1"/>
    <x v="1"/>
    <x v="572"/>
    <x v="1"/>
    <x v="0"/>
    <x v="0"/>
    <s v="REG100572"/>
    <s v="Cust 3259"/>
    <n v="8.44"/>
    <x v="431"/>
    <x v="42"/>
    <d v="2023-05-04T00:00:00"/>
    <s v="Wendy"/>
  </r>
  <r>
    <d v="2023-04-30T00:00:00"/>
    <x v="0"/>
    <x v="6"/>
    <n v="17"/>
    <n v="369.52"/>
    <s v="Store C"/>
    <s v="Wholesale"/>
    <x v="0"/>
    <x v="3"/>
    <x v="573"/>
    <x v="1"/>
    <x v="3"/>
    <x v="0"/>
    <s v="REG100573"/>
    <s v="Cust 9295"/>
    <n v="17.12"/>
    <x v="432"/>
    <x v="40"/>
    <d v="2023-05-06T00:00:00"/>
    <s v="Eric"/>
  </r>
  <r>
    <d v="2024-03-14T00:00:00"/>
    <x v="4"/>
    <x v="1"/>
    <n v="8"/>
    <n v="142.09"/>
    <s v="Store A"/>
    <s v="Wholesale"/>
    <x v="0"/>
    <x v="0"/>
    <x v="574"/>
    <x v="2"/>
    <x v="2"/>
    <x v="0"/>
    <s v="REG100574"/>
    <s v="Cust 7035"/>
    <n v="38.97"/>
    <x v="47"/>
    <x v="23"/>
    <d v="2024-03-20T00:00:00"/>
    <s v="Wendy"/>
  </r>
  <r>
    <d v="2023-06-27T00:00:00"/>
    <x v="3"/>
    <x v="3"/>
    <n v="3"/>
    <n v="497.61"/>
    <s v="Store B"/>
    <s v="Wholesale"/>
    <x v="2"/>
    <x v="1"/>
    <x v="575"/>
    <x v="4"/>
    <x v="0"/>
    <x v="1"/>
    <s v="REG100575"/>
    <s v="Cust 9049"/>
    <n v="13.97"/>
    <x v="161"/>
    <x v="28"/>
    <d v="2023-07-02T00:00:00"/>
    <s v="Cameron"/>
  </r>
  <r>
    <d v="2024-04-10T00:00:00"/>
    <x v="2"/>
    <x v="0"/>
    <n v="19"/>
    <n v="9.48"/>
    <s v="Store A"/>
    <s v="Wholesale"/>
    <x v="0"/>
    <x v="3"/>
    <x v="576"/>
    <x v="0"/>
    <x v="3"/>
    <x v="0"/>
    <s v="REG100576"/>
    <s v="Cust 6173"/>
    <n v="22.33"/>
    <x v="10"/>
    <x v="8"/>
    <d v="2024-04-12T00:00:00"/>
    <s v="Ryan"/>
  </r>
  <r>
    <d v="2023-08-30T00:00:00"/>
    <x v="3"/>
    <x v="6"/>
    <n v="8"/>
    <n v="55.27"/>
    <s v="Store A"/>
    <s v="Wholesale"/>
    <x v="2"/>
    <x v="5"/>
    <x v="577"/>
    <x v="4"/>
    <x v="2"/>
    <x v="0"/>
    <s v="REG100577"/>
    <s v="Cust 3447"/>
    <n v="16.84"/>
    <x v="286"/>
    <x v="44"/>
    <d v="2023-09-01T00:00:00"/>
    <s v="Cameron"/>
  </r>
  <r>
    <d v="2023-10-23T00:00:00"/>
    <x v="4"/>
    <x v="0"/>
    <n v="17"/>
    <n v="25.95"/>
    <s v="Store B"/>
    <s v="Wholesale"/>
    <x v="3"/>
    <x v="5"/>
    <x v="578"/>
    <x v="1"/>
    <x v="3"/>
    <x v="0"/>
    <s v="REG100578"/>
    <s v="Cust 2218"/>
    <n v="27.68"/>
    <x v="25"/>
    <x v="19"/>
    <d v="2023-10-30T00:00:00"/>
    <s v="Wendy"/>
  </r>
  <r>
    <d v="2023-03-23T00:00:00"/>
    <x v="2"/>
    <x v="2"/>
    <n v="18"/>
    <n v="209.65"/>
    <s v="Store A"/>
    <s v="Wholesale"/>
    <x v="1"/>
    <x v="3"/>
    <x v="579"/>
    <x v="3"/>
    <x v="3"/>
    <x v="0"/>
    <s v="REG100579"/>
    <s v="Cust 8882"/>
    <n v="42.04"/>
    <x v="433"/>
    <x v="26"/>
    <d v="2023-03-30T00:00:00"/>
    <s v="Ryan"/>
  </r>
  <r>
    <d v="2024-09-21T00:00:00"/>
    <x v="3"/>
    <x v="0"/>
    <n v="13"/>
    <n v="75.77"/>
    <s v="Store B"/>
    <s v="Wholesale"/>
    <x v="2"/>
    <x v="2"/>
    <x v="580"/>
    <x v="3"/>
    <x v="1"/>
    <x v="0"/>
    <s v="REG100580"/>
    <s v="Cust 6709"/>
    <n v="41.94"/>
    <x v="367"/>
    <x v="46"/>
    <d v="2024-09-30T00:00:00"/>
    <s v="Cameron"/>
  </r>
  <r>
    <d v="2024-12-26T00:00:00"/>
    <x v="4"/>
    <x v="5"/>
    <n v="5"/>
    <n v="307.83999999999997"/>
    <s v="Store B"/>
    <s v="Wholesale"/>
    <x v="1"/>
    <x v="5"/>
    <x v="581"/>
    <x v="0"/>
    <x v="1"/>
    <x v="0"/>
    <s v="REG100581"/>
    <s v="Cust 8727"/>
    <n v="13.61"/>
    <x v="215"/>
    <x v="37"/>
    <d v="2025-01-03T00:00:00"/>
    <s v="Wendy"/>
  </r>
  <r>
    <d v="2023-02-26T00:00:00"/>
    <x v="0"/>
    <x v="1"/>
    <n v="13"/>
    <n v="6.5"/>
    <s v="Store A"/>
    <s v="Wholesale"/>
    <x v="0"/>
    <x v="4"/>
    <x v="582"/>
    <x v="4"/>
    <x v="3"/>
    <x v="0"/>
    <s v="REG100582"/>
    <s v="Cust 8359"/>
    <n v="20.02"/>
    <x v="16"/>
    <x v="3"/>
    <d v="2023-03-03T00:00:00"/>
    <s v="Eric"/>
  </r>
  <r>
    <d v="2024-12-10T00:00:00"/>
    <x v="2"/>
    <x v="4"/>
    <n v="8"/>
    <n v="70.790000000000006"/>
    <s v="Store B"/>
    <s v="Wholesale"/>
    <x v="0"/>
    <x v="4"/>
    <x v="583"/>
    <x v="0"/>
    <x v="3"/>
    <x v="0"/>
    <s v="REG100583"/>
    <s v="Cust 1514"/>
    <n v="46.35"/>
    <x v="434"/>
    <x v="12"/>
    <d v="2024-12-14T00:00:00"/>
    <s v="Ryan"/>
  </r>
  <r>
    <d v="2025-01-01T00:00:00"/>
    <x v="0"/>
    <x v="0"/>
    <n v="17"/>
    <n v="584.70000000000005"/>
    <s v="Store D"/>
    <s v="Retail"/>
    <x v="1"/>
    <x v="0"/>
    <x v="584"/>
    <x v="0"/>
    <x v="3"/>
    <x v="1"/>
    <s v="REG100584"/>
    <s v="Cust 2774"/>
    <n v="46.59"/>
    <x v="435"/>
    <x v="31"/>
    <d v="2025-01-03T00:00:00"/>
    <s v="Eric"/>
  </r>
  <r>
    <d v="2025-03-14T00:00:00"/>
    <x v="0"/>
    <x v="1"/>
    <n v="4"/>
    <n v="23.27"/>
    <s v="Store C"/>
    <s v="Wholesale"/>
    <x v="2"/>
    <x v="4"/>
    <x v="585"/>
    <x v="0"/>
    <x v="1"/>
    <x v="0"/>
    <s v="REG100585"/>
    <s v="Cust 4270"/>
    <n v="32.86"/>
    <x v="95"/>
    <x v="23"/>
    <d v="2025-03-21T00:00:00"/>
    <s v="Eric"/>
  </r>
  <r>
    <d v="2024-01-16T00:00:00"/>
    <x v="1"/>
    <x v="5"/>
    <n v="5"/>
    <n v="440.93"/>
    <s v="Store B"/>
    <s v="Wholesale"/>
    <x v="1"/>
    <x v="3"/>
    <x v="586"/>
    <x v="1"/>
    <x v="3"/>
    <x v="0"/>
    <s v="REG100586"/>
    <s v="Cust 3123"/>
    <n v="23.84"/>
    <x v="436"/>
    <x v="11"/>
    <d v="2024-01-20T00:00:00"/>
    <s v="Sophie"/>
  </r>
  <r>
    <d v="2024-04-19T00:00:00"/>
    <x v="4"/>
    <x v="5"/>
    <n v="10"/>
    <n v="278.45"/>
    <s v="Store D"/>
    <s v="Wholesale"/>
    <x v="0"/>
    <x v="0"/>
    <x v="587"/>
    <x v="2"/>
    <x v="1"/>
    <x v="0"/>
    <s v="REG100587"/>
    <s v="Cust 7414"/>
    <n v="11.13"/>
    <x v="53"/>
    <x v="32"/>
    <d v="2024-04-25T00:00:00"/>
    <s v="Wendy"/>
  </r>
  <r>
    <d v="2023-12-08T00:00:00"/>
    <x v="2"/>
    <x v="4"/>
    <n v="14"/>
    <n v="382.19"/>
    <s v="Store B"/>
    <s v="Wholesale"/>
    <x v="3"/>
    <x v="2"/>
    <x v="588"/>
    <x v="4"/>
    <x v="0"/>
    <x v="1"/>
    <s v="REG100588"/>
    <s v="Cust 5051"/>
    <n v="49.12"/>
    <x v="437"/>
    <x v="21"/>
    <d v="2023-12-11T00:00:00"/>
    <s v="Ryan"/>
  </r>
  <r>
    <d v="2023-03-15T00:00:00"/>
    <x v="2"/>
    <x v="4"/>
    <n v="14"/>
    <n v="232.49"/>
    <s v="Store D"/>
    <s v="Wholesale"/>
    <x v="3"/>
    <x v="4"/>
    <x v="589"/>
    <x v="0"/>
    <x v="1"/>
    <x v="1"/>
    <s v="REG100589"/>
    <s v="Cust 5975"/>
    <n v="5.32"/>
    <x v="438"/>
    <x v="23"/>
    <d v="2023-03-19T00:00:00"/>
    <s v="Ryan"/>
  </r>
  <r>
    <d v="2025-02-07T00:00:00"/>
    <x v="1"/>
    <x v="0"/>
    <n v="17"/>
    <n v="15.01"/>
    <s v="Store D"/>
    <s v="Wholesale"/>
    <x v="2"/>
    <x v="4"/>
    <x v="590"/>
    <x v="3"/>
    <x v="1"/>
    <x v="1"/>
    <s v="REG100590"/>
    <s v="Cust 6948"/>
    <n v="22"/>
    <x v="439"/>
    <x v="29"/>
    <d v="2025-02-13T00:00:00"/>
    <s v="Sophie"/>
  </r>
  <r>
    <d v="2025-06-27T00:00:00"/>
    <x v="2"/>
    <x v="4"/>
    <n v="11"/>
    <n v="29.41"/>
    <s v="Store D"/>
    <s v="Retail"/>
    <x v="3"/>
    <x v="3"/>
    <x v="591"/>
    <x v="2"/>
    <x v="1"/>
    <x v="0"/>
    <s v="REG100591"/>
    <s v="Cust 8253"/>
    <n v="6.16"/>
    <x v="440"/>
    <x v="28"/>
    <d v="2025-07-02T00:00:00"/>
    <s v="Ryan"/>
  </r>
  <r>
    <d v="2024-12-17T00:00:00"/>
    <x v="3"/>
    <x v="5"/>
    <n v="1"/>
    <n v="486.19"/>
    <s v="Store B"/>
    <s v="Retail"/>
    <x v="3"/>
    <x v="2"/>
    <x v="592"/>
    <x v="0"/>
    <x v="1"/>
    <x v="0"/>
    <s v="REG100592"/>
    <s v="Cust 7238"/>
    <n v="41.73"/>
    <x v="441"/>
    <x v="1"/>
    <d v="2024-12-20T00:00:00"/>
    <s v="Cameron"/>
  </r>
  <r>
    <d v="2024-05-03T00:00:00"/>
    <x v="1"/>
    <x v="0"/>
    <n v="6"/>
    <n v="266.67"/>
    <s v="Store B"/>
    <s v="Wholesale"/>
    <x v="3"/>
    <x v="0"/>
    <x v="593"/>
    <x v="3"/>
    <x v="3"/>
    <x v="0"/>
    <s v="REG100593"/>
    <s v="Cust 2219"/>
    <n v="48.49"/>
    <x v="80"/>
    <x v="40"/>
    <d v="2024-05-11T00:00:00"/>
    <s v="Sophie"/>
  </r>
  <r>
    <d v="2023-12-26T00:00:00"/>
    <x v="1"/>
    <x v="6"/>
    <n v="3"/>
    <n v="300.8"/>
    <s v="Store B"/>
    <s v="Wholesale"/>
    <x v="1"/>
    <x v="3"/>
    <x v="594"/>
    <x v="4"/>
    <x v="3"/>
    <x v="1"/>
    <s v="REG100594"/>
    <s v="Cust 4297"/>
    <n v="15.98"/>
    <x v="442"/>
    <x v="37"/>
    <d v="2024-01-01T00:00:00"/>
    <s v="Sophie"/>
  </r>
  <r>
    <d v="2024-05-13T00:00:00"/>
    <x v="3"/>
    <x v="6"/>
    <n v="11"/>
    <n v="79.63"/>
    <s v="Store B"/>
    <s v="Wholesale"/>
    <x v="3"/>
    <x v="2"/>
    <x v="595"/>
    <x v="0"/>
    <x v="3"/>
    <x v="0"/>
    <s v="REG100595"/>
    <s v="Cust 6665"/>
    <n v="43.84"/>
    <x v="443"/>
    <x v="13"/>
    <d v="2024-05-19T00:00:00"/>
    <s v="Cameron"/>
  </r>
  <r>
    <d v="2023-10-07T00:00:00"/>
    <x v="1"/>
    <x v="0"/>
    <n v="6"/>
    <n v="505.7"/>
    <s v="Store C"/>
    <s v="Retail"/>
    <x v="0"/>
    <x v="1"/>
    <x v="596"/>
    <x v="4"/>
    <x v="3"/>
    <x v="0"/>
    <s v="REG100596"/>
    <s v="Cust 4252"/>
    <n v="40.380000000000003"/>
    <x v="444"/>
    <x v="35"/>
    <d v="2023-10-16T00:00:00"/>
    <s v="Sophie"/>
  </r>
  <r>
    <d v="2023-07-11T00:00:00"/>
    <x v="4"/>
    <x v="6"/>
    <n v="5"/>
    <n v="569.62"/>
    <s v="Store C"/>
    <s v="Wholesale"/>
    <x v="0"/>
    <x v="4"/>
    <x v="597"/>
    <x v="3"/>
    <x v="0"/>
    <x v="0"/>
    <s v="REG100597"/>
    <s v="Cust 6104"/>
    <n v="48.8"/>
    <x v="445"/>
    <x v="9"/>
    <d v="2023-07-13T00:00:00"/>
    <s v="Wendy"/>
  </r>
  <r>
    <d v="2025-01-31T00:00:00"/>
    <x v="1"/>
    <x v="5"/>
    <n v="19"/>
    <n v="90.85"/>
    <s v="Store C"/>
    <s v="Retail"/>
    <x v="3"/>
    <x v="1"/>
    <x v="598"/>
    <x v="2"/>
    <x v="1"/>
    <x v="0"/>
    <s v="REG100598"/>
    <s v="Cust 6407"/>
    <n v="22.28"/>
    <x v="94"/>
    <x v="43"/>
    <d v="2025-02-06T00:00:00"/>
    <s v="Sophie"/>
  </r>
  <r>
    <d v="2023-02-04T00:00:00"/>
    <x v="1"/>
    <x v="3"/>
    <n v="2"/>
    <n v="296.91000000000003"/>
    <s v="Store A"/>
    <s v="Wholesale"/>
    <x v="3"/>
    <x v="3"/>
    <x v="599"/>
    <x v="3"/>
    <x v="2"/>
    <x v="0"/>
    <s v="REG100599"/>
    <s v="Cust 3573"/>
    <n v="44.35"/>
    <x v="446"/>
    <x v="43"/>
    <d v="2023-02-07T00:00:00"/>
    <s v="Sophie"/>
  </r>
  <r>
    <d v="2023-09-02T00:00:00"/>
    <x v="1"/>
    <x v="6"/>
    <n v="2"/>
    <n v="6.19"/>
    <s v="Store B"/>
    <s v="Retail"/>
    <x v="1"/>
    <x v="2"/>
    <x v="600"/>
    <x v="2"/>
    <x v="0"/>
    <x v="1"/>
    <s v="REG100600"/>
    <s v="Cust 5280"/>
    <n v="47.24"/>
    <x v="447"/>
    <x v="44"/>
    <d v="2023-09-12T00:00:00"/>
    <s v="Sophie"/>
  </r>
  <r>
    <d v="2024-12-13T00:00:00"/>
    <x v="3"/>
    <x v="4"/>
    <n v="18"/>
    <n v="207.35"/>
    <s v="Store D"/>
    <s v="Wholesale"/>
    <x v="2"/>
    <x v="1"/>
    <x v="601"/>
    <x v="3"/>
    <x v="0"/>
    <x v="0"/>
    <s v="REG100601"/>
    <s v="Cust 2365"/>
    <n v="11.17"/>
    <x v="167"/>
    <x v="12"/>
    <d v="2024-12-15T00:00:00"/>
    <s v="Cameron"/>
  </r>
  <r>
    <d v="2023-10-13T00:00:00"/>
    <x v="3"/>
    <x v="5"/>
    <n v="5"/>
    <n v="75.27"/>
    <s v="Store A"/>
    <s v="Wholesale"/>
    <x v="0"/>
    <x v="3"/>
    <x v="602"/>
    <x v="4"/>
    <x v="3"/>
    <x v="0"/>
    <s v="REG100602"/>
    <s v="Cust 7130"/>
    <n v="31.61"/>
    <x v="448"/>
    <x v="51"/>
    <d v="2023-10-22T00:00:00"/>
    <s v="Cameron"/>
  </r>
  <r>
    <d v="2024-10-03T00:00:00"/>
    <x v="1"/>
    <x v="4"/>
    <n v="3"/>
    <n v="136.15"/>
    <s v="Store A"/>
    <s v="Retail"/>
    <x v="1"/>
    <x v="4"/>
    <x v="603"/>
    <x v="1"/>
    <x v="1"/>
    <x v="0"/>
    <s v="REG100603"/>
    <s v="Cust 6539"/>
    <n v="48.38"/>
    <x v="449"/>
    <x v="35"/>
    <d v="2024-10-07T00:00:00"/>
    <s v="Sophie"/>
  </r>
  <r>
    <d v="2024-04-28T00:00:00"/>
    <x v="3"/>
    <x v="2"/>
    <n v="5"/>
    <n v="544.66"/>
    <s v="Store B"/>
    <s v="Retail"/>
    <x v="1"/>
    <x v="4"/>
    <x v="604"/>
    <x v="0"/>
    <x v="1"/>
    <x v="0"/>
    <s v="REG100604"/>
    <s v="Cust 1656"/>
    <n v="8.39"/>
    <x v="450"/>
    <x v="40"/>
    <d v="2024-05-04T00:00:00"/>
    <s v="Cameron"/>
  </r>
  <r>
    <d v="2024-02-07T00:00:00"/>
    <x v="3"/>
    <x v="2"/>
    <n v="8"/>
    <n v="561.9"/>
    <s v="Store A"/>
    <s v="Retail"/>
    <x v="2"/>
    <x v="5"/>
    <x v="605"/>
    <x v="0"/>
    <x v="0"/>
    <x v="1"/>
    <s v="REG100605"/>
    <s v="Cust 1932"/>
    <n v="15.97"/>
    <x v="451"/>
    <x v="29"/>
    <d v="2024-02-14T00:00:00"/>
    <s v="Cameron"/>
  </r>
  <r>
    <d v="2023-02-08T00:00:00"/>
    <x v="1"/>
    <x v="3"/>
    <n v="20"/>
    <n v="313.47000000000003"/>
    <s v="Store C"/>
    <s v="Retail"/>
    <x v="2"/>
    <x v="1"/>
    <x v="606"/>
    <x v="0"/>
    <x v="0"/>
    <x v="0"/>
    <s v="REG100606"/>
    <s v="Cust 7367"/>
    <n v="18.170000000000002"/>
    <x v="162"/>
    <x v="29"/>
    <d v="2023-02-11T00:00:00"/>
    <s v="Sophie"/>
  </r>
  <r>
    <d v="2023-06-17T00:00:00"/>
    <x v="1"/>
    <x v="1"/>
    <n v="1"/>
    <n v="418.45"/>
    <s v="Store C"/>
    <s v="Retail"/>
    <x v="2"/>
    <x v="4"/>
    <x v="607"/>
    <x v="4"/>
    <x v="2"/>
    <x v="0"/>
    <s v="REG100607"/>
    <s v="Cust 1116"/>
    <n v="35.58"/>
    <x v="357"/>
    <x v="33"/>
    <d v="2023-06-19T00:00:00"/>
    <s v="Sophie"/>
  </r>
  <r>
    <d v="2024-07-29T00:00:00"/>
    <x v="4"/>
    <x v="4"/>
    <n v="8"/>
    <n v="420.75"/>
    <s v="Store B"/>
    <s v="Wholesale"/>
    <x v="1"/>
    <x v="5"/>
    <x v="608"/>
    <x v="0"/>
    <x v="1"/>
    <x v="1"/>
    <s v="REG100608"/>
    <s v="Cust 4464"/>
    <n v="44.61"/>
    <x v="452"/>
    <x v="36"/>
    <d v="2024-08-01T00:00:00"/>
    <s v="Wendy"/>
  </r>
  <r>
    <d v="2024-01-29T00:00:00"/>
    <x v="4"/>
    <x v="6"/>
    <n v="16"/>
    <n v="514.36"/>
    <s v="Store D"/>
    <s v="Wholesale"/>
    <x v="0"/>
    <x v="1"/>
    <x v="609"/>
    <x v="0"/>
    <x v="1"/>
    <x v="0"/>
    <s v="REG100609"/>
    <s v="Cust 2543"/>
    <n v="40.75"/>
    <x v="282"/>
    <x v="43"/>
    <d v="2024-02-01T00:00:00"/>
    <s v="Wendy"/>
  </r>
  <r>
    <d v="2024-01-18T00:00:00"/>
    <x v="0"/>
    <x v="1"/>
    <n v="2"/>
    <n v="297.2"/>
    <s v="Store B"/>
    <s v="Retail"/>
    <x v="1"/>
    <x v="2"/>
    <x v="610"/>
    <x v="1"/>
    <x v="0"/>
    <x v="0"/>
    <s v="REG100610"/>
    <s v="Cust 7948"/>
    <n v="8.7100000000000009"/>
    <x v="453"/>
    <x v="11"/>
    <d v="2024-01-23T00:00:00"/>
    <s v="Eric"/>
  </r>
  <r>
    <d v="2024-08-12T00:00:00"/>
    <x v="2"/>
    <x v="3"/>
    <n v="10"/>
    <n v="278"/>
    <s v="Store C"/>
    <s v="Retail"/>
    <x v="0"/>
    <x v="5"/>
    <x v="611"/>
    <x v="2"/>
    <x v="3"/>
    <x v="0"/>
    <s v="REG100611"/>
    <s v="Cust 3199"/>
    <n v="24.25"/>
    <x v="305"/>
    <x v="45"/>
    <d v="2024-08-22T00:00:00"/>
    <s v="Ryan"/>
  </r>
  <r>
    <d v="2025-04-16T00:00:00"/>
    <x v="4"/>
    <x v="4"/>
    <n v="8"/>
    <n v="583.16999999999996"/>
    <s v="Store D"/>
    <s v="Wholesale"/>
    <x v="1"/>
    <x v="2"/>
    <x v="612"/>
    <x v="2"/>
    <x v="2"/>
    <x v="0"/>
    <s v="REG100612"/>
    <s v="Cust 2800"/>
    <n v="49.18"/>
    <x v="454"/>
    <x v="32"/>
    <d v="2025-04-20T00:00:00"/>
    <s v="Wendy"/>
  </r>
  <r>
    <d v="2023-02-26T00:00:00"/>
    <x v="3"/>
    <x v="2"/>
    <n v="16"/>
    <n v="75.62"/>
    <s v="Store D"/>
    <s v="Retail"/>
    <x v="1"/>
    <x v="4"/>
    <x v="613"/>
    <x v="4"/>
    <x v="2"/>
    <x v="0"/>
    <s v="REG100613"/>
    <s v="Cust 3863"/>
    <n v="27.39"/>
    <x v="16"/>
    <x v="3"/>
    <d v="2023-03-02T00:00:00"/>
    <s v="Cameron"/>
  </r>
  <r>
    <d v="2023-01-07T00:00:00"/>
    <x v="0"/>
    <x v="2"/>
    <n v="13"/>
    <n v="561.62"/>
    <s v="Store C"/>
    <s v="Wholesale"/>
    <x v="3"/>
    <x v="2"/>
    <x v="614"/>
    <x v="1"/>
    <x v="0"/>
    <x v="0"/>
    <s v="REG100614"/>
    <s v="Cust 8391"/>
    <n v="12.91"/>
    <x v="455"/>
    <x v="31"/>
    <d v="2023-01-11T00:00:00"/>
    <s v="Eric"/>
  </r>
  <r>
    <d v="2023-10-24T00:00:00"/>
    <x v="1"/>
    <x v="2"/>
    <n v="5"/>
    <n v="359.61"/>
    <s v="Store A"/>
    <s v="Retail"/>
    <x v="0"/>
    <x v="5"/>
    <x v="615"/>
    <x v="0"/>
    <x v="0"/>
    <x v="0"/>
    <s v="REG100615"/>
    <s v="Cust 6711"/>
    <n v="41.31"/>
    <x v="456"/>
    <x v="19"/>
    <d v="2023-11-03T00:00:00"/>
    <s v="Sophie"/>
  </r>
  <r>
    <d v="2024-01-02T00:00:00"/>
    <x v="2"/>
    <x v="5"/>
    <n v="15"/>
    <n v="115.48"/>
    <s v="Store A"/>
    <s v="Retail"/>
    <x v="2"/>
    <x v="2"/>
    <x v="616"/>
    <x v="2"/>
    <x v="3"/>
    <x v="0"/>
    <s v="REG100616"/>
    <s v="Cust 8653"/>
    <n v="6.04"/>
    <x v="78"/>
    <x v="31"/>
    <d v="2024-01-12T00:00:00"/>
    <s v="Ryan"/>
  </r>
  <r>
    <d v="2024-09-17T00:00:00"/>
    <x v="1"/>
    <x v="0"/>
    <n v="12"/>
    <n v="596.26"/>
    <s v="Store D"/>
    <s v="Wholesale"/>
    <x v="2"/>
    <x v="0"/>
    <x v="617"/>
    <x v="1"/>
    <x v="2"/>
    <x v="0"/>
    <s v="REG100617"/>
    <s v="Cust 7937"/>
    <n v="28.27"/>
    <x v="457"/>
    <x v="46"/>
    <d v="2024-09-25T00:00:00"/>
    <s v="Sophie"/>
  </r>
  <r>
    <d v="2024-05-05T00:00:00"/>
    <x v="3"/>
    <x v="5"/>
    <n v="19"/>
    <n v="401.68"/>
    <s v="Store C"/>
    <s v="Wholesale"/>
    <x v="3"/>
    <x v="1"/>
    <x v="618"/>
    <x v="3"/>
    <x v="2"/>
    <x v="1"/>
    <s v="REG100618"/>
    <s v="Cust 5972"/>
    <n v="37.770000000000003"/>
    <x v="458"/>
    <x v="2"/>
    <d v="2024-05-11T00:00:00"/>
    <s v="Cameron"/>
  </r>
  <r>
    <d v="2025-06-27T00:00:00"/>
    <x v="4"/>
    <x v="2"/>
    <n v="13"/>
    <n v="112.88"/>
    <s v="Store D"/>
    <s v="Retail"/>
    <x v="0"/>
    <x v="2"/>
    <x v="619"/>
    <x v="3"/>
    <x v="3"/>
    <x v="0"/>
    <s v="REG100619"/>
    <s v="Cust 8597"/>
    <n v="12.39"/>
    <x v="440"/>
    <x v="28"/>
    <d v="2025-06-29T00:00:00"/>
    <s v="Wendy"/>
  </r>
  <r>
    <d v="2024-05-14T00:00:00"/>
    <x v="4"/>
    <x v="1"/>
    <n v="6"/>
    <n v="370.08"/>
    <s v="Store D"/>
    <s v="Retail"/>
    <x v="2"/>
    <x v="1"/>
    <x v="620"/>
    <x v="0"/>
    <x v="1"/>
    <x v="0"/>
    <s v="REG100620"/>
    <s v="Cust 5382"/>
    <n v="7.39"/>
    <x v="125"/>
    <x v="13"/>
    <d v="2024-05-22T00:00:00"/>
    <s v="Wendy"/>
  </r>
  <r>
    <d v="2024-02-29T00:00:00"/>
    <x v="2"/>
    <x v="3"/>
    <n v="15"/>
    <n v="119.86"/>
    <s v="Store A"/>
    <s v="Wholesale"/>
    <x v="2"/>
    <x v="5"/>
    <x v="621"/>
    <x v="3"/>
    <x v="3"/>
    <x v="1"/>
    <s v="REG100621"/>
    <s v="Cust 4323"/>
    <n v="30.78"/>
    <x v="459"/>
    <x v="3"/>
    <d v="2024-03-05T00:00:00"/>
    <s v="Ryan"/>
  </r>
  <r>
    <d v="2025-05-19T00:00:00"/>
    <x v="0"/>
    <x v="1"/>
    <n v="5"/>
    <n v="271.44"/>
    <s v="Store A"/>
    <s v="Wholesale"/>
    <x v="2"/>
    <x v="4"/>
    <x v="622"/>
    <x v="3"/>
    <x v="0"/>
    <x v="0"/>
    <s v="REG100622"/>
    <s v="Cust 1767"/>
    <n v="5.98"/>
    <x v="460"/>
    <x v="18"/>
    <d v="2025-05-27T00:00:00"/>
    <s v="Eric"/>
  </r>
  <r>
    <d v="2024-12-02T00:00:00"/>
    <x v="0"/>
    <x v="2"/>
    <n v="9"/>
    <n v="363.39"/>
    <s v="Store B"/>
    <s v="Wholesale"/>
    <x v="3"/>
    <x v="4"/>
    <x v="623"/>
    <x v="1"/>
    <x v="3"/>
    <x v="0"/>
    <s v="REG100623"/>
    <s v="Cust 3845"/>
    <n v="41.64"/>
    <x v="461"/>
    <x v="21"/>
    <d v="2024-12-04T00:00:00"/>
    <s v="Eric"/>
  </r>
  <r>
    <d v="2024-07-30T00:00:00"/>
    <x v="4"/>
    <x v="6"/>
    <n v="12"/>
    <n v="533.77"/>
    <s v="Store D"/>
    <s v="Wholesale"/>
    <x v="2"/>
    <x v="1"/>
    <x v="624"/>
    <x v="4"/>
    <x v="1"/>
    <x v="0"/>
    <s v="REG100624"/>
    <s v="Cust 5912"/>
    <n v="48.71"/>
    <x v="117"/>
    <x v="36"/>
    <d v="2024-08-04T00:00:00"/>
    <s v="Wendy"/>
  </r>
  <r>
    <d v="2023-06-25T00:00:00"/>
    <x v="1"/>
    <x v="2"/>
    <n v="12"/>
    <n v="192.03"/>
    <s v="Store B"/>
    <s v="Wholesale"/>
    <x v="1"/>
    <x v="3"/>
    <x v="625"/>
    <x v="2"/>
    <x v="3"/>
    <x v="0"/>
    <s v="REG100625"/>
    <s v="Cust 4446"/>
    <n v="41.08"/>
    <x v="416"/>
    <x v="28"/>
    <d v="2023-07-03T00:00:00"/>
    <s v="Sophie"/>
  </r>
  <r>
    <d v="2024-07-10T00:00:00"/>
    <x v="1"/>
    <x v="3"/>
    <n v="20"/>
    <n v="504.22"/>
    <s v="Store D"/>
    <s v="Wholesale"/>
    <x v="0"/>
    <x v="2"/>
    <x v="626"/>
    <x v="0"/>
    <x v="2"/>
    <x v="0"/>
    <s v="REG100626"/>
    <s v="Cust 6107"/>
    <n v="14.61"/>
    <x v="462"/>
    <x v="9"/>
    <d v="2024-07-19T00:00:00"/>
    <s v="Sophie"/>
  </r>
  <r>
    <d v="2023-01-06T00:00:00"/>
    <x v="0"/>
    <x v="0"/>
    <n v="7"/>
    <n v="193.66"/>
    <s v="Store A"/>
    <s v="Wholesale"/>
    <x v="1"/>
    <x v="4"/>
    <x v="627"/>
    <x v="2"/>
    <x v="0"/>
    <x v="0"/>
    <s v="REG100627"/>
    <s v="Cust 3330"/>
    <n v="39.01"/>
    <x v="463"/>
    <x v="31"/>
    <d v="2023-01-15T00:00:00"/>
    <s v="Eric"/>
  </r>
  <r>
    <d v="2024-02-24T00:00:00"/>
    <x v="1"/>
    <x v="3"/>
    <n v="3"/>
    <n v="270.83"/>
    <s v="Store B"/>
    <s v="Wholesale"/>
    <x v="1"/>
    <x v="3"/>
    <x v="628"/>
    <x v="0"/>
    <x v="1"/>
    <x v="1"/>
    <s v="REG100628"/>
    <s v="Cust 3604"/>
    <n v="17.2"/>
    <x v="62"/>
    <x v="0"/>
    <d v="2024-02-29T00:00:00"/>
    <s v="Sophie"/>
  </r>
  <r>
    <d v="2023-12-11T00:00:00"/>
    <x v="3"/>
    <x v="5"/>
    <n v="18"/>
    <n v="62.08"/>
    <s v="Store B"/>
    <s v="Retail"/>
    <x v="0"/>
    <x v="4"/>
    <x v="629"/>
    <x v="2"/>
    <x v="1"/>
    <x v="1"/>
    <s v="REG100629"/>
    <s v="Cust 7412"/>
    <n v="8.67"/>
    <x v="464"/>
    <x v="12"/>
    <d v="2023-12-20T00:00:00"/>
    <s v="Cameron"/>
  </r>
  <r>
    <d v="2025-02-19T00:00:00"/>
    <x v="1"/>
    <x v="6"/>
    <n v="11"/>
    <n v="505.96"/>
    <s v="Store C"/>
    <s v="Wholesale"/>
    <x v="2"/>
    <x v="0"/>
    <x v="630"/>
    <x v="3"/>
    <x v="0"/>
    <x v="1"/>
    <s v="REG100630"/>
    <s v="Cust 5183"/>
    <n v="22.84"/>
    <x v="465"/>
    <x v="0"/>
    <d v="2025-02-23T00:00:00"/>
    <s v="Sophie"/>
  </r>
  <r>
    <d v="2025-03-18T00:00:00"/>
    <x v="4"/>
    <x v="5"/>
    <n v="4"/>
    <n v="62.46"/>
    <s v="Store D"/>
    <s v="Wholesale"/>
    <x v="2"/>
    <x v="1"/>
    <x v="631"/>
    <x v="3"/>
    <x v="2"/>
    <x v="0"/>
    <s v="REG100631"/>
    <s v="Cust 4825"/>
    <n v="31.91"/>
    <x v="213"/>
    <x v="26"/>
    <d v="2025-03-26T00:00:00"/>
    <s v="Wendy"/>
  </r>
  <r>
    <d v="2023-09-22T00:00:00"/>
    <x v="1"/>
    <x v="1"/>
    <n v="7"/>
    <n v="480.08"/>
    <s v="Store B"/>
    <s v="Wholesale"/>
    <x v="1"/>
    <x v="4"/>
    <x v="632"/>
    <x v="0"/>
    <x v="3"/>
    <x v="1"/>
    <s v="REG100632"/>
    <s v="Cust 2123"/>
    <n v="44.37"/>
    <x v="466"/>
    <x v="46"/>
    <d v="2023-09-27T00:00:00"/>
    <s v="Sophie"/>
  </r>
  <r>
    <d v="2023-12-23T00:00:00"/>
    <x v="4"/>
    <x v="5"/>
    <n v="18"/>
    <n v="60.66"/>
    <s v="Store A"/>
    <s v="Retail"/>
    <x v="0"/>
    <x v="5"/>
    <x v="633"/>
    <x v="0"/>
    <x v="0"/>
    <x v="1"/>
    <s v="REG100633"/>
    <s v="Cust 8684"/>
    <n v="10.08"/>
    <x v="467"/>
    <x v="1"/>
    <d v="2023-12-28T00:00:00"/>
    <s v="Wendy"/>
  </r>
  <r>
    <d v="2025-05-04T00:00:00"/>
    <x v="2"/>
    <x v="2"/>
    <n v="6"/>
    <n v="249.09"/>
    <s v="Store B"/>
    <s v="Retail"/>
    <x v="3"/>
    <x v="2"/>
    <x v="634"/>
    <x v="4"/>
    <x v="3"/>
    <x v="0"/>
    <s v="REG100634"/>
    <s v="Cust 5964"/>
    <n v="20.38"/>
    <x v="291"/>
    <x v="2"/>
    <d v="2025-05-10T00:00:00"/>
    <s v="Ryan"/>
  </r>
  <r>
    <d v="2025-01-11T00:00:00"/>
    <x v="0"/>
    <x v="1"/>
    <n v="20"/>
    <n v="400.05"/>
    <s v="Store D"/>
    <s v="Wholesale"/>
    <x v="1"/>
    <x v="4"/>
    <x v="635"/>
    <x v="3"/>
    <x v="2"/>
    <x v="0"/>
    <s v="REG100635"/>
    <s v="Cust 1810"/>
    <n v="24.41"/>
    <x v="405"/>
    <x v="5"/>
    <d v="2025-01-13T00:00:00"/>
    <s v="Eric"/>
  </r>
  <r>
    <d v="2025-04-21T00:00:00"/>
    <x v="1"/>
    <x v="6"/>
    <n v="1"/>
    <n v="130.87"/>
    <s v="Store B"/>
    <s v="Retail"/>
    <x v="3"/>
    <x v="4"/>
    <x v="636"/>
    <x v="0"/>
    <x v="2"/>
    <x v="0"/>
    <s v="REG100636"/>
    <s v="Cust 2685"/>
    <n v="43.21"/>
    <x v="468"/>
    <x v="42"/>
    <d v="2025-04-24T00:00:00"/>
    <s v="Sophie"/>
  </r>
  <r>
    <d v="2023-12-13T00:00:00"/>
    <x v="3"/>
    <x v="5"/>
    <n v="11"/>
    <n v="133.08000000000001"/>
    <s v="Store A"/>
    <s v="Wholesale"/>
    <x v="2"/>
    <x v="2"/>
    <x v="637"/>
    <x v="2"/>
    <x v="2"/>
    <x v="0"/>
    <s v="REG100637"/>
    <s v="Cust 7855"/>
    <n v="44.61"/>
    <x v="469"/>
    <x v="12"/>
    <d v="2023-12-22T00:00:00"/>
    <s v="Cameron"/>
  </r>
  <r>
    <d v="2024-02-07T00:00:00"/>
    <x v="0"/>
    <x v="3"/>
    <n v="13"/>
    <n v="448.68"/>
    <s v="Store B"/>
    <s v="Wholesale"/>
    <x v="1"/>
    <x v="4"/>
    <x v="638"/>
    <x v="2"/>
    <x v="0"/>
    <x v="1"/>
    <s v="REG100638"/>
    <s v="Cust 4101"/>
    <n v="16.82"/>
    <x v="451"/>
    <x v="29"/>
    <d v="2024-02-11T00:00:00"/>
    <s v="Eric"/>
  </r>
  <r>
    <d v="2024-04-24T00:00:00"/>
    <x v="2"/>
    <x v="5"/>
    <n v="19"/>
    <n v="36.229999999999997"/>
    <s v="Store B"/>
    <s v="Wholesale"/>
    <x v="0"/>
    <x v="4"/>
    <x v="639"/>
    <x v="3"/>
    <x v="2"/>
    <x v="0"/>
    <s v="REG100639"/>
    <s v="Cust 7964"/>
    <n v="33.94"/>
    <x v="470"/>
    <x v="42"/>
    <d v="2024-04-27T00:00:00"/>
    <s v="Ryan"/>
  </r>
  <r>
    <d v="2023-09-11T00:00:00"/>
    <x v="4"/>
    <x v="3"/>
    <n v="14"/>
    <n v="113.77"/>
    <s v="Store C"/>
    <s v="Retail"/>
    <x v="0"/>
    <x v="0"/>
    <x v="640"/>
    <x v="4"/>
    <x v="0"/>
    <x v="0"/>
    <s v="REG100640"/>
    <s v="Cust 5857"/>
    <n v="25.35"/>
    <x v="471"/>
    <x v="30"/>
    <d v="2023-09-16T00:00:00"/>
    <s v="Wendy"/>
  </r>
  <r>
    <d v="2025-06-09T00:00:00"/>
    <x v="3"/>
    <x v="6"/>
    <n v="2"/>
    <n v="89.6"/>
    <s v="Store A"/>
    <s v="Retail"/>
    <x v="0"/>
    <x v="4"/>
    <x v="641"/>
    <x v="1"/>
    <x v="0"/>
    <x v="0"/>
    <s v="REG100641"/>
    <s v="Cust 7010"/>
    <n v="23.69"/>
    <x v="102"/>
    <x v="33"/>
    <d v="2025-06-12T00:00:00"/>
    <s v="Cameron"/>
  </r>
  <r>
    <d v="2025-06-06T00:00:00"/>
    <x v="0"/>
    <x v="2"/>
    <n v="3"/>
    <n v="391.92"/>
    <s v="Store A"/>
    <s v="Wholesale"/>
    <x v="2"/>
    <x v="1"/>
    <x v="642"/>
    <x v="3"/>
    <x v="1"/>
    <x v="0"/>
    <s v="REG100642"/>
    <s v="Cust 7917"/>
    <n v="9.86"/>
    <x v="472"/>
    <x v="16"/>
    <d v="2025-06-16T00:00:00"/>
    <s v="Eric"/>
  </r>
  <r>
    <d v="2024-12-23T00:00:00"/>
    <x v="1"/>
    <x v="3"/>
    <n v="10"/>
    <n v="418.93"/>
    <s v="Store C"/>
    <s v="Wholesale"/>
    <x v="1"/>
    <x v="5"/>
    <x v="643"/>
    <x v="2"/>
    <x v="0"/>
    <x v="0"/>
    <s v="REG100643"/>
    <s v="Cust 8111"/>
    <n v="45.63"/>
    <x v="473"/>
    <x v="37"/>
    <d v="2024-12-28T00:00:00"/>
    <s v="Sophie"/>
  </r>
  <r>
    <d v="2023-08-27T00:00:00"/>
    <x v="0"/>
    <x v="4"/>
    <n v="12"/>
    <n v="303.08999999999997"/>
    <s v="Store B"/>
    <s v="Wholesale"/>
    <x v="0"/>
    <x v="1"/>
    <x v="644"/>
    <x v="1"/>
    <x v="2"/>
    <x v="1"/>
    <s v="REG100644"/>
    <s v="Cust 4715"/>
    <n v="5.48"/>
    <x v="474"/>
    <x v="44"/>
    <d v="2023-09-03T00:00:00"/>
    <s v="Eric"/>
  </r>
  <r>
    <d v="2023-01-09T00:00:00"/>
    <x v="0"/>
    <x v="4"/>
    <n v="10"/>
    <n v="209.95"/>
    <s v="Store A"/>
    <s v="Wholesale"/>
    <x v="1"/>
    <x v="0"/>
    <x v="645"/>
    <x v="4"/>
    <x v="2"/>
    <x v="0"/>
    <s v="REG100645"/>
    <s v="Cust 8720"/>
    <n v="10.99"/>
    <x v="7"/>
    <x v="5"/>
    <d v="2023-01-13T00:00:00"/>
    <s v="Eric"/>
  </r>
  <r>
    <d v="2025-04-22T00:00:00"/>
    <x v="0"/>
    <x v="0"/>
    <n v="8"/>
    <n v="283.63"/>
    <s v="Store C"/>
    <s v="Wholesale"/>
    <x v="1"/>
    <x v="1"/>
    <x v="646"/>
    <x v="4"/>
    <x v="1"/>
    <x v="0"/>
    <s v="REG100646"/>
    <s v="Cust 8216"/>
    <n v="49.91"/>
    <x v="475"/>
    <x v="42"/>
    <d v="2025-04-25T00:00:00"/>
    <s v="Eric"/>
  </r>
  <r>
    <d v="2023-09-06T00:00:00"/>
    <x v="1"/>
    <x v="1"/>
    <n v="7"/>
    <n v="18.36"/>
    <s v="Store D"/>
    <s v="Retail"/>
    <x v="1"/>
    <x v="1"/>
    <x v="647"/>
    <x v="0"/>
    <x v="3"/>
    <x v="0"/>
    <s v="REG100647"/>
    <s v="Cust 6946"/>
    <n v="48.92"/>
    <x v="476"/>
    <x v="25"/>
    <d v="2023-09-11T00:00:00"/>
    <s v="Sophie"/>
  </r>
  <r>
    <d v="2023-01-21T00:00:00"/>
    <x v="0"/>
    <x v="4"/>
    <n v="9"/>
    <n v="475.38"/>
    <s v="Store A"/>
    <s v="Wholesale"/>
    <x v="1"/>
    <x v="3"/>
    <x v="648"/>
    <x v="3"/>
    <x v="1"/>
    <x v="0"/>
    <s v="REG100648"/>
    <s v="Cust 9888"/>
    <n v="39.979999999999997"/>
    <x v="477"/>
    <x v="11"/>
    <d v="2023-01-27T00:00:00"/>
    <s v="Eric"/>
  </r>
  <r>
    <d v="2024-04-26T00:00:00"/>
    <x v="3"/>
    <x v="3"/>
    <n v="12"/>
    <n v="591.91999999999996"/>
    <s v="Store D"/>
    <s v="Retail"/>
    <x v="0"/>
    <x v="0"/>
    <x v="649"/>
    <x v="3"/>
    <x v="1"/>
    <x v="0"/>
    <s v="REG100649"/>
    <s v="Cust 4009"/>
    <n v="25.2"/>
    <x v="478"/>
    <x v="42"/>
    <d v="2024-05-06T00:00:00"/>
    <s v="Cameron"/>
  </r>
  <r>
    <d v="2023-06-27T00:00:00"/>
    <x v="2"/>
    <x v="1"/>
    <n v="7"/>
    <n v="93.23"/>
    <s v="Store B"/>
    <s v="Retail"/>
    <x v="3"/>
    <x v="1"/>
    <x v="650"/>
    <x v="2"/>
    <x v="0"/>
    <x v="1"/>
    <s v="REG100650"/>
    <s v="Cust 9489"/>
    <n v="6.47"/>
    <x v="161"/>
    <x v="28"/>
    <d v="2023-06-30T00:00:00"/>
    <s v="Ryan"/>
  </r>
  <r>
    <d v="2023-01-01T00:00:00"/>
    <x v="0"/>
    <x v="5"/>
    <n v="15"/>
    <n v="298.70999999999998"/>
    <s v="Store C"/>
    <s v="Retail"/>
    <x v="0"/>
    <x v="5"/>
    <x v="651"/>
    <x v="3"/>
    <x v="1"/>
    <x v="0"/>
    <s v="REG100651"/>
    <s v="Cust 2446"/>
    <n v="11.38"/>
    <x v="209"/>
    <x v="31"/>
    <d v="2023-01-08T00:00:00"/>
    <s v="Eric"/>
  </r>
  <r>
    <d v="2023-12-30T00:00:00"/>
    <x v="4"/>
    <x v="5"/>
    <n v="15"/>
    <n v="52.37"/>
    <s v="Store A"/>
    <s v="Retail"/>
    <x v="2"/>
    <x v="4"/>
    <x v="652"/>
    <x v="0"/>
    <x v="1"/>
    <x v="0"/>
    <s v="REG100652"/>
    <s v="Cust 4150"/>
    <n v="8.93"/>
    <x v="479"/>
    <x v="37"/>
    <d v="2024-01-02T00:00:00"/>
    <s v="Wendy"/>
  </r>
  <r>
    <d v="2023-01-22T00:00:00"/>
    <x v="3"/>
    <x v="1"/>
    <n v="6"/>
    <n v="104.19"/>
    <s v="Store C"/>
    <s v="Retail"/>
    <x v="1"/>
    <x v="4"/>
    <x v="653"/>
    <x v="0"/>
    <x v="3"/>
    <x v="0"/>
    <s v="REG100653"/>
    <s v="Cust 3569"/>
    <n v="8.6199999999999992"/>
    <x v="229"/>
    <x v="34"/>
    <d v="2023-01-24T00:00:00"/>
    <s v="Cameron"/>
  </r>
  <r>
    <d v="2024-07-27T00:00:00"/>
    <x v="1"/>
    <x v="0"/>
    <n v="8"/>
    <n v="493.09"/>
    <s v="Store A"/>
    <s v="Retail"/>
    <x v="3"/>
    <x v="4"/>
    <x v="654"/>
    <x v="2"/>
    <x v="0"/>
    <x v="0"/>
    <s v="REG100654"/>
    <s v="Cust 1023"/>
    <n v="11.49"/>
    <x v="480"/>
    <x v="27"/>
    <d v="2024-08-05T00:00:00"/>
    <s v="Sophie"/>
  </r>
  <r>
    <d v="2024-01-15T00:00:00"/>
    <x v="1"/>
    <x v="3"/>
    <n v="6"/>
    <n v="291.58"/>
    <s v="Store B"/>
    <s v="Wholesale"/>
    <x v="0"/>
    <x v="2"/>
    <x v="655"/>
    <x v="2"/>
    <x v="0"/>
    <x v="0"/>
    <s v="REG100655"/>
    <s v="Cust 3748"/>
    <n v="30.25"/>
    <x v="481"/>
    <x v="11"/>
    <d v="2024-01-17T00:00:00"/>
    <s v="Sophie"/>
  </r>
  <r>
    <d v="2024-01-04T00:00:00"/>
    <x v="4"/>
    <x v="5"/>
    <n v="1"/>
    <n v="103.13"/>
    <s v="Store B"/>
    <s v="Wholesale"/>
    <x v="0"/>
    <x v="5"/>
    <x v="656"/>
    <x v="0"/>
    <x v="0"/>
    <x v="0"/>
    <s v="REG100656"/>
    <s v="Cust 4798"/>
    <n v="42.38"/>
    <x v="482"/>
    <x v="31"/>
    <d v="2024-01-14T00:00:00"/>
    <s v="Wendy"/>
  </r>
  <r>
    <d v="2023-02-09T00:00:00"/>
    <x v="0"/>
    <x v="4"/>
    <n v="1"/>
    <n v="541.9"/>
    <s v="Store A"/>
    <s v="Retail"/>
    <x v="3"/>
    <x v="0"/>
    <x v="657"/>
    <x v="4"/>
    <x v="2"/>
    <x v="0"/>
    <s v="REG100657"/>
    <s v="Cust 8305"/>
    <n v="40.35"/>
    <x v="483"/>
    <x v="29"/>
    <d v="2023-02-19T00:00:00"/>
    <s v="Eric"/>
  </r>
  <r>
    <d v="2024-06-20T00:00:00"/>
    <x v="2"/>
    <x v="1"/>
    <n v="11"/>
    <n v="303.08999999999997"/>
    <s v="Store D"/>
    <s v="Wholesale"/>
    <x v="1"/>
    <x v="4"/>
    <x v="658"/>
    <x v="0"/>
    <x v="1"/>
    <x v="0"/>
    <s v="REG100658"/>
    <s v="Cust 3864"/>
    <n v="21.88"/>
    <x v="249"/>
    <x v="4"/>
    <d v="2024-06-24T00:00:00"/>
    <s v="Ryan"/>
  </r>
  <r>
    <d v="2023-02-21T00:00:00"/>
    <x v="3"/>
    <x v="2"/>
    <n v="11"/>
    <n v="61.81"/>
    <s v="Store C"/>
    <s v="Retail"/>
    <x v="3"/>
    <x v="5"/>
    <x v="659"/>
    <x v="1"/>
    <x v="2"/>
    <x v="0"/>
    <s v="REG100659"/>
    <s v="Cust 3459"/>
    <n v="47.95"/>
    <x v="220"/>
    <x v="0"/>
    <d v="2023-03-03T00:00:00"/>
    <s v="Cameron"/>
  </r>
  <r>
    <d v="2023-08-16T00:00:00"/>
    <x v="3"/>
    <x v="2"/>
    <n v="8"/>
    <n v="355.15"/>
    <s v="Store B"/>
    <s v="Retail"/>
    <x v="1"/>
    <x v="3"/>
    <x v="660"/>
    <x v="0"/>
    <x v="3"/>
    <x v="1"/>
    <s v="REG100660"/>
    <s v="Cust 1187"/>
    <n v="38.590000000000003"/>
    <x v="484"/>
    <x v="45"/>
    <d v="2023-08-24T00:00:00"/>
    <s v="Cameron"/>
  </r>
  <r>
    <d v="2023-11-03T00:00:00"/>
    <x v="4"/>
    <x v="4"/>
    <n v="11"/>
    <n v="119.84"/>
    <s v="Store D"/>
    <s v="Wholesale"/>
    <x v="1"/>
    <x v="0"/>
    <x v="661"/>
    <x v="0"/>
    <x v="1"/>
    <x v="0"/>
    <s v="REG100661"/>
    <s v="Cust 7509"/>
    <n v="16.64"/>
    <x v="257"/>
    <x v="50"/>
    <d v="2023-11-11T00:00:00"/>
    <s v="Wendy"/>
  </r>
  <r>
    <d v="2024-04-26T00:00:00"/>
    <x v="1"/>
    <x v="0"/>
    <n v="16"/>
    <n v="318.32"/>
    <s v="Store C"/>
    <s v="Wholesale"/>
    <x v="3"/>
    <x v="4"/>
    <x v="662"/>
    <x v="2"/>
    <x v="0"/>
    <x v="0"/>
    <s v="REG100662"/>
    <s v="Cust 1869"/>
    <n v="40.78"/>
    <x v="478"/>
    <x v="42"/>
    <d v="2024-05-01T00:00:00"/>
    <s v="Sophie"/>
  </r>
  <r>
    <d v="2024-10-08T00:00:00"/>
    <x v="1"/>
    <x v="2"/>
    <n v="9"/>
    <n v="446.49"/>
    <s v="Store D"/>
    <s v="Wholesale"/>
    <x v="2"/>
    <x v="3"/>
    <x v="663"/>
    <x v="4"/>
    <x v="0"/>
    <x v="0"/>
    <s v="REG100663"/>
    <s v="Cust 5943"/>
    <n v="5.77"/>
    <x v="485"/>
    <x v="51"/>
    <d v="2024-10-17T00:00:00"/>
    <s v="Sophie"/>
  </r>
  <r>
    <d v="2023-01-09T00:00:00"/>
    <x v="1"/>
    <x v="2"/>
    <n v="16"/>
    <n v="258.82"/>
    <s v="Store D"/>
    <s v="Retail"/>
    <x v="1"/>
    <x v="4"/>
    <x v="664"/>
    <x v="0"/>
    <x v="1"/>
    <x v="0"/>
    <s v="REG100664"/>
    <s v="Cust 8364"/>
    <n v="46.93"/>
    <x v="7"/>
    <x v="5"/>
    <d v="2023-01-17T00:00:00"/>
    <s v="Sophie"/>
  </r>
  <r>
    <d v="2023-12-25T00:00:00"/>
    <x v="2"/>
    <x v="6"/>
    <n v="9"/>
    <n v="272.68"/>
    <s v="Store D"/>
    <s v="Wholesale"/>
    <x v="3"/>
    <x v="0"/>
    <x v="665"/>
    <x v="0"/>
    <x v="1"/>
    <x v="0"/>
    <s v="REG100665"/>
    <s v="Cust 8401"/>
    <n v="16.43"/>
    <x v="486"/>
    <x v="37"/>
    <d v="2024-01-02T00:00:00"/>
    <s v="Ryan"/>
  </r>
  <r>
    <d v="2024-05-11T00:00:00"/>
    <x v="3"/>
    <x v="4"/>
    <n v="12"/>
    <n v="438.77"/>
    <s v="Store C"/>
    <s v="Retail"/>
    <x v="0"/>
    <x v="0"/>
    <x v="666"/>
    <x v="3"/>
    <x v="1"/>
    <x v="0"/>
    <s v="REG100666"/>
    <s v="Cust 4047"/>
    <n v="9.31"/>
    <x v="487"/>
    <x v="2"/>
    <d v="2024-05-20T00:00:00"/>
    <s v="Cameron"/>
  </r>
  <r>
    <d v="2023-11-23T00:00:00"/>
    <x v="4"/>
    <x v="5"/>
    <n v="18"/>
    <n v="267.63"/>
    <s v="Store B"/>
    <s v="Retail"/>
    <x v="0"/>
    <x v="3"/>
    <x v="667"/>
    <x v="1"/>
    <x v="1"/>
    <x v="0"/>
    <s v="REG100667"/>
    <s v="Cust 6019"/>
    <n v="44.48"/>
    <x v="488"/>
    <x v="20"/>
    <d v="2023-11-26T00:00:00"/>
    <s v="Wendy"/>
  </r>
  <r>
    <d v="2023-12-10T00:00:00"/>
    <x v="3"/>
    <x v="6"/>
    <n v="6"/>
    <n v="115.94"/>
    <s v="Store A"/>
    <s v="Wholesale"/>
    <x v="3"/>
    <x v="3"/>
    <x v="668"/>
    <x v="2"/>
    <x v="1"/>
    <x v="0"/>
    <s v="REG100668"/>
    <s v="Cust 8750"/>
    <n v="23.91"/>
    <x v="489"/>
    <x v="12"/>
    <d v="2023-12-12T00:00:00"/>
    <s v="Cameron"/>
  </r>
  <r>
    <d v="2024-02-03T00:00:00"/>
    <x v="2"/>
    <x v="6"/>
    <n v="19"/>
    <n v="275.77999999999997"/>
    <s v="Store C"/>
    <s v="Retail"/>
    <x v="0"/>
    <x v="2"/>
    <x v="669"/>
    <x v="4"/>
    <x v="1"/>
    <x v="0"/>
    <s v="REG100669"/>
    <s v="Cust 5782"/>
    <n v="47"/>
    <x v="490"/>
    <x v="43"/>
    <d v="2024-02-05T00:00:00"/>
    <s v="Ryan"/>
  </r>
  <r>
    <d v="2024-11-24T00:00:00"/>
    <x v="3"/>
    <x v="3"/>
    <n v="12"/>
    <n v="255.93"/>
    <s v="Store B"/>
    <s v="Retail"/>
    <x v="0"/>
    <x v="0"/>
    <x v="670"/>
    <x v="4"/>
    <x v="2"/>
    <x v="0"/>
    <s v="REG100670"/>
    <s v="Cust 4090"/>
    <n v="23.74"/>
    <x v="224"/>
    <x v="15"/>
    <d v="2024-12-04T00:00:00"/>
    <s v="Cameron"/>
  </r>
  <r>
    <d v="2024-03-06T00:00:00"/>
    <x v="4"/>
    <x v="1"/>
    <n v="1"/>
    <n v="381.21"/>
    <s v="Store D"/>
    <s v="Wholesale"/>
    <x v="2"/>
    <x v="5"/>
    <x v="671"/>
    <x v="0"/>
    <x v="3"/>
    <x v="0"/>
    <s v="REG100671"/>
    <s v="Cust 4730"/>
    <n v="9.9499999999999993"/>
    <x v="491"/>
    <x v="7"/>
    <d v="2024-03-11T00:00:00"/>
    <s v="Wendy"/>
  </r>
  <r>
    <d v="2025-02-01T00:00:00"/>
    <x v="1"/>
    <x v="2"/>
    <n v="5"/>
    <n v="38.229999999999997"/>
    <s v="Store C"/>
    <s v="Wholesale"/>
    <x v="2"/>
    <x v="5"/>
    <x v="672"/>
    <x v="3"/>
    <x v="3"/>
    <x v="0"/>
    <s v="REG100672"/>
    <s v="Cust 5648"/>
    <n v="21.06"/>
    <x v="492"/>
    <x v="43"/>
    <d v="2025-02-11T00:00:00"/>
    <s v="Sophie"/>
  </r>
  <r>
    <d v="2024-06-04T00:00:00"/>
    <x v="3"/>
    <x v="0"/>
    <n v="7"/>
    <n v="225.86"/>
    <s v="Store B"/>
    <s v="Wholesale"/>
    <x v="0"/>
    <x v="3"/>
    <x v="673"/>
    <x v="3"/>
    <x v="3"/>
    <x v="0"/>
    <s v="REG100673"/>
    <s v="Cust 8933"/>
    <n v="24.48"/>
    <x v="44"/>
    <x v="16"/>
    <d v="2024-06-09T00:00:00"/>
    <s v="Cameron"/>
  </r>
  <r>
    <d v="2023-08-06T00:00:00"/>
    <x v="3"/>
    <x v="2"/>
    <n v="8"/>
    <n v="548.02"/>
    <s v="Store D"/>
    <s v="Retail"/>
    <x v="3"/>
    <x v="0"/>
    <x v="674"/>
    <x v="0"/>
    <x v="3"/>
    <x v="0"/>
    <s v="REG100674"/>
    <s v="Cust 9280"/>
    <n v="33.4"/>
    <x v="23"/>
    <x v="17"/>
    <d v="2023-08-13T00:00:00"/>
    <s v="Cameron"/>
  </r>
  <r>
    <d v="2023-06-30T00:00:00"/>
    <x v="4"/>
    <x v="6"/>
    <n v="18"/>
    <n v="485.3"/>
    <s v="Store D"/>
    <s v="Wholesale"/>
    <x v="3"/>
    <x v="5"/>
    <x v="675"/>
    <x v="3"/>
    <x v="0"/>
    <x v="1"/>
    <s v="REG100675"/>
    <s v="Cust 8696"/>
    <n v="47.77"/>
    <x v="43"/>
    <x v="28"/>
    <d v="2023-07-05T00:00:00"/>
    <s v="Wendy"/>
  </r>
  <r>
    <d v="2023-02-15T00:00:00"/>
    <x v="4"/>
    <x v="6"/>
    <n v="19"/>
    <n v="414.31"/>
    <s v="Store A"/>
    <s v="Retail"/>
    <x v="1"/>
    <x v="0"/>
    <x v="676"/>
    <x v="2"/>
    <x v="1"/>
    <x v="0"/>
    <s v="REG100676"/>
    <s v="Cust 1944"/>
    <n v="17.43"/>
    <x v="493"/>
    <x v="22"/>
    <d v="2023-02-19T00:00:00"/>
    <s v="Wendy"/>
  </r>
  <r>
    <d v="2024-01-23T00:00:00"/>
    <x v="2"/>
    <x v="6"/>
    <n v="8"/>
    <n v="50.72"/>
    <s v="Store A"/>
    <s v="Wholesale"/>
    <x v="3"/>
    <x v="3"/>
    <x v="677"/>
    <x v="3"/>
    <x v="3"/>
    <x v="0"/>
    <s v="REG100677"/>
    <s v="Cust 7780"/>
    <n v="12.35"/>
    <x v="145"/>
    <x v="34"/>
    <d v="2024-01-30T00:00:00"/>
    <s v="Ryan"/>
  </r>
  <r>
    <d v="2024-10-31T00:00:00"/>
    <x v="2"/>
    <x v="5"/>
    <n v="17"/>
    <n v="83.26"/>
    <s v="Store A"/>
    <s v="Wholesale"/>
    <x v="2"/>
    <x v="0"/>
    <x v="678"/>
    <x v="4"/>
    <x v="1"/>
    <x v="0"/>
    <s v="REG100678"/>
    <s v="Cust 8055"/>
    <n v="42.68"/>
    <x v="335"/>
    <x v="50"/>
    <d v="2024-11-06T00:00:00"/>
    <s v="Ryan"/>
  </r>
  <r>
    <d v="2023-12-19T00:00:00"/>
    <x v="3"/>
    <x v="2"/>
    <n v="20"/>
    <n v="51.85"/>
    <s v="Store C"/>
    <s v="Wholesale"/>
    <x v="2"/>
    <x v="3"/>
    <x v="679"/>
    <x v="4"/>
    <x v="3"/>
    <x v="0"/>
    <s v="REG100679"/>
    <s v="Cust 4707"/>
    <n v="33.159999999999997"/>
    <x v="373"/>
    <x v="1"/>
    <d v="2023-12-21T00:00:00"/>
    <s v="Cameron"/>
  </r>
  <r>
    <d v="2023-07-04T00:00:00"/>
    <x v="1"/>
    <x v="5"/>
    <n v="12"/>
    <n v="122.51"/>
    <s v="Store B"/>
    <s v="Wholesale"/>
    <x v="3"/>
    <x v="4"/>
    <x v="680"/>
    <x v="1"/>
    <x v="2"/>
    <x v="0"/>
    <s v="REG100680"/>
    <s v="Cust 8088"/>
    <n v="43.47"/>
    <x v="250"/>
    <x v="49"/>
    <d v="2023-07-06T00:00:00"/>
    <s v="Sophie"/>
  </r>
  <r>
    <d v="2024-05-16T00:00:00"/>
    <x v="0"/>
    <x v="0"/>
    <n v="11"/>
    <n v="222.13"/>
    <s v="Store D"/>
    <s v="Wholesale"/>
    <x v="2"/>
    <x v="0"/>
    <x v="681"/>
    <x v="4"/>
    <x v="2"/>
    <x v="1"/>
    <s v="REG100681"/>
    <s v="Cust 7806"/>
    <n v="9.8800000000000008"/>
    <x v="494"/>
    <x v="13"/>
    <d v="2024-05-18T00:00:00"/>
    <s v="Eric"/>
  </r>
  <r>
    <d v="2023-09-16T00:00:00"/>
    <x v="2"/>
    <x v="4"/>
    <n v="8"/>
    <n v="204.84"/>
    <s v="Store C"/>
    <s v="Retail"/>
    <x v="0"/>
    <x v="5"/>
    <x v="682"/>
    <x v="4"/>
    <x v="3"/>
    <x v="0"/>
    <s v="REG100682"/>
    <s v="Cust 7033"/>
    <n v="43.4"/>
    <x v="292"/>
    <x v="30"/>
    <d v="2023-09-21T00:00:00"/>
    <s v="Ryan"/>
  </r>
  <r>
    <d v="2024-11-22T00:00:00"/>
    <x v="0"/>
    <x v="3"/>
    <n v="3"/>
    <n v="536.97"/>
    <s v="Store C"/>
    <s v="Wholesale"/>
    <x v="0"/>
    <x v="3"/>
    <x v="683"/>
    <x v="3"/>
    <x v="3"/>
    <x v="0"/>
    <s v="REG100683"/>
    <s v="Cust 8372"/>
    <n v="13.86"/>
    <x v="196"/>
    <x v="20"/>
    <d v="2024-12-01T00:00:00"/>
    <s v="Eric"/>
  </r>
  <r>
    <d v="2024-04-13T00:00:00"/>
    <x v="4"/>
    <x v="3"/>
    <n v="15"/>
    <n v="553.01"/>
    <s v="Store A"/>
    <s v="Retail"/>
    <x v="1"/>
    <x v="3"/>
    <x v="684"/>
    <x v="2"/>
    <x v="1"/>
    <x v="1"/>
    <s v="REG100684"/>
    <s v="Cust 1935"/>
    <n v="23.3"/>
    <x v="495"/>
    <x v="8"/>
    <d v="2024-04-21T00:00:00"/>
    <s v="Wendy"/>
  </r>
  <r>
    <d v="2024-06-30T00:00:00"/>
    <x v="1"/>
    <x v="3"/>
    <n v="20"/>
    <n v="284.82"/>
    <s v="Store D"/>
    <s v="Retail"/>
    <x v="1"/>
    <x v="1"/>
    <x v="685"/>
    <x v="2"/>
    <x v="2"/>
    <x v="1"/>
    <s v="REG100685"/>
    <s v="Cust 8417"/>
    <n v="27"/>
    <x v="261"/>
    <x v="49"/>
    <d v="2024-07-06T00:00:00"/>
    <s v="Sophie"/>
  </r>
  <r>
    <d v="2024-08-29T00:00:00"/>
    <x v="2"/>
    <x v="2"/>
    <n v="18"/>
    <n v="523.87"/>
    <s v="Store C"/>
    <s v="Retail"/>
    <x v="2"/>
    <x v="4"/>
    <x v="686"/>
    <x v="1"/>
    <x v="2"/>
    <x v="0"/>
    <s v="REG100686"/>
    <s v="Cust 3370"/>
    <n v="42.63"/>
    <x v="496"/>
    <x v="44"/>
    <d v="2024-09-02T00:00:00"/>
    <s v="Ryan"/>
  </r>
  <r>
    <d v="2023-12-26T00:00:00"/>
    <x v="3"/>
    <x v="2"/>
    <n v="3"/>
    <n v="232.13"/>
    <s v="Store B"/>
    <s v="Retail"/>
    <x v="1"/>
    <x v="4"/>
    <x v="687"/>
    <x v="4"/>
    <x v="3"/>
    <x v="1"/>
    <s v="REG100687"/>
    <s v="Cust 3664"/>
    <n v="46.65"/>
    <x v="442"/>
    <x v="37"/>
    <d v="2023-12-31T00:00:00"/>
    <s v="Cameron"/>
  </r>
  <r>
    <d v="2025-01-30T00:00:00"/>
    <x v="2"/>
    <x v="1"/>
    <n v="17"/>
    <n v="179.32"/>
    <s v="Store A"/>
    <s v="Retail"/>
    <x v="1"/>
    <x v="5"/>
    <x v="688"/>
    <x v="3"/>
    <x v="1"/>
    <x v="1"/>
    <s v="REG100688"/>
    <s v="Cust 5760"/>
    <n v="26.74"/>
    <x v="258"/>
    <x v="43"/>
    <d v="2025-02-06T00:00:00"/>
    <s v="Ryan"/>
  </r>
  <r>
    <d v="2023-05-17T00:00:00"/>
    <x v="1"/>
    <x v="3"/>
    <n v="1"/>
    <n v="396.35"/>
    <s v="Store B"/>
    <s v="Retail"/>
    <x v="2"/>
    <x v="2"/>
    <x v="689"/>
    <x v="3"/>
    <x v="1"/>
    <x v="1"/>
    <s v="REG100689"/>
    <s v="Cust 3037"/>
    <n v="19.89"/>
    <x v="497"/>
    <x v="13"/>
    <d v="2023-05-25T00:00:00"/>
    <s v="Sophie"/>
  </r>
  <r>
    <d v="2024-01-27T00:00:00"/>
    <x v="3"/>
    <x v="2"/>
    <n v="17"/>
    <n v="108.48"/>
    <s v="Store A"/>
    <s v="Wholesale"/>
    <x v="1"/>
    <x v="3"/>
    <x v="690"/>
    <x v="0"/>
    <x v="3"/>
    <x v="1"/>
    <s v="REG100690"/>
    <s v="Cust 9828"/>
    <n v="48.9"/>
    <x v="498"/>
    <x v="34"/>
    <d v="2024-02-05T00:00:00"/>
    <s v="Cameron"/>
  </r>
  <r>
    <d v="2025-05-26T00:00:00"/>
    <x v="0"/>
    <x v="6"/>
    <n v="10"/>
    <n v="149.66999999999999"/>
    <s v="Store D"/>
    <s v="Retail"/>
    <x v="1"/>
    <x v="3"/>
    <x v="691"/>
    <x v="4"/>
    <x v="0"/>
    <x v="1"/>
    <s v="REG100691"/>
    <s v="Cust 5297"/>
    <n v="49.67"/>
    <x v="499"/>
    <x v="14"/>
    <d v="2025-06-02T00:00:00"/>
    <s v="Eric"/>
  </r>
  <r>
    <d v="2025-03-09T00:00:00"/>
    <x v="2"/>
    <x v="1"/>
    <n v="1"/>
    <n v="506.41"/>
    <s v="Store D"/>
    <s v="Wholesale"/>
    <x v="0"/>
    <x v="5"/>
    <x v="692"/>
    <x v="4"/>
    <x v="3"/>
    <x v="0"/>
    <s v="REG100692"/>
    <s v="Cust 6785"/>
    <n v="17.899999999999999"/>
    <x v="31"/>
    <x v="23"/>
    <d v="2025-03-17T00:00:00"/>
    <s v="Ryan"/>
  </r>
  <r>
    <d v="2024-02-22T00:00:00"/>
    <x v="4"/>
    <x v="5"/>
    <n v="6"/>
    <n v="345.9"/>
    <s v="Store B"/>
    <s v="Retail"/>
    <x v="2"/>
    <x v="2"/>
    <x v="693"/>
    <x v="2"/>
    <x v="2"/>
    <x v="0"/>
    <s v="REG100693"/>
    <s v="Cust 1344"/>
    <n v="30.58"/>
    <x v="193"/>
    <x v="0"/>
    <d v="2024-03-03T00:00:00"/>
    <s v="Wendy"/>
  </r>
  <r>
    <d v="2025-02-03T00:00:00"/>
    <x v="0"/>
    <x v="5"/>
    <n v="15"/>
    <n v="342.04"/>
    <s v="Store C"/>
    <s v="Retail"/>
    <x v="2"/>
    <x v="4"/>
    <x v="694"/>
    <x v="1"/>
    <x v="2"/>
    <x v="0"/>
    <s v="REG100694"/>
    <s v="Cust 4023"/>
    <n v="44.91"/>
    <x v="45"/>
    <x v="29"/>
    <d v="2025-02-08T00:00:00"/>
    <s v="Eric"/>
  </r>
  <r>
    <d v="2024-01-09T00:00:00"/>
    <x v="3"/>
    <x v="6"/>
    <n v="11"/>
    <n v="404.88"/>
    <s v="Store A"/>
    <s v="Wholesale"/>
    <x v="3"/>
    <x v="1"/>
    <x v="695"/>
    <x v="1"/>
    <x v="1"/>
    <x v="0"/>
    <s v="REG100695"/>
    <s v="Cust 3721"/>
    <n v="18.920000000000002"/>
    <x v="46"/>
    <x v="5"/>
    <d v="2024-01-16T00:00:00"/>
    <s v="Cameron"/>
  </r>
  <r>
    <d v="2025-05-05T00:00:00"/>
    <x v="2"/>
    <x v="2"/>
    <n v="9"/>
    <n v="292.45999999999998"/>
    <s v="Store A"/>
    <s v="Wholesale"/>
    <x v="3"/>
    <x v="3"/>
    <x v="696"/>
    <x v="2"/>
    <x v="3"/>
    <x v="0"/>
    <s v="REG100696"/>
    <s v="Cust 1486"/>
    <n v="34.26"/>
    <x v="500"/>
    <x v="2"/>
    <d v="2025-05-14T00:00:00"/>
    <s v="Ryan"/>
  </r>
  <r>
    <d v="2023-04-17T00:00:00"/>
    <x v="3"/>
    <x v="2"/>
    <n v="5"/>
    <n v="547.53"/>
    <s v="Store A"/>
    <s v="Retail"/>
    <x v="1"/>
    <x v="0"/>
    <x v="697"/>
    <x v="3"/>
    <x v="3"/>
    <x v="0"/>
    <s v="REG100697"/>
    <s v="Cust 3958"/>
    <n v="24.68"/>
    <x v="417"/>
    <x v="32"/>
    <d v="2023-04-21T00:00:00"/>
    <s v="Cameron"/>
  </r>
  <r>
    <d v="2024-06-16T00:00:00"/>
    <x v="1"/>
    <x v="2"/>
    <n v="12"/>
    <n v="348.88"/>
    <s v="Store C"/>
    <s v="Wholesale"/>
    <x v="0"/>
    <x v="1"/>
    <x v="698"/>
    <x v="2"/>
    <x v="1"/>
    <x v="0"/>
    <s v="REG100698"/>
    <s v="Cust 6914"/>
    <n v="31.28"/>
    <x v="40"/>
    <x v="4"/>
    <d v="2024-06-21T00:00:00"/>
    <s v="Sophie"/>
  </r>
  <r>
    <d v="2024-11-01T00:00:00"/>
    <x v="1"/>
    <x v="1"/>
    <n v="15"/>
    <n v="486.03"/>
    <s v="Store C"/>
    <s v="Wholesale"/>
    <x v="0"/>
    <x v="1"/>
    <x v="699"/>
    <x v="3"/>
    <x v="2"/>
    <x v="0"/>
    <s v="REG100699"/>
    <s v="Cust 3287"/>
    <n v="14.9"/>
    <x v="501"/>
    <x v="50"/>
    <d v="2024-11-04T00:00:00"/>
    <s v="Sophie"/>
  </r>
  <r>
    <d v="2025-02-07T00:00:00"/>
    <x v="0"/>
    <x v="5"/>
    <n v="14"/>
    <n v="159.09"/>
    <s v="Store C"/>
    <s v="Retail"/>
    <x v="2"/>
    <x v="5"/>
    <x v="700"/>
    <x v="3"/>
    <x v="0"/>
    <x v="0"/>
    <s v="REG100700"/>
    <s v="Cust 9072"/>
    <n v="27.05"/>
    <x v="439"/>
    <x v="29"/>
    <d v="2025-02-10T00:00:00"/>
    <s v="Eric"/>
  </r>
  <r>
    <d v="2024-11-24T00:00:00"/>
    <x v="1"/>
    <x v="4"/>
    <n v="12"/>
    <n v="173.79"/>
    <s v="Store D"/>
    <s v="Retail"/>
    <x v="2"/>
    <x v="0"/>
    <x v="701"/>
    <x v="2"/>
    <x v="3"/>
    <x v="0"/>
    <s v="REG100701"/>
    <s v="Cust 3098"/>
    <n v="21.23"/>
    <x v="224"/>
    <x v="15"/>
    <d v="2024-12-04T00:00:00"/>
    <s v="Sophie"/>
  </r>
  <r>
    <d v="2024-04-23T00:00:00"/>
    <x v="3"/>
    <x v="4"/>
    <n v="13"/>
    <n v="439.75"/>
    <s v="Store A"/>
    <s v="Wholesale"/>
    <x v="0"/>
    <x v="2"/>
    <x v="702"/>
    <x v="0"/>
    <x v="3"/>
    <x v="1"/>
    <s v="REG100702"/>
    <s v="Cust 7942"/>
    <n v="12.23"/>
    <x v="502"/>
    <x v="42"/>
    <d v="2024-05-02T00:00:00"/>
    <s v="Cameron"/>
  </r>
  <r>
    <d v="2024-06-24T00:00:00"/>
    <x v="0"/>
    <x v="0"/>
    <n v="9"/>
    <n v="265.43"/>
    <s v="Store D"/>
    <s v="Wholesale"/>
    <x v="3"/>
    <x v="0"/>
    <x v="703"/>
    <x v="2"/>
    <x v="0"/>
    <x v="0"/>
    <s v="REG100703"/>
    <s v="Cust 4307"/>
    <n v="40.18"/>
    <x v="503"/>
    <x v="28"/>
    <d v="2024-06-27T00:00:00"/>
    <s v="Eric"/>
  </r>
  <r>
    <d v="2025-06-01T00:00:00"/>
    <x v="4"/>
    <x v="4"/>
    <n v="12"/>
    <n v="290.27999999999997"/>
    <s v="Store B"/>
    <s v="Retail"/>
    <x v="1"/>
    <x v="3"/>
    <x v="704"/>
    <x v="4"/>
    <x v="0"/>
    <x v="1"/>
    <s v="REG100704"/>
    <s v="Cust 4618"/>
    <n v="5.55"/>
    <x v="216"/>
    <x v="16"/>
    <d v="2025-06-07T00:00:00"/>
    <s v="Wendy"/>
  </r>
  <r>
    <d v="2023-03-12T00:00:00"/>
    <x v="4"/>
    <x v="5"/>
    <n v="6"/>
    <n v="88.7"/>
    <s v="Store B"/>
    <s v="Wholesale"/>
    <x v="0"/>
    <x v="3"/>
    <x v="705"/>
    <x v="1"/>
    <x v="3"/>
    <x v="0"/>
    <s v="REG100705"/>
    <s v="Cust 5322"/>
    <n v="16.98"/>
    <x v="504"/>
    <x v="23"/>
    <d v="2023-03-14T00:00:00"/>
    <s v="Wendy"/>
  </r>
  <r>
    <d v="2024-11-11T00:00:00"/>
    <x v="3"/>
    <x v="2"/>
    <n v="2"/>
    <n v="239.69"/>
    <s v="Store C"/>
    <s v="Retail"/>
    <x v="0"/>
    <x v="4"/>
    <x v="706"/>
    <x v="2"/>
    <x v="2"/>
    <x v="0"/>
    <s v="REG100706"/>
    <s v="Cust 9873"/>
    <n v="28.96"/>
    <x v="207"/>
    <x v="38"/>
    <d v="2024-11-19T00:00:00"/>
    <s v="Cameron"/>
  </r>
  <r>
    <d v="2024-10-17T00:00:00"/>
    <x v="3"/>
    <x v="5"/>
    <n v="8"/>
    <n v="39.79"/>
    <s v="Store C"/>
    <s v="Retail"/>
    <x v="1"/>
    <x v="5"/>
    <x v="707"/>
    <x v="2"/>
    <x v="1"/>
    <x v="0"/>
    <s v="REG100707"/>
    <s v="Cust 3652"/>
    <n v="46.16"/>
    <x v="386"/>
    <x v="6"/>
    <d v="2024-10-26T00:00:00"/>
    <s v="Cameron"/>
  </r>
  <r>
    <d v="2023-05-10T00:00:00"/>
    <x v="0"/>
    <x v="6"/>
    <n v="18"/>
    <n v="206.8"/>
    <s v="Store A"/>
    <s v="Retail"/>
    <x v="3"/>
    <x v="2"/>
    <x v="708"/>
    <x v="3"/>
    <x v="0"/>
    <x v="1"/>
    <s v="REG100708"/>
    <s v="Cust 5569"/>
    <n v="39.25"/>
    <x v="2"/>
    <x v="2"/>
    <d v="2023-05-13T00:00:00"/>
    <s v="Eric"/>
  </r>
  <r>
    <d v="2023-07-29T00:00:00"/>
    <x v="0"/>
    <x v="0"/>
    <n v="18"/>
    <n v="175.81"/>
    <s v="Store C"/>
    <s v="Retail"/>
    <x v="0"/>
    <x v="0"/>
    <x v="709"/>
    <x v="1"/>
    <x v="2"/>
    <x v="1"/>
    <s v="REG100709"/>
    <s v="Cust 5369"/>
    <n v="26.97"/>
    <x v="237"/>
    <x v="27"/>
    <d v="2023-08-07T00:00:00"/>
    <s v="Eric"/>
  </r>
  <r>
    <d v="2023-08-26T00:00:00"/>
    <x v="3"/>
    <x v="1"/>
    <n v="14"/>
    <n v="547.36"/>
    <s v="Store C"/>
    <s v="Retail"/>
    <x v="2"/>
    <x v="4"/>
    <x v="710"/>
    <x v="0"/>
    <x v="0"/>
    <x v="0"/>
    <s v="REG100710"/>
    <s v="Cust 9044"/>
    <n v="25.24"/>
    <x v="222"/>
    <x v="48"/>
    <d v="2023-08-29T00:00:00"/>
    <s v="Cameron"/>
  </r>
  <r>
    <d v="2023-12-28T00:00:00"/>
    <x v="0"/>
    <x v="0"/>
    <n v="19"/>
    <n v="374.8"/>
    <s v="Store A"/>
    <s v="Retail"/>
    <x v="3"/>
    <x v="3"/>
    <x v="711"/>
    <x v="0"/>
    <x v="2"/>
    <x v="0"/>
    <s v="REG100711"/>
    <s v="Cust 1887"/>
    <n v="41.67"/>
    <x v="505"/>
    <x v="37"/>
    <d v="2024-01-03T00:00:00"/>
    <s v="Eric"/>
  </r>
  <r>
    <d v="2025-03-10T00:00:00"/>
    <x v="2"/>
    <x v="5"/>
    <n v="9"/>
    <n v="507.74"/>
    <s v="Store D"/>
    <s v="Retail"/>
    <x v="2"/>
    <x v="5"/>
    <x v="712"/>
    <x v="4"/>
    <x v="0"/>
    <x v="1"/>
    <s v="REG100712"/>
    <s v="Cust 1559"/>
    <n v="22.08"/>
    <x v="506"/>
    <x v="23"/>
    <d v="2025-03-17T00:00:00"/>
    <s v="Ryan"/>
  </r>
  <r>
    <d v="2023-09-09T00:00:00"/>
    <x v="3"/>
    <x v="2"/>
    <n v="1"/>
    <n v="223.56"/>
    <s v="Store B"/>
    <s v="Wholesale"/>
    <x v="2"/>
    <x v="5"/>
    <x v="713"/>
    <x v="2"/>
    <x v="2"/>
    <x v="0"/>
    <s v="REG100713"/>
    <s v="Cust 1722"/>
    <n v="37.840000000000003"/>
    <x v="507"/>
    <x v="25"/>
    <d v="2023-09-14T00:00:00"/>
    <s v="Cameron"/>
  </r>
  <r>
    <d v="2023-05-28T00:00:00"/>
    <x v="2"/>
    <x v="5"/>
    <n v="2"/>
    <n v="294.27"/>
    <s v="Store C"/>
    <s v="Retail"/>
    <x v="1"/>
    <x v="4"/>
    <x v="714"/>
    <x v="1"/>
    <x v="3"/>
    <x v="0"/>
    <s v="REG100714"/>
    <s v="Cust 9029"/>
    <n v="9.0500000000000007"/>
    <x v="424"/>
    <x v="14"/>
    <d v="2023-06-01T00:00:00"/>
    <s v="Ryan"/>
  </r>
  <r>
    <d v="2025-05-21T00:00:00"/>
    <x v="4"/>
    <x v="4"/>
    <n v="1"/>
    <n v="319.49"/>
    <s v="Store C"/>
    <s v="Wholesale"/>
    <x v="2"/>
    <x v="4"/>
    <x v="715"/>
    <x v="0"/>
    <x v="0"/>
    <x v="1"/>
    <s v="REG100715"/>
    <s v="Cust 9555"/>
    <n v="18.100000000000001"/>
    <x v="83"/>
    <x v="18"/>
    <d v="2025-05-31T00:00:00"/>
    <s v="Wendy"/>
  </r>
  <r>
    <d v="2023-09-30T00:00:00"/>
    <x v="0"/>
    <x v="0"/>
    <n v="14"/>
    <n v="243.96"/>
    <s v="Store D"/>
    <s v="Wholesale"/>
    <x v="3"/>
    <x v="4"/>
    <x v="716"/>
    <x v="0"/>
    <x v="3"/>
    <x v="1"/>
    <s v="REG100716"/>
    <s v="Cust 2484"/>
    <n v="13.24"/>
    <x v="508"/>
    <x v="39"/>
    <d v="2023-10-04T00:00:00"/>
    <s v="Eric"/>
  </r>
  <r>
    <d v="2024-10-08T00:00:00"/>
    <x v="1"/>
    <x v="0"/>
    <n v="6"/>
    <n v="48.48"/>
    <s v="Store D"/>
    <s v="Retail"/>
    <x v="1"/>
    <x v="4"/>
    <x v="717"/>
    <x v="0"/>
    <x v="3"/>
    <x v="0"/>
    <s v="REG100717"/>
    <s v="Cust 4763"/>
    <n v="6.11"/>
    <x v="485"/>
    <x v="51"/>
    <d v="2024-10-13T00:00:00"/>
    <s v="Sophie"/>
  </r>
  <r>
    <d v="2023-04-14T00:00:00"/>
    <x v="0"/>
    <x v="0"/>
    <n v="20"/>
    <n v="87.47"/>
    <s v="Store B"/>
    <s v="Retail"/>
    <x v="0"/>
    <x v="3"/>
    <x v="718"/>
    <x v="0"/>
    <x v="2"/>
    <x v="0"/>
    <s v="REG100718"/>
    <s v="Cust 5016"/>
    <n v="48.48"/>
    <x v="271"/>
    <x v="8"/>
    <d v="2023-04-23T00:00:00"/>
    <s v="Eric"/>
  </r>
  <r>
    <d v="2023-03-05T00:00:00"/>
    <x v="1"/>
    <x v="4"/>
    <n v="17"/>
    <n v="465.6"/>
    <s v="Store C"/>
    <s v="Retail"/>
    <x v="1"/>
    <x v="5"/>
    <x v="719"/>
    <x v="3"/>
    <x v="1"/>
    <x v="0"/>
    <s v="REG100719"/>
    <s v="Cust 5528"/>
    <n v="7.76"/>
    <x v="509"/>
    <x v="7"/>
    <d v="2023-03-10T00:00:00"/>
    <s v="Sophie"/>
  </r>
  <r>
    <d v="2024-07-17T00:00:00"/>
    <x v="2"/>
    <x v="2"/>
    <n v="17"/>
    <n v="279.38"/>
    <s v="Store B"/>
    <s v="Wholesale"/>
    <x v="3"/>
    <x v="2"/>
    <x v="720"/>
    <x v="2"/>
    <x v="2"/>
    <x v="0"/>
    <s v="REG100720"/>
    <s v="Cust 6922"/>
    <n v="30.3"/>
    <x v="414"/>
    <x v="10"/>
    <d v="2024-07-20T00:00:00"/>
    <s v="Ryan"/>
  </r>
  <r>
    <d v="2024-05-20T00:00:00"/>
    <x v="2"/>
    <x v="5"/>
    <n v="16"/>
    <n v="427.68"/>
    <s v="Store A"/>
    <s v="Retail"/>
    <x v="1"/>
    <x v="3"/>
    <x v="721"/>
    <x v="3"/>
    <x v="3"/>
    <x v="0"/>
    <s v="REG100721"/>
    <s v="Cust 4807"/>
    <n v="18.72"/>
    <x v="510"/>
    <x v="18"/>
    <d v="2024-05-29T00:00:00"/>
    <s v="Ryan"/>
  </r>
  <r>
    <d v="2025-05-06T00:00:00"/>
    <x v="2"/>
    <x v="0"/>
    <n v="15"/>
    <n v="281.73"/>
    <s v="Store B"/>
    <s v="Wholesale"/>
    <x v="1"/>
    <x v="5"/>
    <x v="722"/>
    <x v="2"/>
    <x v="2"/>
    <x v="0"/>
    <s v="REG100722"/>
    <s v="Cust 3368"/>
    <n v="36.869999999999997"/>
    <x v="276"/>
    <x v="2"/>
    <d v="2025-05-10T00:00:00"/>
    <s v="Ryan"/>
  </r>
  <r>
    <d v="2023-01-15T00:00:00"/>
    <x v="2"/>
    <x v="2"/>
    <n v="15"/>
    <n v="185"/>
    <s v="Store B"/>
    <s v="Wholesale"/>
    <x v="0"/>
    <x v="1"/>
    <x v="723"/>
    <x v="4"/>
    <x v="0"/>
    <x v="0"/>
    <s v="REG100723"/>
    <s v="Cust 2871"/>
    <n v="29.31"/>
    <x v="511"/>
    <x v="11"/>
    <d v="2023-01-17T00:00:00"/>
    <s v="Ryan"/>
  </r>
  <r>
    <d v="2024-01-09T00:00:00"/>
    <x v="3"/>
    <x v="4"/>
    <n v="19"/>
    <n v="380.82"/>
    <s v="Store D"/>
    <s v="Wholesale"/>
    <x v="1"/>
    <x v="4"/>
    <x v="724"/>
    <x v="2"/>
    <x v="1"/>
    <x v="0"/>
    <s v="REG100724"/>
    <s v="Cust 6229"/>
    <n v="48.73"/>
    <x v="46"/>
    <x v="5"/>
    <d v="2024-01-12T00:00:00"/>
    <s v="Cameron"/>
  </r>
  <r>
    <d v="2023-07-12T00:00:00"/>
    <x v="1"/>
    <x v="3"/>
    <n v="4"/>
    <n v="444.87"/>
    <s v="Store B"/>
    <s v="Retail"/>
    <x v="2"/>
    <x v="3"/>
    <x v="725"/>
    <x v="0"/>
    <x v="0"/>
    <x v="0"/>
    <s v="REG100725"/>
    <s v="Cust 4560"/>
    <n v="47.14"/>
    <x v="512"/>
    <x v="9"/>
    <d v="2023-07-21T00:00:00"/>
    <s v="Sophie"/>
  </r>
  <r>
    <d v="2025-06-21T00:00:00"/>
    <x v="0"/>
    <x v="3"/>
    <n v="7"/>
    <n v="590.79"/>
    <s v="Store B"/>
    <s v="Retail"/>
    <x v="3"/>
    <x v="0"/>
    <x v="726"/>
    <x v="4"/>
    <x v="0"/>
    <x v="1"/>
    <s v="REG100726"/>
    <s v="Cust 7099"/>
    <n v="41.39"/>
    <x v="513"/>
    <x v="4"/>
    <d v="2025-06-26T00:00:00"/>
    <s v="Eric"/>
  </r>
  <r>
    <d v="2024-12-29T00:00:00"/>
    <x v="2"/>
    <x v="6"/>
    <n v="5"/>
    <n v="34.58"/>
    <s v="Store A"/>
    <s v="Retail"/>
    <x v="1"/>
    <x v="2"/>
    <x v="727"/>
    <x v="1"/>
    <x v="2"/>
    <x v="0"/>
    <s v="REG100727"/>
    <s v="Cust 6333"/>
    <n v="27.1"/>
    <x v="514"/>
    <x v="52"/>
    <d v="2025-01-02T00:00:00"/>
    <s v="Ryan"/>
  </r>
  <r>
    <d v="2023-05-23T00:00:00"/>
    <x v="4"/>
    <x v="5"/>
    <n v="9"/>
    <n v="438.22"/>
    <s v="Store D"/>
    <s v="Retail"/>
    <x v="3"/>
    <x v="5"/>
    <x v="728"/>
    <x v="4"/>
    <x v="3"/>
    <x v="0"/>
    <s v="REG100728"/>
    <s v="Cust 4678"/>
    <n v="22.73"/>
    <x v="515"/>
    <x v="18"/>
    <d v="2023-05-29T00:00:00"/>
    <s v="Wendy"/>
  </r>
  <r>
    <d v="2024-04-03T00:00:00"/>
    <x v="3"/>
    <x v="2"/>
    <n v="5"/>
    <n v="84.91"/>
    <s v="Store A"/>
    <s v="Retail"/>
    <x v="1"/>
    <x v="3"/>
    <x v="729"/>
    <x v="4"/>
    <x v="0"/>
    <x v="1"/>
    <s v="REG100729"/>
    <s v="Cust 6657"/>
    <n v="29.06"/>
    <x v="516"/>
    <x v="24"/>
    <d v="2024-04-09T00:00:00"/>
    <s v="Cameron"/>
  </r>
  <r>
    <d v="2024-01-17T00:00:00"/>
    <x v="0"/>
    <x v="0"/>
    <n v="7"/>
    <n v="322.11"/>
    <s v="Store C"/>
    <s v="Wholesale"/>
    <x v="1"/>
    <x v="4"/>
    <x v="730"/>
    <x v="3"/>
    <x v="1"/>
    <x v="0"/>
    <s v="REG100730"/>
    <s v="Cust 1267"/>
    <n v="19.91"/>
    <x v="517"/>
    <x v="11"/>
    <d v="2024-01-27T00:00:00"/>
    <s v="Eric"/>
  </r>
  <r>
    <d v="2025-04-05T00:00:00"/>
    <x v="3"/>
    <x v="4"/>
    <n v="2"/>
    <n v="231.96"/>
    <s v="Store B"/>
    <s v="Retail"/>
    <x v="1"/>
    <x v="1"/>
    <x v="731"/>
    <x v="3"/>
    <x v="3"/>
    <x v="1"/>
    <s v="REG100731"/>
    <s v="Cust 8150"/>
    <n v="32.659999999999997"/>
    <x v="518"/>
    <x v="24"/>
    <d v="2025-04-14T00:00:00"/>
    <s v="Cameron"/>
  </r>
  <r>
    <d v="2025-04-17T00:00:00"/>
    <x v="3"/>
    <x v="3"/>
    <n v="15"/>
    <n v="242.07"/>
    <s v="Store A"/>
    <s v="Wholesale"/>
    <x v="2"/>
    <x v="5"/>
    <x v="732"/>
    <x v="2"/>
    <x v="3"/>
    <x v="0"/>
    <s v="REG100732"/>
    <s v="Cust 3668"/>
    <n v="19.18"/>
    <x v="313"/>
    <x v="32"/>
    <d v="2025-04-23T00:00:00"/>
    <s v="Cameron"/>
  </r>
  <r>
    <d v="2024-10-12T00:00:00"/>
    <x v="3"/>
    <x v="0"/>
    <n v="2"/>
    <n v="48.02"/>
    <s v="Store C"/>
    <s v="Retail"/>
    <x v="3"/>
    <x v="3"/>
    <x v="733"/>
    <x v="3"/>
    <x v="0"/>
    <x v="1"/>
    <s v="REG100733"/>
    <s v="Cust 4803"/>
    <n v="25.81"/>
    <x v="519"/>
    <x v="51"/>
    <d v="2024-10-15T00:00:00"/>
    <s v="Cameron"/>
  </r>
  <r>
    <d v="2024-07-27T00:00:00"/>
    <x v="3"/>
    <x v="3"/>
    <n v="1"/>
    <n v="534.28"/>
    <s v="Store D"/>
    <s v="Wholesale"/>
    <x v="1"/>
    <x v="0"/>
    <x v="734"/>
    <x v="0"/>
    <x v="0"/>
    <x v="0"/>
    <s v="REG100734"/>
    <s v="Cust 8633"/>
    <n v="31.3"/>
    <x v="480"/>
    <x v="27"/>
    <d v="2024-08-01T00:00:00"/>
    <s v="Cameron"/>
  </r>
  <r>
    <d v="2025-01-10T00:00:00"/>
    <x v="4"/>
    <x v="5"/>
    <n v="3"/>
    <n v="98.15"/>
    <s v="Store D"/>
    <s v="Wholesale"/>
    <x v="2"/>
    <x v="4"/>
    <x v="735"/>
    <x v="3"/>
    <x v="1"/>
    <x v="0"/>
    <s v="REG100735"/>
    <s v="Cust 7235"/>
    <n v="46.37"/>
    <x v="520"/>
    <x v="5"/>
    <d v="2025-01-18T00:00:00"/>
    <s v="Wendy"/>
  </r>
  <r>
    <d v="2024-07-25T00:00:00"/>
    <x v="1"/>
    <x v="3"/>
    <n v="12"/>
    <n v="61.85"/>
    <s v="Store D"/>
    <s v="Wholesale"/>
    <x v="3"/>
    <x v="1"/>
    <x v="736"/>
    <x v="2"/>
    <x v="3"/>
    <x v="1"/>
    <s v="REG100736"/>
    <s v="Cust 8992"/>
    <n v="24.34"/>
    <x v="245"/>
    <x v="27"/>
    <d v="2024-07-31T00:00:00"/>
    <s v="Sophie"/>
  </r>
  <r>
    <d v="2024-05-22T00:00:00"/>
    <x v="4"/>
    <x v="5"/>
    <n v="6"/>
    <n v="268.33999999999997"/>
    <s v="Store A"/>
    <s v="Wholesale"/>
    <x v="1"/>
    <x v="4"/>
    <x v="737"/>
    <x v="3"/>
    <x v="2"/>
    <x v="1"/>
    <s v="REG100737"/>
    <s v="Cust 1889"/>
    <n v="35.69"/>
    <x v="521"/>
    <x v="18"/>
    <d v="2024-05-25T00:00:00"/>
    <s v="Wendy"/>
  </r>
  <r>
    <d v="2024-08-10T00:00:00"/>
    <x v="3"/>
    <x v="2"/>
    <n v="4"/>
    <n v="529.03"/>
    <s v="Store B"/>
    <s v="Wholesale"/>
    <x v="3"/>
    <x v="3"/>
    <x v="738"/>
    <x v="0"/>
    <x v="1"/>
    <x v="0"/>
    <s v="REG100738"/>
    <s v="Cust 5411"/>
    <n v="25.96"/>
    <x v="218"/>
    <x v="17"/>
    <d v="2024-08-20T00:00:00"/>
    <s v="Cameron"/>
  </r>
  <r>
    <d v="2023-04-27T00:00:00"/>
    <x v="4"/>
    <x v="5"/>
    <n v="2"/>
    <n v="107.32"/>
    <s v="Store B"/>
    <s v="Retail"/>
    <x v="3"/>
    <x v="1"/>
    <x v="739"/>
    <x v="2"/>
    <x v="3"/>
    <x v="0"/>
    <s v="REG100739"/>
    <s v="Cust 3411"/>
    <n v="47.33"/>
    <x v="178"/>
    <x v="42"/>
    <d v="2023-04-29T00:00:00"/>
    <s v="Wendy"/>
  </r>
  <r>
    <d v="2023-06-21T00:00:00"/>
    <x v="1"/>
    <x v="5"/>
    <n v="1"/>
    <n v="500.96"/>
    <s v="Store C"/>
    <s v="Wholesale"/>
    <x v="3"/>
    <x v="2"/>
    <x v="740"/>
    <x v="0"/>
    <x v="2"/>
    <x v="0"/>
    <s v="REG100740"/>
    <s v="Cust 7449"/>
    <n v="42.1"/>
    <x v="522"/>
    <x v="4"/>
    <d v="2023-06-25T00:00:00"/>
    <s v="Sophie"/>
  </r>
  <r>
    <d v="2024-10-11T00:00:00"/>
    <x v="4"/>
    <x v="6"/>
    <n v="17"/>
    <n v="549.78"/>
    <s v="Store B"/>
    <s v="Wholesale"/>
    <x v="3"/>
    <x v="1"/>
    <x v="741"/>
    <x v="2"/>
    <x v="3"/>
    <x v="1"/>
    <s v="REG100741"/>
    <s v="Cust 4788"/>
    <n v="44.42"/>
    <x v="395"/>
    <x v="51"/>
    <d v="2024-10-14T00:00:00"/>
    <s v="Wendy"/>
  </r>
  <r>
    <d v="2025-01-26T00:00:00"/>
    <x v="2"/>
    <x v="0"/>
    <n v="3"/>
    <n v="58.51"/>
    <s v="Store A"/>
    <s v="Retail"/>
    <x v="3"/>
    <x v="3"/>
    <x v="742"/>
    <x v="4"/>
    <x v="2"/>
    <x v="0"/>
    <s v="REG100742"/>
    <s v="Cust 3564"/>
    <n v="23.57"/>
    <x v="523"/>
    <x v="43"/>
    <d v="2025-01-30T00:00:00"/>
    <s v="Ryan"/>
  </r>
  <r>
    <d v="2024-06-18T00:00:00"/>
    <x v="1"/>
    <x v="3"/>
    <n v="17"/>
    <n v="504.08"/>
    <s v="Store A"/>
    <s v="Wholesale"/>
    <x v="1"/>
    <x v="4"/>
    <x v="743"/>
    <x v="0"/>
    <x v="1"/>
    <x v="0"/>
    <s v="REG100743"/>
    <s v="Cust 8018"/>
    <n v="26.47"/>
    <x v="524"/>
    <x v="4"/>
    <d v="2024-06-26T00:00:00"/>
    <s v="Sophie"/>
  </r>
  <r>
    <d v="2025-06-18T00:00:00"/>
    <x v="0"/>
    <x v="4"/>
    <n v="17"/>
    <n v="419.63"/>
    <s v="Store D"/>
    <s v="Wholesale"/>
    <x v="0"/>
    <x v="1"/>
    <x v="744"/>
    <x v="4"/>
    <x v="1"/>
    <x v="0"/>
    <s v="REG100744"/>
    <s v="Cust 3045"/>
    <n v="17.399999999999999"/>
    <x v="324"/>
    <x v="4"/>
    <d v="2025-06-24T00:00:00"/>
    <s v="Eric"/>
  </r>
  <r>
    <d v="2024-10-29T00:00:00"/>
    <x v="1"/>
    <x v="0"/>
    <n v="2"/>
    <n v="267.36"/>
    <s v="Store B"/>
    <s v="Wholesale"/>
    <x v="3"/>
    <x v="2"/>
    <x v="745"/>
    <x v="0"/>
    <x v="3"/>
    <x v="0"/>
    <s v="REG100745"/>
    <s v="Cust 7020"/>
    <n v="21.36"/>
    <x v="525"/>
    <x v="50"/>
    <d v="2024-11-07T00:00:00"/>
    <s v="Sophie"/>
  </r>
  <r>
    <d v="2025-04-08T00:00:00"/>
    <x v="3"/>
    <x v="1"/>
    <n v="2"/>
    <n v="298.06"/>
    <s v="Store B"/>
    <s v="Wholesale"/>
    <x v="0"/>
    <x v="1"/>
    <x v="746"/>
    <x v="3"/>
    <x v="1"/>
    <x v="1"/>
    <s v="REG100746"/>
    <s v="Cust 1905"/>
    <n v="35.369999999999997"/>
    <x v="409"/>
    <x v="8"/>
    <d v="2025-04-14T00:00:00"/>
    <s v="Cameron"/>
  </r>
  <r>
    <d v="2023-01-31T00:00:00"/>
    <x v="3"/>
    <x v="5"/>
    <n v="13"/>
    <n v="132.97"/>
    <s v="Store B"/>
    <s v="Wholesale"/>
    <x v="3"/>
    <x v="2"/>
    <x v="747"/>
    <x v="3"/>
    <x v="2"/>
    <x v="0"/>
    <s v="REG100747"/>
    <s v="Cust 4592"/>
    <n v="42.87"/>
    <x v="526"/>
    <x v="43"/>
    <d v="2023-02-05T00:00:00"/>
    <s v="Cameron"/>
  </r>
  <r>
    <d v="2024-03-15T00:00:00"/>
    <x v="4"/>
    <x v="3"/>
    <n v="14"/>
    <n v="476.28"/>
    <s v="Store A"/>
    <s v="Wholesale"/>
    <x v="1"/>
    <x v="0"/>
    <x v="748"/>
    <x v="2"/>
    <x v="0"/>
    <x v="0"/>
    <s v="REG100748"/>
    <s v="Cust 5482"/>
    <n v="22.11"/>
    <x v="107"/>
    <x v="23"/>
    <d v="2024-03-20T00:00:00"/>
    <s v="Wendy"/>
  </r>
  <r>
    <d v="2023-06-23T00:00:00"/>
    <x v="2"/>
    <x v="5"/>
    <n v="16"/>
    <n v="294.88"/>
    <s v="Store B"/>
    <s v="Retail"/>
    <x v="3"/>
    <x v="2"/>
    <x v="749"/>
    <x v="4"/>
    <x v="3"/>
    <x v="1"/>
    <s v="REG100749"/>
    <s v="Cust 1947"/>
    <n v="17.190000000000001"/>
    <x v="366"/>
    <x v="4"/>
    <d v="2023-06-27T00:00:00"/>
    <s v="Ryan"/>
  </r>
  <r>
    <d v="2024-06-14T00:00:00"/>
    <x v="2"/>
    <x v="4"/>
    <n v="19"/>
    <n v="596.03"/>
    <s v="Store C"/>
    <s v="Retail"/>
    <x v="2"/>
    <x v="0"/>
    <x v="750"/>
    <x v="3"/>
    <x v="3"/>
    <x v="0"/>
    <s v="REG100750"/>
    <s v="Cust 2801"/>
    <n v="31.95"/>
    <x v="392"/>
    <x v="33"/>
    <d v="2024-06-23T00:00:00"/>
    <s v="Ryan"/>
  </r>
  <r>
    <d v="2023-11-30T00:00:00"/>
    <x v="4"/>
    <x v="2"/>
    <n v="6"/>
    <n v="182.4"/>
    <s v="Store B"/>
    <s v="Wholesale"/>
    <x v="0"/>
    <x v="1"/>
    <x v="751"/>
    <x v="0"/>
    <x v="0"/>
    <x v="1"/>
    <s v="REG100751"/>
    <s v="Cust 8206"/>
    <n v="49.49"/>
    <x v="18"/>
    <x v="15"/>
    <d v="2023-12-09T00:00:00"/>
    <s v="Wendy"/>
  </r>
  <r>
    <d v="2024-04-21T00:00:00"/>
    <x v="2"/>
    <x v="0"/>
    <n v="10"/>
    <n v="400.95"/>
    <s v="Store C"/>
    <s v="Retail"/>
    <x v="3"/>
    <x v="3"/>
    <x v="752"/>
    <x v="0"/>
    <x v="3"/>
    <x v="0"/>
    <s v="REG100752"/>
    <s v="Cust 5277"/>
    <n v="17.46"/>
    <x v="93"/>
    <x v="42"/>
    <d v="2024-04-30T00:00:00"/>
    <s v="Ryan"/>
  </r>
  <r>
    <d v="2023-08-06T00:00:00"/>
    <x v="0"/>
    <x v="2"/>
    <n v="7"/>
    <n v="373.66"/>
    <s v="Store B"/>
    <s v="Retail"/>
    <x v="3"/>
    <x v="1"/>
    <x v="753"/>
    <x v="1"/>
    <x v="1"/>
    <x v="0"/>
    <s v="REG100753"/>
    <s v="Cust 8900"/>
    <n v="46.33"/>
    <x v="23"/>
    <x v="17"/>
    <d v="2023-08-12T00:00:00"/>
    <s v="Eric"/>
  </r>
  <r>
    <d v="2024-06-21T00:00:00"/>
    <x v="4"/>
    <x v="2"/>
    <n v="7"/>
    <n v="355.66"/>
    <s v="Store C"/>
    <s v="Retail"/>
    <x v="2"/>
    <x v="3"/>
    <x v="754"/>
    <x v="1"/>
    <x v="0"/>
    <x v="1"/>
    <s v="REG100754"/>
    <s v="Cust 9387"/>
    <n v="28.77"/>
    <x v="378"/>
    <x v="4"/>
    <d v="2024-06-27T00:00:00"/>
    <s v="Wendy"/>
  </r>
  <r>
    <d v="2025-03-16T00:00:00"/>
    <x v="2"/>
    <x v="5"/>
    <n v="12"/>
    <n v="260.31"/>
    <s v="Store C"/>
    <s v="Retail"/>
    <x v="1"/>
    <x v="5"/>
    <x v="755"/>
    <x v="4"/>
    <x v="1"/>
    <x v="0"/>
    <s v="REG100755"/>
    <s v="Cust 7013"/>
    <n v="14.58"/>
    <x v="527"/>
    <x v="26"/>
    <d v="2025-03-24T00:00:00"/>
    <s v="Ryan"/>
  </r>
  <r>
    <d v="2024-04-20T00:00:00"/>
    <x v="4"/>
    <x v="5"/>
    <n v="10"/>
    <n v="370.99"/>
    <s v="Store B"/>
    <s v="Retail"/>
    <x v="2"/>
    <x v="2"/>
    <x v="756"/>
    <x v="0"/>
    <x v="1"/>
    <x v="1"/>
    <s v="REG100756"/>
    <s v="Cust 4868"/>
    <n v="11.16"/>
    <x v="528"/>
    <x v="32"/>
    <d v="2024-04-25T00:00:00"/>
    <s v="Wendy"/>
  </r>
  <r>
    <d v="2024-12-20T00:00:00"/>
    <x v="0"/>
    <x v="0"/>
    <n v="2"/>
    <n v="548.72"/>
    <s v="Store A"/>
    <s v="Wholesale"/>
    <x v="1"/>
    <x v="2"/>
    <x v="757"/>
    <x v="2"/>
    <x v="0"/>
    <x v="1"/>
    <s v="REG100757"/>
    <s v="Cust 5239"/>
    <n v="26.35"/>
    <x v="529"/>
    <x v="1"/>
    <d v="2024-12-29T00:00:00"/>
    <s v="Eric"/>
  </r>
  <r>
    <d v="2023-08-22T00:00:00"/>
    <x v="2"/>
    <x v="6"/>
    <n v="8"/>
    <n v="343.53"/>
    <s v="Store A"/>
    <s v="Wholesale"/>
    <x v="0"/>
    <x v="2"/>
    <x v="758"/>
    <x v="4"/>
    <x v="3"/>
    <x v="0"/>
    <s v="REG100758"/>
    <s v="Cust 4703"/>
    <n v="16.100000000000001"/>
    <x v="530"/>
    <x v="48"/>
    <d v="2023-09-01T00:00:00"/>
    <s v="Ryan"/>
  </r>
  <r>
    <d v="2023-03-04T00:00:00"/>
    <x v="2"/>
    <x v="5"/>
    <n v="13"/>
    <n v="494.78"/>
    <s v="Store A"/>
    <s v="Wholesale"/>
    <x v="2"/>
    <x v="4"/>
    <x v="759"/>
    <x v="4"/>
    <x v="0"/>
    <x v="0"/>
    <s v="REG100759"/>
    <s v="Cust 7224"/>
    <n v="5.85"/>
    <x v="332"/>
    <x v="3"/>
    <d v="2023-03-13T00:00:00"/>
    <s v="Ryan"/>
  </r>
  <r>
    <d v="2024-06-24T00:00:00"/>
    <x v="2"/>
    <x v="0"/>
    <n v="9"/>
    <n v="36.619999999999997"/>
    <s v="Store B"/>
    <s v="Wholesale"/>
    <x v="1"/>
    <x v="0"/>
    <x v="760"/>
    <x v="3"/>
    <x v="0"/>
    <x v="1"/>
    <s v="REG100760"/>
    <s v="Cust 4751"/>
    <n v="29.9"/>
    <x v="503"/>
    <x v="28"/>
    <d v="2024-07-01T00:00:00"/>
    <s v="Ryan"/>
  </r>
  <r>
    <d v="2024-12-09T00:00:00"/>
    <x v="0"/>
    <x v="5"/>
    <n v="14"/>
    <n v="216.2"/>
    <s v="Store C"/>
    <s v="Wholesale"/>
    <x v="0"/>
    <x v="4"/>
    <x v="761"/>
    <x v="0"/>
    <x v="2"/>
    <x v="0"/>
    <s v="REG100761"/>
    <s v="Cust 1201"/>
    <n v="14.39"/>
    <x v="531"/>
    <x v="12"/>
    <d v="2024-12-13T00:00:00"/>
    <s v="Eric"/>
  </r>
  <r>
    <d v="2024-07-04T00:00:00"/>
    <x v="4"/>
    <x v="0"/>
    <n v="11"/>
    <n v="128.99"/>
    <s v="Store A"/>
    <s v="Retail"/>
    <x v="3"/>
    <x v="4"/>
    <x v="762"/>
    <x v="3"/>
    <x v="1"/>
    <x v="0"/>
    <s v="REG100762"/>
    <s v="Cust 9584"/>
    <n v="38.58"/>
    <x v="532"/>
    <x v="49"/>
    <d v="2024-07-07T00:00:00"/>
    <s v="Wendy"/>
  </r>
  <r>
    <d v="2025-03-04T00:00:00"/>
    <x v="0"/>
    <x v="1"/>
    <n v="11"/>
    <n v="183.11"/>
    <s v="Store B"/>
    <s v="Retail"/>
    <x v="2"/>
    <x v="2"/>
    <x v="763"/>
    <x v="1"/>
    <x v="0"/>
    <x v="0"/>
    <s v="REG100763"/>
    <s v="Cust 6980"/>
    <n v="41.83"/>
    <x v="155"/>
    <x v="7"/>
    <d v="2025-03-06T00:00:00"/>
    <s v="Eric"/>
  </r>
  <r>
    <d v="2024-01-22T00:00:00"/>
    <x v="0"/>
    <x v="6"/>
    <n v="11"/>
    <n v="277.95"/>
    <s v="Store A"/>
    <s v="Retail"/>
    <x v="3"/>
    <x v="2"/>
    <x v="764"/>
    <x v="1"/>
    <x v="2"/>
    <x v="0"/>
    <s v="REG100764"/>
    <s v="Cust 2835"/>
    <n v="44.04"/>
    <x v="115"/>
    <x v="34"/>
    <d v="2024-01-29T00:00:00"/>
    <s v="Eric"/>
  </r>
  <r>
    <d v="2025-03-12T00:00:00"/>
    <x v="0"/>
    <x v="2"/>
    <n v="14"/>
    <n v="554.08000000000004"/>
    <s v="Store A"/>
    <s v="Retail"/>
    <x v="3"/>
    <x v="4"/>
    <x v="765"/>
    <x v="4"/>
    <x v="3"/>
    <x v="0"/>
    <s v="REG100765"/>
    <s v="Cust 4286"/>
    <n v="36.72"/>
    <x v="533"/>
    <x v="23"/>
    <d v="2025-03-21T00:00:00"/>
    <s v="Eric"/>
  </r>
  <r>
    <d v="2025-02-28T00:00:00"/>
    <x v="3"/>
    <x v="1"/>
    <n v="15"/>
    <n v="23.32"/>
    <s v="Store A"/>
    <s v="Retail"/>
    <x v="3"/>
    <x v="3"/>
    <x v="766"/>
    <x v="3"/>
    <x v="3"/>
    <x v="0"/>
    <s v="REG100766"/>
    <s v="Cust 7876"/>
    <n v="25.27"/>
    <x v="376"/>
    <x v="3"/>
    <d v="2025-03-03T00:00:00"/>
    <s v="Cameron"/>
  </r>
  <r>
    <d v="2024-05-23T00:00:00"/>
    <x v="0"/>
    <x v="2"/>
    <n v="4"/>
    <n v="20.96"/>
    <s v="Store D"/>
    <s v="Wholesale"/>
    <x v="3"/>
    <x v="5"/>
    <x v="767"/>
    <x v="0"/>
    <x v="0"/>
    <x v="1"/>
    <s v="REG100767"/>
    <s v="Cust 5926"/>
    <n v="33.67"/>
    <x v="24"/>
    <x v="18"/>
    <d v="2024-05-31T00:00:00"/>
    <s v="Eric"/>
  </r>
  <r>
    <d v="2023-09-17T00:00:00"/>
    <x v="2"/>
    <x v="2"/>
    <n v="18"/>
    <n v="132.29"/>
    <s v="Store A"/>
    <s v="Wholesale"/>
    <x v="3"/>
    <x v="4"/>
    <x v="768"/>
    <x v="2"/>
    <x v="3"/>
    <x v="1"/>
    <s v="REG100768"/>
    <s v="Cust 4478"/>
    <n v="24.3"/>
    <x v="121"/>
    <x v="46"/>
    <d v="2023-09-20T00:00:00"/>
    <s v="Ryan"/>
  </r>
  <r>
    <d v="2023-06-13T00:00:00"/>
    <x v="0"/>
    <x v="1"/>
    <n v="19"/>
    <n v="199.65"/>
    <s v="Store A"/>
    <s v="Retail"/>
    <x v="1"/>
    <x v="3"/>
    <x v="769"/>
    <x v="4"/>
    <x v="1"/>
    <x v="1"/>
    <s v="REG100769"/>
    <s v="Cust 4711"/>
    <n v="35.119999999999997"/>
    <x v="343"/>
    <x v="33"/>
    <d v="2023-06-18T00:00:00"/>
    <s v="Eric"/>
  </r>
  <r>
    <d v="2025-05-31T00:00:00"/>
    <x v="4"/>
    <x v="1"/>
    <n v="16"/>
    <n v="307"/>
    <s v="Store A"/>
    <s v="Wholesale"/>
    <x v="0"/>
    <x v="5"/>
    <x v="770"/>
    <x v="3"/>
    <x v="0"/>
    <x v="0"/>
    <s v="REG100770"/>
    <s v="Cust 9227"/>
    <n v="11.99"/>
    <x v="534"/>
    <x v="14"/>
    <d v="2025-06-02T00:00:00"/>
    <s v="Wendy"/>
  </r>
  <r>
    <d v="2023-10-11T00:00:00"/>
    <x v="0"/>
    <x v="5"/>
    <n v="1"/>
    <n v="315.93"/>
    <s v="Store C"/>
    <s v="Retail"/>
    <x v="2"/>
    <x v="1"/>
    <x v="771"/>
    <x v="2"/>
    <x v="1"/>
    <x v="0"/>
    <s v="REG100771"/>
    <s v="Cust 2830"/>
    <n v="43.2"/>
    <x v="535"/>
    <x v="51"/>
    <d v="2023-10-14T00:00:00"/>
    <s v="Eric"/>
  </r>
  <r>
    <d v="2023-08-07T00:00:00"/>
    <x v="4"/>
    <x v="6"/>
    <n v="5"/>
    <n v="596.97"/>
    <s v="Store A"/>
    <s v="Retail"/>
    <x v="0"/>
    <x v="0"/>
    <x v="772"/>
    <x v="4"/>
    <x v="1"/>
    <x v="0"/>
    <s v="REG100772"/>
    <s v="Cust 3767"/>
    <n v="14.43"/>
    <x v="536"/>
    <x v="17"/>
    <d v="2023-08-14T00:00:00"/>
    <s v="Wendy"/>
  </r>
  <r>
    <d v="2023-12-03T00:00:00"/>
    <x v="2"/>
    <x v="0"/>
    <n v="17"/>
    <n v="376.98"/>
    <s v="Store A"/>
    <s v="Retail"/>
    <x v="3"/>
    <x v="3"/>
    <x v="773"/>
    <x v="3"/>
    <x v="3"/>
    <x v="1"/>
    <s v="REG100773"/>
    <s v="Cust 1561"/>
    <n v="38.479999999999997"/>
    <x v="388"/>
    <x v="21"/>
    <d v="2023-12-05T00:00:00"/>
    <s v="Ryan"/>
  </r>
  <r>
    <d v="2024-08-01T00:00:00"/>
    <x v="3"/>
    <x v="6"/>
    <n v="6"/>
    <n v="208.64"/>
    <s v="Store D"/>
    <s v="Retail"/>
    <x v="1"/>
    <x v="2"/>
    <x v="774"/>
    <x v="2"/>
    <x v="0"/>
    <x v="0"/>
    <s v="REG100774"/>
    <s v="Cust 8569"/>
    <n v="49.93"/>
    <x v="537"/>
    <x v="36"/>
    <d v="2024-08-04T00:00:00"/>
    <s v="Cameron"/>
  </r>
  <r>
    <d v="2023-03-20T00:00:00"/>
    <x v="0"/>
    <x v="3"/>
    <n v="7"/>
    <n v="307.82"/>
    <s v="Store B"/>
    <s v="Wholesale"/>
    <x v="0"/>
    <x v="0"/>
    <x v="775"/>
    <x v="3"/>
    <x v="2"/>
    <x v="1"/>
    <s v="REG100775"/>
    <s v="Cust 1254"/>
    <n v="14"/>
    <x v="538"/>
    <x v="26"/>
    <d v="2023-03-27T00:00:00"/>
    <s v="Eric"/>
  </r>
  <r>
    <d v="2025-06-30T00:00:00"/>
    <x v="3"/>
    <x v="5"/>
    <n v="13"/>
    <n v="382.48"/>
    <s v="Store D"/>
    <s v="Retail"/>
    <x v="3"/>
    <x v="0"/>
    <x v="776"/>
    <x v="2"/>
    <x v="2"/>
    <x v="0"/>
    <s v="REG100776"/>
    <s v="Cust 8556"/>
    <n v="7.59"/>
    <x v="148"/>
    <x v="49"/>
    <d v="2025-07-04T00:00:00"/>
    <s v="Cameron"/>
  </r>
  <r>
    <d v="2025-02-05T00:00:00"/>
    <x v="1"/>
    <x v="2"/>
    <n v="9"/>
    <n v="188.03"/>
    <s v="Store B"/>
    <s v="Retail"/>
    <x v="0"/>
    <x v="2"/>
    <x v="777"/>
    <x v="4"/>
    <x v="0"/>
    <x v="0"/>
    <s v="REG100777"/>
    <s v="Cust 7204"/>
    <n v="11.44"/>
    <x v="317"/>
    <x v="29"/>
    <d v="2025-02-07T00:00:00"/>
    <s v="Sophie"/>
  </r>
  <r>
    <d v="2024-05-19T00:00:00"/>
    <x v="0"/>
    <x v="2"/>
    <n v="17"/>
    <n v="238.17"/>
    <s v="Store D"/>
    <s v="Wholesale"/>
    <x v="2"/>
    <x v="2"/>
    <x v="778"/>
    <x v="4"/>
    <x v="0"/>
    <x v="0"/>
    <s v="REG100778"/>
    <s v="Cust 7725"/>
    <n v="21.64"/>
    <x v="539"/>
    <x v="18"/>
    <d v="2024-05-29T00:00:00"/>
    <s v="Eric"/>
  </r>
  <r>
    <d v="2023-03-04T00:00:00"/>
    <x v="2"/>
    <x v="6"/>
    <n v="10"/>
    <n v="450.71"/>
    <s v="Store B"/>
    <s v="Retail"/>
    <x v="1"/>
    <x v="5"/>
    <x v="779"/>
    <x v="1"/>
    <x v="1"/>
    <x v="0"/>
    <s v="REG100779"/>
    <s v="Cust 9210"/>
    <n v="21.31"/>
    <x v="332"/>
    <x v="3"/>
    <d v="2023-03-12T00:00:00"/>
    <s v="Ryan"/>
  </r>
  <r>
    <d v="2023-01-22T00:00:00"/>
    <x v="3"/>
    <x v="4"/>
    <n v="2"/>
    <n v="413.36"/>
    <s v="Store D"/>
    <s v="Retail"/>
    <x v="1"/>
    <x v="1"/>
    <x v="780"/>
    <x v="0"/>
    <x v="1"/>
    <x v="1"/>
    <s v="REG100780"/>
    <s v="Cust 9085"/>
    <n v="41.69"/>
    <x v="229"/>
    <x v="34"/>
    <d v="2023-01-24T00:00:00"/>
    <s v="Cameron"/>
  </r>
  <r>
    <d v="2023-03-20T00:00:00"/>
    <x v="1"/>
    <x v="1"/>
    <n v="20"/>
    <n v="536.71"/>
    <s v="Store B"/>
    <s v="Retail"/>
    <x v="2"/>
    <x v="3"/>
    <x v="781"/>
    <x v="3"/>
    <x v="1"/>
    <x v="0"/>
    <s v="REG100781"/>
    <s v="Cust 4937"/>
    <n v="41.42"/>
    <x v="538"/>
    <x v="26"/>
    <d v="2023-03-25T00:00:00"/>
    <s v="Sophie"/>
  </r>
  <r>
    <d v="2024-06-05T00:00:00"/>
    <x v="4"/>
    <x v="1"/>
    <n v="5"/>
    <n v="206.42"/>
    <s v="Store D"/>
    <s v="Retail"/>
    <x v="3"/>
    <x v="1"/>
    <x v="782"/>
    <x v="3"/>
    <x v="2"/>
    <x v="0"/>
    <s v="REG100782"/>
    <s v="Cust 3606"/>
    <n v="35.51"/>
    <x v="410"/>
    <x v="16"/>
    <d v="2024-06-13T00:00:00"/>
    <s v="Wendy"/>
  </r>
  <r>
    <d v="2024-07-09T00:00:00"/>
    <x v="0"/>
    <x v="6"/>
    <n v="4"/>
    <n v="256.83"/>
    <s v="Store A"/>
    <s v="Wholesale"/>
    <x v="2"/>
    <x v="3"/>
    <x v="783"/>
    <x v="4"/>
    <x v="3"/>
    <x v="1"/>
    <s v="REG100783"/>
    <s v="Cust 5865"/>
    <n v="44.72"/>
    <x v="540"/>
    <x v="9"/>
    <d v="2024-07-17T00:00:00"/>
    <s v="Eric"/>
  </r>
  <r>
    <d v="2025-03-08T00:00:00"/>
    <x v="1"/>
    <x v="4"/>
    <n v="1"/>
    <n v="247.04"/>
    <s v="Store C"/>
    <s v="Wholesale"/>
    <x v="0"/>
    <x v="5"/>
    <x v="784"/>
    <x v="2"/>
    <x v="0"/>
    <x v="0"/>
    <s v="REG100784"/>
    <s v="Cust 7195"/>
    <n v="26.86"/>
    <x v="251"/>
    <x v="7"/>
    <d v="2025-03-13T00:00:00"/>
    <s v="Sophie"/>
  </r>
  <r>
    <d v="2025-06-21T00:00:00"/>
    <x v="1"/>
    <x v="5"/>
    <n v="3"/>
    <n v="583.38"/>
    <s v="Store B"/>
    <s v="Retail"/>
    <x v="2"/>
    <x v="4"/>
    <x v="785"/>
    <x v="4"/>
    <x v="2"/>
    <x v="1"/>
    <s v="REG100785"/>
    <s v="Cust 6113"/>
    <n v="30.12"/>
    <x v="513"/>
    <x v="4"/>
    <d v="2025-06-30T00:00:00"/>
    <s v="Sophie"/>
  </r>
  <r>
    <d v="2025-06-28T00:00:00"/>
    <x v="2"/>
    <x v="5"/>
    <n v="13"/>
    <n v="341.38"/>
    <s v="Store C"/>
    <s v="Retail"/>
    <x v="2"/>
    <x v="1"/>
    <x v="786"/>
    <x v="4"/>
    <x v="3"/>
    <x v="0"/>
    <s v="REG100786"/>
    <s v="Cust 9878"/>
    <n v="18.2"/>
    <x v="541"/>
    <x v="28"/>
    <d v="2025-07-01T00:00:00"/>
    <s v="Ryan"/>
  </r>
  <r>
    <d v="2025-04-05T00:00:00"/>
    <x v="4"/>
    <x v="3"/>
    <n v="19"/>
    <n v="267.02999999999997"/>
    <s v="Store D"/>
    <s v="Wholesale"/>
    <x v="2"/>
    <x v="5"/>
    <x v="787"/>
    <x v="0"/>
    <x v="1"/>
    <x v="1"/>
    <s v="REG100787"/>
    <s v="Cust 3936"/>
    <n v="35.82"/>
    <x v="518"/>
    <x v="24"/>
    <d v="2025-04-13T00:00:00"/>
    <s v="Wendy"/>
  </r>
  <r>
    <d v="2024-03-05T00:00:00"/>
    <x v="1"/>
    <x v="6"/>
    <n v="7"/>
    <n v="77.69"/>
    <s v="Store D"/>
    <s v="Wholesale"/>
    <x v="0"/>
    <x v="3"/>
    <x v="788"/>
    <x v="2"/>
    <x v="1"/>
    <x v="0"/>
    <s v="REG100788"/>
    <s v="Cust 3937"/>
    <n v="41.89"/>
    <x v="337"/>
    <x v="7"/>
    <d v="2024-03-12T00:00:00"/>
    <s v="Sophie"/>
  </r>
  <r>
    <d v="2024-03-09T00:00:00"/>
    <x v="0"/>
    <x v="1"/>
    <n v="20"/>
    <n v="312.43"/>
    <s v="Store C"/>
    <s v="Retail"/>
    <x v="0"/>
    <x v="3"/>
    <x v="789"/>
    <x v="2"/>
    <x v="1"/>
    <x v="0"/>
    <s v="REG100789"/>
    <s v="Cust 5262"/>
    <n v="28.11"/>
    <x v="542"/>
    <x v="7"/>
    <d v="2024-03-11T00:00:00"/>
    <s v="Eric"/>
  </r>
  <r>
    <d v="2025-02-25T00:00:00"/>
    <x v="3"/>
    <x v="4"/>
    <n v="19"/>
    <n v="14.1"/>
    <s v="Store C"/>
    <s v="Wholesale"/>
    <x v="3"/>
    <x v="3"/>
    <x v="790"/>
    <x v="4"/>
    <x v="0"/>
    <x v="0"/>
    <s v="REG100790"/>
    <s v="Cust 3892"/>
    <n v="37.840000000000003"/>
    <x v="296"/>
    <x v="3"/>
    <d v="2025-02-28T00:00:00"/>
    <s v="Cameron"/>
  </r>
  <r>
    <d v="2024-11-16T00:00:00"/>
    <x v="4"/>
    <x v="5"/>
    <n v="17"/>
    <n v="266.83"/>
    <s v="Store D"/>
    <s v="Retail"/>
    <x v="3"/>
    <x v="2"/>
    <x v="791"/>
    <x v="2"/>
    <x v="2"/>
    <x v="0"/>
    <s v="REG100791"/>
    <s v="Cust 8826"/>
    <n v="32.520000000000003"/>
    <x v="85"/>
    <x v="38"/>
    <d v="2024-11-23T00:00:00"/>
    <s v="Wendy"/>
  </r>
  <r>
    <d v="2024-08-01T00:00:00"/>
    <x v="1"/>
    <x v="6"/>
    <n v="20"/>
    <n v="248.11"/>
    <s v="Store D"/>
    <s v="Wholesale"/>
    <x v="3"/>
    <x v="3"/>
    <x v="792"/>
    <x v="0"/>
    <x v="1"/>
    <x v="0"/>
    <s v="REG100792"/>
    <s v="Cust 1119"/>
    <n v="22.96"/>
    <x v="537"/>
    <x v="36"/>
    <d v="2024-08-06T00:00:00"/>
    <s v="Sophie"/>
  </r>
  <r>
    <d v="2024-04-20T00:00:00"/>
    <x v="4"/>
    <x v="3"/>
    <n v="5"/>
    <n v="316.76"/>
    <s v="Store B"/>
    <s v="Retail"/>
    <x v="3"/>
    <x v="1"/>
    <x v="793"/>
    <x v="1"/>
    <x v="0"/>
    <x v="1"/>
    <s v="REG100793"/>
    <s v="Cust 2685"/>
    <n v="12.7"/>
    <x v="528"/>
    <x v="32"/>
    <d v="2024-04-30T00:00:00"/>
    <s v="Wendy"/>
  </r>
  <r>
    <d v="2024-04-20T00:00:00"/>
    <x v="1"/>
    <x v="0"/>
    <n v="2"/>
    <n v="169.62"/>
    <s v="Store C"/>
    <s v="Retail"/>
    <x v="1"/>
    <x v="1"/>
    <x v="794"/>
    <x v="3"/>
    <x v="3"/>
    <x v="0"/>
    <s v="REG100794"/>
    <s v="Cust 5939"/>
    <n v="45.41"/>
    <x v="528"/>
    <x v="32"/>
    <d v="2024-04-25T00:00:00"/>
    <s v="Sophie"/>
  </r>
  <r>
    <d v="2023-09-22T00:00:00"/>
    <x v="2"/>
    <x v="0"/>
    <n v="19"/>
    <n v="35.380000000000003"/>
    <s v="Store A"/>
    <s v="Retail"/>
    <x v="2"/>
    <x v="4"/>
    <x v="795"/>
    <x v="0"/>
    <x v="1"/>
    <x v="0"/>
    <s v="REG100795"/>
    <s v="Cust 1791"/>
    <n v="7.06"/>
    <x v="466"/>
    <x v="46"/>
    <d v="2023-09-28T00:00:00"/>
    <s v="Ryan"/>
  </r>
  <r>
    <d v="2025-02-21T00:00:00"/>
    <x v="4"/>
    <x v="3"/>
    <n v="3"/>
    <n v="264.08"/>
    <s v="Store A"/>
    <s v="Retail"/>
    <x v="1"/>
    <x v="4"/>
    <x v="796"/>
    <x v="0"/>
    <x v="3"/>
    <x v="0"/>
    <s v="REG100796"/>
    <s v="Cust 8530"/>
    <n v="25.39"/>
    <x v="383"/>
    <x v="0"/>
    <d v="2025-03-02T00:00:00"/>
    <s v="Wendy"/>
  </r>
  <r>
    <d v="2025-06-24T00:00:00"/>
    <x v="0"/>
    <x v="5"/>
    <n v="5"/>
    <n v="137.56"/>
    <s v="Store C"/>
    <s v="Wholesale"/>
    <x v="2"/>
    <x v="4"/>
    <x v="797"/>
    <x v="3"/>
    <x v="1"/>
    <x v="0"/>
    <s v="REG100797"/>
    <s v="Cust 4522"/>
    <n v="6.45"/>
    <x v="543"/>
    <x v="28"/>
    <d v="2025-07-01T00:00:00"/>
    <s v="Eric"/>
  </r>
  <r>
    <d v="2023-11-28T00:00:00"/>
    <x v="3"/>
    <x v="0"/>
    <n v="8"/>
    <n v="157.93"/>
    <s v="Store B"/>
    <s v="Retail"/>
    <x v="2"/>
    <x v="4"/>
    <x v="798"/>
    <x v="0"/>
    <x v="1"/>
    <x v="0"/>
    <s v="REG100798"/>
    <s v="Cust 9619"/>
    <n v="6.31"/>
    <x v="206"/>
    <x v="15"/>
    <d v="2023-12-05T00:00:00"/>
    <s v="Cameron"/>
  </r>
  <r>
    <d v="2024-04-08T00:00:00"/>
    <x v="2"/>
    <x v="2"/>
    <n v="6"/>
    <n v="126.86"/>
    <s v="Store C"/>
    <s v="Wholesale"/>
    <x v="3"/>
    <x v="0"/>
    <x v="799"/>
    <x v="3"/>
    <x v="0"/>
    <x v="0"/>
    <s v="REG100799"/>
    <s v="Cust 1637"/>
    <n v="35.49"/>
    <x v="413"/>
    <x v="8"/>
    <d v="2024-04-17T00:00:00"/>
    <s v="Ryan"/>
  </r>
  <r>
    <d v="2025-01-07T00:00:00"/>
    <x v="2"/>
    <x v="3"/>
    <n v="15"/>
    <n v="240.05"/>
    <s v="Store C"/>
    <s v="Retail"/>
    <x v="3"/>
    <x v="3"/>
    <x v="800"/>
    <x v="2"/>
    <x v="0"/>
    <x v="0"/>
    <s v="REG100800"/>
    <s v="Cust 6914"/>
    <n v="14.31"/>
    <x v="316"/>
    <x v="5"/>
    <d v="2025-01-14T00:00:00"/>
    <s v="Ryan"/>
  </r>
  <r>
    <d v="2023-02-24T00:00:00"/>
    <x v="1"/>
    <x v="5"/>
    <n v="3"/>
    <n v="37.630000000000003"/>
    <s v="Store A"/>
    <s v="Wholesale"/>
    <x v="1"/>
    <x v="3"/>
    <x v="801"/>
    <x v="3"/>
    <x v="0"/>
    <x v="0"/>
    <s v="REG100801"/>
    <s v="Cust 5737"/>
    <n v="43.7"/>
    <x v="349"/>
    <x v="0"/>
    <d v="2023-03-03T00:00:00"/>
    <s v="Sophie"/>
  </r>
  <r>
    <d v="2023-10-19T00:00:00"/>
    <x v="0"/>
    <x v="3"/>
    <n v="13"/>
    <n v="393.1"/>
    <s v="Store B"/>
    <s v="Wholesale"/>
    <x v="1"/>
    <x v="1"/>
    <x v="802"/>
    <x v="0"/>
    <x v="3"/>
    <x v="0"/>
    <s v="REG100802"/>
    <s v="Cust 5301"/>
    <n v="12.64"/>
    <x v="544"/>
    <x v="6"/>
    <d v="2023-10-26T00:00:00"/>
    <s v="Eric"/>
  </r>
  <r>
    <d v="2024-06-17T00:00:00"/>
    <x v="2"/>
    <x v="3"/>
    <n v="10"/>
    <n v="83.86"/>
    <s v="Store A"/>
    <s v="Wholesale"/>
    <x v="2"/>
    <x v="1"/>
    <x v="803"/>
    <x v="2"/>
    <x v="3"/>
    <x v="0"/>
    <s v="REG100803"/>
    <s v="Cust 2524"/>
    <n v="41.11"/>
    <x v="545"/>
    <x v="4"/>
    <d v="2024-06-21T00:00:00"/>
    <s v="Ryan"/>
  </r>
  <r>
    <d v="2023-06-21T00:00:00"/>
    <x v="3"/>
    <x v="2"/>
    <n v="10"/>
    <n v="110.07"/>
    <s v="Store B"/>
    <s v="Wholesale"/>
    <x v="0"/>
    <x v="2"/>
    <x v="804"/>
    <x v="2"/>
    <x v="3"/>
    <x v="0"/>
    <s v="REG100804"/>
    <s v="Cust 8480"/>
    <n v="18.47"/>
    <x v="522"/>
    <x v="4"/>
    <d v="2023-06-29T00:00:00"/>
    <s v="Cameron"/>
  </r>
  <r>
    <d v="2024-08-30T00:00:00"/>
    <x v="0"/>
    <x v="1"/>
    <n v="6"/>
    <n v="288.98"/>
    <s v="Store C"/>
    <s v="Wholesale"/>
    <x v="2"/>
    <x v="4"/>
    <x v="805"/>
    <x v="1"/>
    <x v="3"/>
    <x v="0"/>
    <s v="REG100805"/>
    <s v="Cust 2595"/>
    <n v="38.630000000000003"/>
    <x v="315"/>
    <x v="44"/>
    <d v="2024-09-02T00:00:00"/>
    <s v="Eric"/>
  </r>
  <r>
    <d v="2025-01-03T00:00:00"/>
    <x v="3"/>
    <x v="2"/>
    <n v="10"/>
    <n v="451.14"/>
    <s v="Store A"/>
    <s v="Retail"/>
    <x v="0"/>
    <x v="5"/>
    <x v="806"/>
    <x v="1"/>
    <x v="0"/>
    <x v="0"/>
    <s v="REG100806"/>
    <s v="Cust 7132"/>
    <n v="29.96"/>
    <x v="546"/>
    <x v="31"/>
    <d v="2025-01-13T00:00:00"/>
    <s v="Cameron"/>
  </r>
  <r>
    <d v="2023-02-23T00:00:00"/>
    <x v="4"/>
    <x v="6"/>
    <n v="16"/>
    <n v="509.08"/>
    <s v="Store C"/>
    <s v="Wholesale"/>
    <x v="0"/>
    <x v="3"/>
    <x v="807"/>
    <x v="0"/>
    <x v="0"/>
    <x v="0"/>
    <s v="REG100807"/>
    <s v="Cust 4240"/>
    <n v="37.53"/>
    <x v="0"/>
    <x v="0"/>
    <d v="2023-03-02T00:00:00"/>
    <s v="Wendy"/>
  </r>
  <r>
    <d v="2025-04-26T00:00:00"/>
    <x v="3"/>
    <x v="6"/>
    <n v="4"/>
    <n v="582.73"/>
    <s v="Store D"/>
    <s v="Wholesale"/>
    <x v="3"/>
    <x v="3"/>
    <x v="808"/>
    <x v="4"/>
    <x v="2"/>
    <x v="0"/>
    <s v="REG100808"/>
    <s v="Cust 4644"/>
    <n v="44.26"/>
    <x v="547"/>
    <x v="42"/>
    <d v="2025-04-29T00:00:00"/>
    <s v="Cameron"/>
  </r>
  <r>
    <d v="2023-06-08T00:00:00"/>
    <x v="1"/>
    <x v="1"/>
    <n v="9"/>
    <n v="115.24"/>
    <s v="Store B"/>
    <s v="Wholesale"/>
    <x v="0"/>
    <x v="1"/>
    <x v="809"/>
    <x v="2"/>
    <x v="0"/>
    <x v="0"/>
    <s v="REG100809"/>
    <s v="Cust 5133"/>
    <n v="8.2799999999999994"/>
    <x v="548"/>
    <x v="16"/>
    <d v="2023-06-14T00:00:00"/>
    <s v="Sophie"/>
  </r>
  <r>
    <d v="2023-03-16T00:00:00"/>
    <x v="2"/>
    <x v="4"/>
    <n v="14"/>
    <n v="565.45000000000005"/>
    <s v="Store D"/>
    <s v="Wholesale"/>
    <x v="1"/>
    <x v="0"/>
    <x v="810"/>
    <x v="0"/>
    <x v="2"/>
    <x v="0"/>
    <s v="REG100810"/>
    <s v="Cust 1731"/>
    <n v="24.4"/>
    <x v="399"/>
    <x v="23"/>
    <d v="2023-03-25T00:00:00"/>
    <s v="Ryan"/>
  </r>
  <r>
    <d v="2024-10-23T00:00:00"/>
    <x v="2"/>
    <x v="1"/>
    <n v="11"/>
    <n v="121.54"/>
    <s v="Store D"/>
    <s v="Wholesale"/>
    <x v="0"/>
    <x v="3"/>
    <x v="811"/>
    <x v="2"/>
    <x v="1"/>
    <x v="0"/>
    <s v="REG100811"/>
    <s v="Cust 3739"/>
    <n v="16.62"/>
    <x v="75"/>
    <x v="19"/>
    <d v="2024-10-28T00:00:00"/>
    <s v="Ryan"/>
  </r>
  <r>
    <d v="2025-05-23T00:00:00"/>
    <x v="0"/>
    <x v="6"/>
    <n v="9"/>
    <n v="160.15"/>
    <s v="Store D"/>
    <s v="Retail"/>
    <x v="1"/>
    <x v="1"/>
    <x v="812"/>
    <x v="3"/>
    <x v="3"/>
    <x v="1"/>
    <s v="REG100812"/>
    <s v="Cust 3853"/>
    <n v="29.64"/>
    <x v="549"/>
    <x v="18"/>
    <d v="2025-05-28T00:00:00"/>
    <s v="Eric"/>
  </r>
  <r>
    <d v="2023-05-06T00:00:00"/>
    <x v="0"/>
    <x v="2"/>
    <n v="14"/>
    <n v="175.66"/>
    <s v="Store B"/>
    <s v="Wholesale"/>
    <x v="3"/>
    <x v="5"/>
    <x v="813"/>
    <x v="4"/>
    <x v="1"/>
    <x v="0"/>
    <s v="REG100813"/>
    <s v="Cust 6830"/>
    <n v="26.12"/>
    <x v="400"/>
    <x v="40"/>
    <d v="2023-05-14T00:00:00"/>
    <s v="Eric"/>
  </r>
  <r>
    <d v="2024-08-15T00:00:00"/>
    <x v="1"/>
    <x v="5"/>
    <n v="3"/>
    <n v="437.97"/>
    <s v="Store C"/>
    <s v="Wholesale"/>
    <x v="3"/>
    <x v="0"/>
    <x v="814"/>
    <x v="4"/>
    <x v="1"/>
    <x v="1"/>
    <s v="REG100814"/>
    <s v="Cust 5351"/>
    <n v="23.29"/>
    <x v="255"/>
    <x v="45"/>
    <d v="2024-08-22T00:00:00"/>
    <s v="Sophie"/>
  </r>
  <r>
    <d v="2023-08-23T00:00:00"/>
    <x v="1"/>
    <x v="6"/>
    <n v="12"/>
    <n v="411.59"/>
    <s v="Store B"/>
    <s v="Wholesale"/>
    <x v="2"/>
    <x v="4"/>
    <x v="815"/>
    <x v="4"/>
    <x v="0"/>
    <x v="0"/>
    <s v="REG100815"/>
    <s v="Cust 5845"/>
    <n v="19.170000000000002"/>
    <x v="200"/>
    <x v="48"/>
    <d v="2023-08-31T00:00:00"/>
    <s v="Sophie"/>
  </r>
  <r>
    <d v="2025-04-13T00:00:00"/>
    <x v="1"/>
    <x v="0"/>
    <n v="1"/>
    <n v="163.29"/>
    <s v="Store B"/>
    <s v="Retail"/>
    <x v="0"/>
    <x v="4"/>
    <x v="816"/>
    <x v="2"/>
    <x v="2"/>
    <x v="0"/>
    <s v="REG100816"/>
    <s v="Cust 7004"/>
    <n v="21.15"/>
    <x v="91"/>
    <x v="32"/>
    <d v="2025-04-22T00:00:00"/>
    <s v="Sophie"/>
  </r>
  <r>
    <d v="2024-06-11T00:00:00"/>
    <x v="3"/>
    <x v="2"/>
    <n v="5"/>
    <n v="538.52"/>
    <s v="Store B"/>
    <s v="Wholesale"/>
    <x v="3"/>
    <x v="1"/>
    <x v="817"/>
    <x v="1"/>
    <x v="3"/>
    <x v="0"/>
    <s v="REG100817"/>
    <s v="Cust 4095"/>
    <n v="45.81"/>
    <x v="550"/>
    <x v="33"/>
    <d v="2024-06-17T00:00:00"/>
    <s v="Cameron"/>
  </r>
  <r>
    <d v="2024-04-29T00:00:00"/>
    <x v="1"/>
    <x v="1"/>
    <n v="11"/>
    <n v="255.95"/>
    <s v="Store C"/>
    <s v="Wholesale"/>
    <x v="1"/>
    <x v="1"/>
    <x v="818"/>
    <x v="0"/>
    <x v="3"/>
    <x v="0"/>
    <s v="REG100818"/>
    <s v="Cust 7833"/>
    <n v="21.99"/>
    <x v="131"/>
    <x v="40"/>
    <d v="2024-05-04T00:00:00"/>
    <s v="Sophie"/>
  </r>
  <r>
    <d v="2023-03-27T00:00:00"/>
    <x v="1"/>
    <x v="2"/>
    <n v="7"/>
    <n v="290.22000000000003"/>
    <s v="Store A"/>
    <s v="Retail"/>
    <x v="1"/>
    <x v="1"/>
    <x v="819"/>
    <x v="4"/>
    <x v="2"/>
    <x v="0"/>
    <s v="REG100819"/>
    <s v="Cust 5826"/>
    <n v="33.15"/>
    <x v="340"/>
    <x v="41"/>
    <d v="2023-04-04T00:00:00"/>
    <s v="Sophie"/>
  </r>
  <r>
    <d v="2024-10-23T00:00:00"/>
    <x v="2"/>
    <x v="3"/>
    <n v="20"/>
    <n v="198.95"/>
    <s v="Store B"/>
    <s v="Retail"/>
    <x v="1"/>
    <x v="4"/>
    <x v="820"/>
    <x v="2"/>
    <x v="3"/>
    <x v="1"/>
    <s v="REG100820"/>
    <s v="Cust 9410"/>
    <n v="5.16"/>
    <x v="75"/>
    <x v="19"/>
    <d v="2024-10-25T00:00:00"/>
    <s v="Ryan"/>
  </r>
  <r>
    <d v="2023-06-21T00:00:00"/>
    <x v="2"/>
    <x v="6"/>
    <n v="11"/>
    <n v="577.1"/>
    <s v="Store C"/>
    <s v="Retail"/>
    <x v="2"/>
    <x v="2"/>
    <x v="821"/>
    <x v="4"/>
    <x v="1"/>
    <x v="0"/>
    <s v="REG100821"/>
    <s v="Cust 9397"/>
    <n v="13.16"/>
    <x v="522"/>
    <x v="4"/>
    <d v="2023-06-28T00:00:00"/>
    <s v="Ryan"/>
  </r>
  <r>
    <d v="2023-05-12T00:00:00"/>
    <x v="3"/>
    <x v="6"/>
    <n v="10"/>
    <n v="50.1"/>
    <s v="Store A"/>
    <s v="Wholesale"/>
    <x v="1"/>
    <x v="5"/>
    <x v="822"/>
    <x v="4"/>
    <x v="0"/>
    <x v="1"/>
    <s v="REG100822"/>
    <s v="Cust 6665"/>
    <n v="23.43"/>
    <x v="551"/>
    <x v="2"/>
    <d v="2023-05-19T00:00:00"/>
    <s v="Cameron"/>
  </r>
  <r>
    <d v="2024-10-20T00:00:00"/>
    <x v="3"/>
    <x v="6"/>
    <n v="19"/>
    <n v="554.5"/>
    <s v="Store B"/>
    <s v="Retail"/>
    <x v="2"/>
    <x v="3"/>
    <x v="823"/>
    <x v="0"/>
    <x v="3"/>
    <x v="1"/>
    <s v="REG100823"/>
    <s v="Cust 2590"/>
    <n v="47.16"/>
    <x v="552"/>
    <x v="19"/>
    <d v="2024-10-24T00:00:00"/>
    <s v="Cameron"/>
  </r>
  <r>
    <d v="2024-04-04T00:00:00"/>
    <x v="2"/>
    <x v="0"/>
    <n v="14"/>
    <n v="117.31"/>
    <s v="Store A"/>
    <s v="Wholesale"/>
    <x v="0"/>
    <x v="4"/>
    <x v="824"/>
    <x v="0"/>
    <x v="2"/>
    <x v="0"/>
    <s v="REG100824"/>
    <s v="Cust 4599"/>
    <n v="41.24"/>
    <x v="553"/>
    <x v="24"/>
    <d v="2024-04-07T00:00:00"/>
    <s v="Ryan"/>
  </r>
  <r>
    <d v="2025-01-12T00:00:00"/>
    <x v="3"/>
    <x v="5"/>
    <n v="3"/>
    <n v="193.98"/>
    <s v="Store A"/>
    <s v="Retail"/>
    <x v="0"/>
    <x v="5"/>
    <x v="825"/>
    <x v="2"/>
    <x v="2"/>
    <x v="0"/>
    <s v="REG100825"/>
    <s v="Cust 7166"/>
    <n v="27.53"/>
    <x v="87"/>
    <x v="11"/>
    <d v="2025-01-16T00:00:00"/>
    <s v="Cameron"/>
  </r>
  <r>
    <d v="2023-07-24T00:00:00"/>
    <x v="1"/>
    <x v="1"/>
    <n v="20"/>
    <n v="386.86"/>
    <s v="Store A"/>
    <s v="Wholesale"/>
    <x v="3"/>
    <x v="3"/>
    <x v="826"/>
    <x v="0"/>
    <x v="2"/>
    <x v="0"/>
    <s v="REG100826"/>
    <s v="Cust 6177"/>
    <n v="41.56"/>
    <x v="554"/>
    <x v="27"/>
    <d v="2023-07-29T00:00:00"/>
    <s v="Sophie"/>
  </r>
  <r>
    <d v="2023-09-09T00:00:00"/>
    <x v="2"/>
    <x v="3"/>
    <n v="12"/>
    <n v="81.33"/>
    <s v="Store D"/>
    <s v="Wholesale"/>
    <x v="0"/>
    <x v="3"/>
    <x v="827"/>
    <x v="4"/>
    <x v="1"/>
    <x v="1"/>
    <s v="REG100827"/>
    <s v="Cust 6229"/>
    <n v="30.73"/>
    <x v="507"/>
    <x v="25"/>
    <d v="2023-09-13T00:00:00"/>
    <s v="Ryan"/>
  </r>
  <r>
    <d v="2024-04-20T00:00:00"/>
    <x v="0"/>
    <x v="6"/>
    <n v="5"/>
    <n v="550.65"/>
    <s v="Store A"/>
    <s v="Retail"/>
    <x v="2"/>
    <x v="5"/>
    <x v="828"/>
    <x v="1"/>
    <x v="3"/>
    <x v="0"/>
    <s v="REG100828"/>
    <s v="Cust 2899"/>
    <n v="16.82"/>
    <x v="528"/>
    <x v="32"/>
    <d v="2024-04-27T00:00:00"/>
    <s v="Eric"/>
  </r>
  <r>
    <d v="2025-02-06T00:00:00"/>
    <x v="4"/>
    <x v="6"/>
    <n v="4"/>
    <n v="473.91"/>
    <s v="Store A"/>
    <s v="Retail"/>
    <x v="3"/>
    <x v="0"/>
    <x v="829"/>
    <x v="2"/>
    <x v="1"/>
    <x v="0"/>
    <s v="REG100829"/>
    <s v="Cust 5322"/>
    <n v="29.22"/>
    <x v="323"/>
    <x v="29"/>
    <d v="2025-02-14T00:00:00"/>
    <s v="Wendy"/>
  </r>
  <r>
    <d v="2023-06-18T00:00:00"/>
    <x v="4"/>
    <x v="5"/>
    <n v="19"/>
    <n v="25.22"/>
    <s v="Store C"/>
    <s v="Wholesale"/>
    <x v="0"/>
    <x v="5"/>
    <x v="830"/>
    <x v="2"/>
    <x v="3"/>
    <x v="0"/>
    <s v="REG100830"/>
    <s v="Cust 7063"/>
    <n v="31.31"/>
    <x v="391"/>
    <x v="4"/>
    <d v="2023-06-22T00:00:00"/>
    <s v="Wendy"/>
  </r>
  <r>
    <d v="2024-11-01T00:00:00"/>
    <x v="2"/>
    <x v="1"/>
    <n v="2"/>
    <n v="437.04"/>
    <s v="Store C"/>
    <s v="Wholesale"/>
    <x v="0"/>
    <x v="2"/>
    <x v="831"/>
    <x v="2"/>
    <x v="1"/>
    <x v="1"/>
    <s v="REG100831"/>
    <s v="Cust 7487"/>
    <n v="37.369999999999997"/>
    <x v="501"/>
    <x v="50"/>
    <d v="2024-11-08T00:00:00"/>
    <s v="Ryan"/>
  </r>
  <r>
    <d v="2024-08-12T00:00:00"/>
    <x v="4"/>
    <x v="2"/>
    <n v="5"/>
    <n v="448.86"/>
    <s v="Store C"/>
    <s v="Wholesale"/>
    <x v="2"/>
    <x v="2"/>
    <x v="832"/>
    <x v="2"/>
    <x v="1"/>
    <x v="1"/>
    <s v="REG100832"/>
    <s v="Cust 5481"/>
    <n v="21.22"/>
    <x v="305"/>
    <x v="45"/>
    <d v="2024-08-21T00:00:00"/>
    <s v="Wendy"/>
  </r>
  <r>
    <d v="2025-04-08T00:00:00"/>
    <x v="3"/>
    <x v="1"/>
    <n v="14"/>
    <n v="299.94"/>
    <s v="Store D"/>
    <s v="Retail"/>
    <x v="0"/>
    <x v="3"/>
    <x v="833"/>
    <x v="1"/>
    <x v="0"/>
    <x v="0"/>
    <s v="REG100833"/>
    <s v="Cust 3150"/>
    <n v="21.04"/>
    <x v="409"/>
    <x v="8"/>
    <d v="2025-04-17T00:00:00"/>
    <s v="Cameron"/>
  </r>
  <r>
    <d v="2024-07-20T00:00:00"/>
    <x v="3"/>
    <x v="0"/>
    <n v="8"/>
    <n v="224.18"/>
    <s v="Store B"/>
    <s v="Retail"/>
    <x v="2"/>
    <x v="5"/>
    <x v="834"/>
    <x v="3"/>
    <x v="3"/>
    <x v="0"/>
    <s v="REG100834"/>
    <s v="Cust 5099"/>
    <n v="36.9"/>
    <x v="555"/>
    <x v="10"/>
    <d v="2024-07-26T00:00:00"/>
    <s v="Cameron"/>
  </r>
  <r>
    <d v="2023-02-17T00:00:00"/>
    <x v="4"/>
    <x v="2"/>
    <n v="6"/>
    <n v="327.69"/>
    <s v="Store D"/>
    <s v="Wholesale"/>
    <x v="3"/>
    <x v="4"/>
    <x v="835"/>
    <x v="4"/>
    <x v="3"/>
    <x v="0"/>
    <s v="REG100835"/>
    <s v="Cust 6615"/>
    <n v="22.34"/>
    <x v="556"/>
    <x v="22"/>
    <d v="2023-02-21T00:00:00"/>
    <s v="Wendy"/>
  </r>
  <r>
    <d v="2024-07-02T00:00:00"/>
    <x v="0"/>
    <x v="1"/>
    <n v="8"/>
    <n v="432.27"/>
    <s v="Store D"/>
    <s v="Retail"/>
    <x v="3"/>
    <x v="0"/>
    <x v="836"/>
    <x v="4"/>
    <x v="0"/>
    <x v="1"/>
    <s v="REG100836"/>
    <s v="Cust 6924"/>
    <n v="20.64"/>
    <x v="557"/>
    <x v="49"/>
    <d v="2024-07-04T00:00:00"/>
    <s v="Eric"/>
  </r>
  <r>
    <d v="2025-04-01T00:00:00"/>
    <x v="2"/>
    <x v="4"/>
    <n v="4"/>
    <n v="249.98"/>
    <s v="Store C"/>
    <s v="Retail"/>
    <x v="2"/>
    <x v="0"/>
    <x v="837"/>
    <x v="3"/>
    <x v="1"/>
    <x v="0"/>
    <s v="REG100837"/>
    <s v="Cust 2411"/>
    <n v="49.08"/>
    <x v="159"/>
    <x v="24"/>
    <d v="2025-04-04T00:00:00"/>
    <s v="Ryan"/>
  </r>
  <r>
    <d v="2025-06-02T00:00:00"/>
    <x v="1"/>
    <x v="6"/>
    <n v="14"/>
    <n v="194.31"/>
    <s v="Store C"/>
    <s v="Wholesale"/>
    <x v="2"/>
    <x v="2"/>
    <x v="838"/>
    <x v="3"/>
    <x v="0"/>
    <x v="0"/>
    <s v="REG100838"/>
    <s v="Cust 9648"/>
    <n v="15.3"/>
    <x v="558"/>
    <x v="16"/>
    <d v="2025-06-09T00:00:00"/>
    <s v="Sophie"/>
  </r>
  <r>
    <d v="2024-11-21T00:00:00"/>
    <x v="4"/>
    <x v="1"/>
    <n v="5"/>
    <n v="69.290000000000006"/>
    <s v="Store C"/>
    <s v="Wholesale"/>
    <x v="0"/>
    <x v="3"/>
    <x v="839"/>
    <x v="2"/>
    <x v="3"/>
    <x v="0"/>
    <s v="REG100839"/>
    <s v="Cust 1974"/>
    <n v="20.83"/>
    <x v="559"/>
    <x v="20"/>
    <d v="2024-11-29T00:00:00"/>
    <s v="Wendy"/>
  </r>
  <r>
    <d v="2024-01-10T00:00:00"/>
    <x v="1"/>
    <x v="6"/>
    <n v="15"/>
    <n v="306.91000000000003"/>
    <s v="Store A"/>
    <s v="Retail"/>
    <x v="0"/>
    <x v="3"/>
    <x v="840"/>
    <x v="4"/>
    <x v="0"/>
    <x v="1"/>
    <s v="REG100840"/>
    <s v="Cust 9452"/>
    <n v="19.38"/>
    <x v="560"/>
    <x v="5"/>
    <d v="2024-01-14T00:00:00"/>
    <s v="Sophie"/>
  </r>
  <r>
    <d v="2023-10-21T00:00:00"/>
    <x v="2"/>
    <x v="2"/>
    <n v="4"/>
    <n v="390.3"/>
    <s v="Store A"/>
    <s v="Retail"/>
    <x v="2"/>
    <x v="4"/>
    <x v="841"/>
    <x v="3"/>
    <x v="3"/>
    <x v="0"/>
    <s v="REG100841"/>
    <s v="Cust 4558"/>
    <n v="43.56"/>
    <x v="72"/>
    <x v="6"/>
    <d v="2023-10-26T00:00:00"/>
    <s v="Ryan"/>
  </r>
  <r>
    <d v="2025-01-20T00:00:00"/>
    <x v="2"/>
    <x v="1"/>
    <n v="7"/>
    <n v="61.83"/>
    <s v="Store B"/>
    <s v="Retail"/>
    <x v="0"/>
    <x v="4"/>
    <x v="842"/>
    <x v="0"/>
    <x v="2"/>
    <x v="0"/>
    <s v="REG100842"/>
    <s v="Cust 8811"/>
    <n v="25.49"/>
    <x v="135"/>
    <x v="34"/>
    <d v="2025-01-22T00:00:00"/>
    <s v="Ryan"/>
  </r>
  <r>
    <d v="2024-11-09T00:00:00"/>
    <x v="4"/>
    <x v="4"/>
    <n v="7"/>
    <n v="83.32"/>
    <s v="Store D"/>
    <s v="Wholesale"/>
    <x v="3"/>
    <x v="3"/>
    <x v="843"/>
    <x v="4"/>
    <x v="0"/>
    <x v="0"/>
    <s v="REG100843"/>
    <s v="Cust 7788"/>
    <n v="23.4"/>
    <x v="325"/>
    <x v="47"/>
    <d v="2024-11-17T00:00:00"/>
    <s v="Wendy"/>
  </r>
  <r>
    <d v="2024-04-03T00:00:00"/>
    <x v="4"/>
    <x v="4"/>
    <n v="4"/>
    <n v="563.05999999999995"/>
    <s v="Store D"/>
    <s v="Retail"/>
    <x v="3"/>
    <x v="5"/>
    <x v="844"/>
    <x v="4"/>
    <x v="2"/>
    <x v="0"/>
    <s v="REG100844"/>
    <s v="Cust 2788"/>
    <n v="19.5"/>
    <x v="516"/>
    <x v="24"/>
    <d v="2024-04-07T00:00:00"/>
    <s v="Wendy"/>
  </r>
  <r>
    <d v="2024-01-06T00:00:00"/>
    <x v="2"/>
    <x v="1"/>
    <n v="13"/>
    <n v="256.35000000000002"/>
    <s v="Store D"/>
    <s v="Wholesale"/>
    <x v="2"/>
    <x v="1"/>
    <x v="845"/>
    <x v="4"/>
    <x v="1"/>
    <x v="0"/>
    <s v="REG100845"/>
    <s v="Cust 6621"/>
    <n v="26.04"/>
    <x v="561"/>
    <x v="31"/>
    <d v="2024-01-08T00:00:00"/>
    <s v="Ryan"/>
  </r>
  <r>
    <d v="2023-08-02T00:00:00"/>
    <x v="3"/>
    <x v="6"/>
    <n v="9"/>
    <n v="303.26"/>
    <s v="Store A"/>
    <s v="Wholesale"/>
    <x v="3"/>
    <x v="4"/>
    <x v="846"/>
    <x v="3"/>
    <x v="0"/>
    <x v="0"/>
    <s v="REG100846"/>
    <s v="Cust 8575"/>
    <n v="17.010000000000002"/>
    <x v="562"/>
    <x v="36"/>
    <d v="2023-08-05T00:00:00"/>
    <s v="Cameron"/>
  </r>
  <r>
    <d v="2023-11-26T00:00:00"/>
    <x v="2"/>
    <x v="3"/>
    <n v="9"/>
    <n v="440.48"/>
    <s v="Store A"/>
    <s v="Retail"/>
    <x v="2"/>
    <x v="4"/>
    <x v="847"/>
    <x v="1"/>
    <x v="2"/>
    <x v="0"/>
    <s v="REG100847"/>
    <s v="Cust 8799"/>
    <n v="32.94"/>
    <x v="168"/>
    <x v="15"/>
    <d v="2023-12-01T00:00:00"/>
    <s v="Ryan"/>
  </r>
  <r>
    <d v="2025-04-20T00:00:00"/>
    <x v="0"/>
    <x v="2"/>
    <n v="17"/>
    <n v="469.25"/>
    <s v="Store B"/>
    <s v="Wholesale"/>
    <x v="3"/>
    <x v="5"/>
    <x v="848"/>
    <x v="2"/>
    <x v="3"/>
    <x v="0"/>
    <s v="REG100848"/>
    <s v="Cust 1699"/>
    <n v="45.76"/>
    <x v="248"/>
    <x v="42"/>
    <d v="2025-04-26T00:00:00"/>
    <s v="Eric"/>
  </r>
  <r>
    <d v="2023-12-29T00:00:00"/>
    <x v="1"/>
    <x v="3"/>
    <n v="18"/>
    <n v="491.76"/>
    <s v="Store A"/>
    <s v="Wholesale"/>
    <x v="2"/>
    <x v="0"/>
    <x v="849"/>
    <x v="2"/>
    <x v="1"/>
    <x v="0"/>
    <s v="REG100849"/>
    <s v="Cust 5606"/>
    <n v="37.49"/>
    <x v="183"/>
    <x v="37"/>
    <d v="2024-01-05T00:00:00"/>
    <s v="Sophie"/>
  </r>
  <r>
    <d v="2025-01-08T00:00:00"/>
    <x v="3"/>
    <x v="3"/>
    <n v="19"/>
    <n v="465.27"/>
    <s v="Store C"/>
    <s v="Retail"/>
    <x v="3"/>
    <x v="4"/>
    <x v="850"/>
    <x v="2"/>
    <x v="3"/>
    <x v="0"/>
    <s v="REG100850"/>
    <s v="Cust 4933"/>
    <n v="44.95"/>
    <x v="304"/>
    <x v="5"/>
    <d v="2025-01-10T00:00:00"/>
    <s v="Cameron"/>
  </r>
  <r>
    <d v="2024-05-06T00:00:00"/>
    <x v="0"/>
    <x v="3"/>
    <n v="18"/>
    <n v="343.68"/>
    <s v="Store B"/>
    <s v="Retail"/>
    <x v="0"/>
    <x v="0"/>
    <x v="851"/>
    <x v="1"/>
    <x v="1"/>
    <x v="0"/>
    <s v="REG100851"/>
    <s v="Cust 9517"/>
    <n v="20.37"/>
    <x v="563"/>
    <x v="2"/>
    <d v="2024-05-14T00:00:00"/>
    <s v="Eric"/>
  </r>
  <r>
    <d v="2024-09-15T00:00:00"/>
    <x v="2"/>
    <x v="2"/>
    <n v="14"/>
    <n v="472.51"/>
    <s v="Store D"/>
    <s v="Wholesale"/>
    <x v="3"/>
    <x v="5"/>
    <x v="852"/>
    <x v="1"/>
    <x v="3"/>
    <x v="0"/>
    <s v="REG100852"/>
    <s v="Cust 6740"/>
    <n v="13.54"/>
    <x v="564"/>
    <x v="46"/>
    <d v="2024-09-20T00:00:00"/>
    <s v="Ryan"/>
  </r>
  <r>
    <d v="2023-02-07T00:00:00"/>
    <x v="4"/>
    <x v="0"/>
    <n v="20"/>
    <n v="142.52000000000001"/>
    <s v="Store A"/>
    <s v="Retail"/>
    <x v="1"/>
    <x v="0"/>
    <x v="853"/>
    <x v="4"/>
    <x v="0"/>
    <x v="0"/>
    <s v="REG100853"/>
    <s v="Cust 1301"/>
    <n v="30.67"/>
    <x v="230"/>
    <x v="29"/>
    <d v="2023-02-12T00:00:00"/>
    <s v="Wendy"/>
  </r>
  <r>
    <d v="2023-03-01T00:00:00"/>
    <x v="0"/>
    <x v="1"/>
    <n v="1"/>
    <n v="31.42"/>
    <s v="Store B"/>
    <s v="Retail"/>
    <x v="3"/>
    <x v="5"/>
    <x v="854"/>
    <x v="2"/>
    <x v="1"/>
    <x v="0"/>
    <s v="REG100854"/>
    <s v="Cust 1736"/>
    <n v="11.35"/>
    <x v="565"/>
    <x v="3"/>
    <d v="2023-03-09T00:00:00"/>
    <s v="Eric"/>
  </r>
  <r>
    <d v="2024-05-08T00:00:00"/>
    <x v="2"/>
    <x v="5"/>
    <n v="17"/>
    <n v="572.29"/>
    <s v="Store D"/>
    <s v="Retail"/>
    <x v="2"/>
    <x v="0"/>
    <x v="855"/>
    <x v="0"/>
    <x v="1"/>
    <x v="1"/>
    <s v="REG100855"/>
    <s v="Cust 6864"/>
    <n v="44.99"/>
    <x v="336"/>
    <x v="2"/>
    <d v="2024-05-12T00:00:00"/>
    <s v="Ryan"/>
  </r>
  <r>
    <d v="2024-06-06T00:00:00"/>
    <x v="0"/>
    <x v="2"/>
    <n v="18"/>
    <n v="333.6"/>
    <s v="Store A"/>
    <s v="Retail"/>
    <x v="1"/>
    <x v="3"/>
    <x v="856"/>
    <x v="3"/>
    <x v="0"/>
    <x v="1"/>
    <s v="REG100856"/>
    <s v="Cust 5207"/>
    <n v="33.79"/>
    <x v="566"/>
    <x v="16"/>
    <d v="2024-06-08T00:00:00"/>
    <s v="Eric"/>
  </r>
  <r>
    <d v="2023-04-29T00:00:00"/>
    <x v="2"/>
    <x v="3"/>
    <n v="9"/>
    <n v="90.87"/>
    <s v="Store D"/>
    <s v="Retail"/>
    <x v="2"/>
    <x v="3"/>
    <x v="857"/>
    <x v="3"/>
    <x v="2"/>
    <x v="0"/>
    <s v="REG100857"/>
    <s v="Cust 6525"/>
    <n v="26.56"/>
    <x v="431"/>
    <x v="42"/>
    <d v="2023-05-08T00:00:00"/>
    <s v="Ryan"/>
  </r>
  <r>
    <d v="2023-09-20T00:00:00"/>
    <x v="3"/>
    <x v="5"/>
    <n v="9"/>
    <n v="588.59"/>
    <s v="Store D"/>
    <s v="Wholesale"/>
    <x v="3"/>
    <x v="4"/>
    <x v="858"/>
    <x v="0"/>
    <x v="3"/>
    <x v="0"/>
    <s v="REG100858"/>
    <s v="Cust 8298"/>
    <n v="42.3"/>
    <x v="567"/>
    <x v="46"/>
    <d v="2023-09-22T00:00:00"/>
    <s v="Cameron"/>
  </r>
  <r>
    <d v="2024-11-08T00:00:00"/>
    <x v="1"/>
    <x v="3"/>
    <n v="18"/>
    <n v="153.28"/>
    <s v="Store B"/>
    <s v="Retail"/>
    <x v="3"/>
    <x v="2"/>
    <x v="859"/>
    <x v="0"/>
    <x v="2"/>
    <x v="1"/>
    <s v="REG100859"/>
    <s v="Cust 8204"/>
    <n v="33.71"/>
    <x v="137"/>
    <x v="47"/>
    <d v="2024-11-13T00:00:00"/>
    <s v="Sophie"/>
  </r>
  <r>
    <d v="2023-03-22T00:00:00"/>
    <x v="2"/>
    <x v="6"/>
    <n v="17"/>
    <n v="194.97"/>
    <s v="Store A"/>
    <s v="Retail"/>
    <x v="2"/>
    <x v="3"/>
    <x v="860"/>
    <x v="1"/>
    <x v="1"/>
    <x v="1"/>
    <s v="REG100860"/>
    <s v="Cust 4035"/>
    <n v="5.59"/>
    <x v="568"/>
    <x v="26"/>
    <d v="2023-03-30T00:00:00"/>
    <s v="Ryan"/>
  </r>
  <r>
    <d v="2023-09-05T00:00:00"/>
    <x v="0"/>
    <x v="4"/>
    <n v="5"/>
    <n v="367.61"/>
    <s v="Store C"/>
    <s v="Retail"/>
    <x v="0"/>
    <x v="1"/>
    <x v="861"/>
    <x v="2"/>
    <x v="1"/>
    <x v="0"/>
    <s v="REG100861"/>
    <s v="Cust 1654"/>
    <n v="19.55"/>
    <x v="569"/>
    <x v="25"/>
    <d v="2023-09-13T00:00:00"/>
    <s v="Eric"/>
  </r>
  <r>
    <d v="2023-02-26T00:00:00"/>
    <x v="0"/>
    <x v="0"/>
    <n v="17"/>
    <n v="575.5"/>
    <s v="Store D"/>
    <s v="Retail"/>
    <x v="3"/>
    <x v="1"/>
    <x v="862"/>
    <x v="3"/>
    <x v="0"/>
    <x v="0"/>
    <s v="REG100862"/>
    <s v="Cust 1823"/>
    <n v="13.42"/>
    <x v="16"/>
    <x v="3"/>
    <d v="2023-03-05T00:00:00"/>
    <s v="Eric"/>
  </r>
  <r>
    <d v="2024-11-26T00:00:00"/>
    <x v="4"/>
    <x v="3"/>
    <n v="3"/>
    <n v="229.45"/>
    <s v="Store D"/>
    <s v="Retail"/>
    <x v="2"/>
    <x v="5"/>
    <x v="863"/>
    <x v="3"/>
    <x v="2"/>
    <x v="1"/>
    <s v="REG100863"/>
    <s v="Cust 1423"/>
    <n v="19.809999999999999"/>
    <x v="570"/>
    <x v="15"/>
    <d v="2024-11-29T00:00:00"/>
    <s v="Wendy"/>
  </r>
  <r>
    <d v="2024-10-14T00:00:00"/>
    <x v="3"/>
    <x v="3"/>
    <n v="3"/>
    <n v="391.63"/>
    <s v="Store C"/>
    <s v="Retail"/>
    <x v="0"/>
    <x v="2"/>
    <x v="864"/>
    <x v="3"/>
    <x v="3"/>
    <x v="1"/>
    <s v="REG100864"/>
    <s v="Cust 7282"/>
    <n v="25.36"/>
    <x v="571"/>
    <x v="6"/>
    <d v="2024-10-17T00:00:00"/>
    <s v="Cameron"/>
  </r>
  <r>
    <d v="2023-05-29T00:00:00"/>
    <x v="3"/>
    <x v="0"/>
    <n v="15"/>
    <n v="67.349999999999994"/>
    <s v="Store D"/>
    <s v="Wholesale"/>
    <x v="1"/>
    <x v="4"/>
    <x v="865"/>
    <x v="0"/>
    <x v="0"/>
    <x v="0"/>
    <s v="REG100865"/>
    <s v="Cust 8437"/>
    <n v="24.85"/>
    <x v="572"/>
    <x v="14"/>
    <d v="2023-06-03T00:00:00"/>
    <s v="Cameron"/>
  </r>
  <r>
    <d v="2024-03-22T00:00:00"/>
    <x v="3"/>
    <x v="0"/>
    <n v="6"/>
    <n v="453.86"/>
    <s v="Store B"/>
    <s v="Retail"/>
    <x v="2"/>
    <x v="1"/>
    <x v="866"/>
    <x v="2"/>
    <x v="3"/>
    <x v="0"/>
    <s v="REG100866"/>
    <s v="Cust 9508"/>
    <n v="45.32"/>
    <x v="124"/>
    <x v="26"/>
    <d v="2024-03-31T00:00:00"/>
    <s v="Cameron"/>
  </r>
  <r>
    <d v="2023-04-22T00:00:00"/>
    <x v="1"/>
    <x v="5"/>
    <n v="19"/>
    <n v="537.70000000000005"/>
    <s v="Store D"/>
    <s v="Wholesale"/>
    <x v="0"/>
    <x v="5"/>
    <x v="867"/>
    <x v="0"/>
    <x v="1"/>
    <x v="0"/>
    <s v="REG100867"/>
    <s v="Cust 1186"/>
    <n v="45.83"/>
    <x v="573"/>
    <x v="32"/>
    <d v="2023-05-02T00:00:00"/>
    <s v="Sophie"/>
  </r>
  <r>
    <d v="2025-06-06T00:00:00"/>
    <x v="2"/>
    <x v="1"/>
    <n v="5"/>
    <n v="32.56"/>
    <s v="Store C"/>
    <s v="Retail"/>
    <x v="3"/>
    <x v="4"/>
    <x v="868"/>
    <x v="4"/>
    <x v="0"/>
    <x v="0"/>
    <s v="REG100868"/>
    <s v="Cust 4362"/>
    <n v="46.73"/>
    <x v="472"/>
    <x v="16"/>
    <d v="2025-06-12T00:00:00"/>
    <s v="Ryan"/>
  </r>
  <r>
    <d v="2023-01-25T00:00:00"/>
    <x v="3"/>
    <x v="0"/>
    <n v="2"/>
    <n v="196.7"/>
    <s v="Store A"/>
    <s v="Retail"/>
    <x v="0"/>
    <x v="2"/>
    <x v="869"/>
    <x v="0"/>
    <x v="0"/>
    <x v="0"/>
    <s v="REG100869"/>
    <s v="Cust 9388"/>
    <n v="35.840000000000003"/>
    <x v="232"/>
    <x v="34"/>
    <d v="2023-01-29T00:00:00"/>
    <s v="Cameron"/>
  </r>
  <r>
    <d v="2023-09-08T00:00:00"/>
    <x v="1"/>
    <x v="1"/>
    <n v="12"/>
    <n v="369.45"/>
    <s v="Store D"/>
    <s v="Wholesale"/>
    <x v="1"/>
    <x v="2"/>
    <x v="870"/>
    <x v="2"/>
    <x v="2"/>
    <x v="1"/>
    <s v="REG100870"/>
    <s v="Cust 4015"/>
    <n v="44.76"/>
    <x v="247"/>
    <x v="25"/>
    <d v="2023-09-10T00:00:00"/>
    <s v="Sophie"/>
  </r>
  <r>
    <d v="2024-10-04T00:00:00"/>
    <x v="0"/>
    <x v="5"/>
    <n v="12"/>
    <n v="181.96"/>
    <s v="Store D"/>
    <s v="Retail"/>
    <x v="2"/>
    <x v="0"/>
    <x v="871"/>
    <x v="1"/>
    <x v="2"/>
    <x v="0"/>
    <s v="REG100871"/>
    <s v="Cust 6428"/>
    <n v="25.06"/>
    <x v="574"/>
    <x v="35"/>
    <d v="2024-10-11T00:00:00"/>
    <s v="Eric"/>
  </r>
  <r>
    <d v="2025-04-06T00:00:00"/>
    <x v="0"/>
    <x v="2"/>
    <n v="3"/>
    <n v="32.07"/>
    <s v="Store D"/>
    <s v="Retail"/>
    <x v="2"/>
    <x v="1"/>
    <x v="872"/>
    <x v="0"/>
    <x v="2"/>
    <x v="1"/>
    <s v="REG100872"/>
    <s v="Cust 2570"/>
    <n v="43.18"/>
    <x v="575"/>
    <x v="8"/>
    <d v="2025-04-08T00:00:00"/>
    <s v="Eric"/>
  </r>
  <r>
    <d v="2024-08-25T00:00:00"/>
    <x v="0"/>
    <x v="0"/>
    <n v="15"/>
    <n v="39.93"/>
    <s v="Store A"/>
    <s v="Retail"/>
    <x v="2"/>
    <x v="4"/>
    <x v="873"/>
    <x v="3"/>
    <x v="2"/>
    <x v="0"/>
    <s v="REG100873"/>
    <s v="Cust 5132"/>
    <n v="33.44"/>
    <x v="225"/>
    <x v="44"/>
    <d v="2024-08-29T00:00:00"/>
    <s v="Eric"/>
  </r>
  <r>
    <d v="2024-03-06T00:00:00"/>
    <x v="2"/>
    <x v="1"/>
    <n v="7"/>
    <n v="374.43"/>
    <s v="Store A"/>
    <s v="Retail"/>
    <x v="2"/>
    <x v="3"/>
    <x v="874"/>
    <x v="4"/>
    <x v="1"/>
    <x v="0"/>
    <s v="REG100874"/>
    <s v="Cust 4929"/>
    <n v="28.97"/>
    <x v="491"/>
    <x v="7"/>
    <d v="2024-03-12T00:00:00"/>
    <s v="Ryan"/>
  </r>
  <r>
    <d v="2023-03-23T00:00:00"/>
    <x v="0"/>
    <x v="6"/>
    <n v="2"/>
    <n v="101.87"/>
    <s v="Store C"/>
    <s v="Wholesale"/>
    <x v="0"/>
    <x v="4"/>
    <x v="875"/>
    <x v="4"/>
    <x v="0"/>
    <x v="0"/>
    <s v="REG100875"/>
    <s v="Cust 4018"/>
    <n v="28.63"/>
    <x v="433"/>
    <x v="26"/>
    <d v="2023-03-26T00:00:00"/>
    <s v="Eric"/>
  </r>
  <r>
    <d v="2024-01-13T00:00:00"/>
    <x v="3"/>
    <x v="5"/>
    <n v="13"/>
    <n v="343.45"/>
    <s v="Store D"/>
    <s v="Wholesale"/>
    <x v="3"/>
    <x v="1"/>
    <x v="876"/>
    <x v="1"/>
    <x v="1"/>
    <x v="0"/>
    <s v="REG100876"/>
    <s v="Cust 8069"/>
    <n v="27.26"/>
    <x v="576"/>
    <x v="5"/>
    <d v="2024-01-17T00:00:00"/>
    <s v="Cameron"/>
  </r>
  <r>
    <d v="2023-07-18T00:00:00"/>
    <x v="3"/>
    <x v="6"/>
    <n v="15"/>
    <n v="144.11000000000001"/>
    <s v="Store C"/>
    <s v="Retail"/>
    <x v="0"/>
    <x v="2"/>
    <x v="877"/>
    <x v="1"/>
    <x v="3"/>
    <x v="0"/>
    <s v="REG100877"/>
    <s v="Cust 6741"/>
    <n v="28.51"/>
    <x v="338"/>
    <x v="10"/>
    <d v="2023-07-24T00:00:00"/>
    <s v="Cameron"/>
  </r>
  <r>
    <d v="2025-02-23T00:00:00"/>
    <x v="4"/>
    <x v="3"/>
    <n v="18"/>
    <n v="403.68"/>
    <s v="Store A"/>
    <s v="Retail"/>
    <x v="2"/>
    <x v="3"/>
    <x v="878"/>
    <x v="4"/>
    <x v="0"/>
    <x v="0"/>
    <s v="REG100878"/>
    <s v="Cust 8050"/>
    <n v="13.09"/>
    <x v="577"/>
    <x v="3"/>
    <d v="2025-03-04T00:00:00"/>
    <s v="Wendy"/>
  </r>
  <r>
    <d v="2023-02-22T00:00:00"/>
    <x v="0"/>
    <x v="6"/>
    <n v="14"/>
    <n v="346.57"/>
    <s v="Store B"/>
    <s v="Retail"/>
    <x v="1"/>
    <x v="3"/>
    <x v="879"/>
    <x v="3"/>
    <x v="0"/>
    <x v="0"/>
    <s v="REG100879"/>
    <s v="Cust 2434"/>
    <n v="36.83"/>
    <x v="429"/>
    <x v="0"/>
    <d v="2023-03-02T00:00:00"/>
    <s v="Eric"/>
  </r>
  <r>
    <d v="2024-10-18T00:00:00"/>
    <x v="2"/>
    <x v="6"/>
    <n v="7"/>
    <n v="392.79"/>
    <s v="Store C"/>
    <s v="Wholesale"/>
    <x v="0"/>
    <x v="0"/>
    <x v="880"/>
    <x v="1"/>
    <x v="2"/>
    <x v="0"/>
    <s v="REG100880"/>
    <s v="Cust 9089"/>
    <n v="45.85"/>
    <x v="578"/>
    <x v="6"/>
    <d v="2024-10-28T00:00:00"/>
    <s v="Ryan"/>
  </r>
  <r>
    <d v="2023-10-26T00:00:00"/>
    <x v="4"/>
    <x v="6"/>
    <n v="16"/>
    <n v="70.83"/>
    <s v="Store B"/>
    <s v="Wholesale"/>
    <x v="3"/>
    <x v="3"/>
    <x v="881"/>
    <x v="1"/>
    <x v="3"/>
    <x v="0"/>
    <s v="REG100881"/>
    <s v="Cust 1091"/>
    <n v="5.05"/>
    <x v="71"/>
    <x v="19"/>
    <d v="2023-10-31T00:00:00"/>
    <s v="Wendy"/>
  </r>
  <r>
    <d v="2023-01-10T00:00:00"/>
    <x v="3"/>
    <x v="4"/>
    <n v="20"/>
    <n v="274.37"/>
    <s v="Store B"/>
    <s v="Retail"/>
    <x v="1"/>
    <x v="0"/>
    <x v="882"/>
    <x v="1"/>
    <x v="2"/>
    <x v="0"/>
    <s v="REG100882"/>
    <s v="Cust 6138"/>
    <n v="12.28"/>
    <x v="579"/>
    <x v="5"/>
    <d v="2023-01-14T00:00:00"/>
    <s v="Cameron"/>
  </r>
  <r>
    <d v="2024-03-19T00:00:00"/>
    <x v="3"/>
    <x v="2"/>
    <n v="10"/>
    <n v="19.73"/>
    <s v="Store D"/>
    <s v="Retail"/>
    <x v="1"/>
    <x v="3"/>
    <x v="883"/>
    <x v="3"/>
    <x v="3"/>
    <x v="0"/>
    <s v="REG100883"/>
    <s v="Cust 6326"/>
    <n v="16.059999999999999"/>
    <x v="422"/>
    <x v="26"/>
    <d v="2024-03-22T00:00:00"/>
    <s v="Cameron"/>
  </r>
  <r>
    <d v="2023-12-20T00:00:00"/>
    <x v="3"/>
    <x v="6"/>
    <n v="10"/>
    <n v="465.72"/>
    <s v="Store B"/>
    <s v="Wholesale"/>
    <x v="3"/>
    <x v="1"/>
    <x v="884"/>
    <x v="0"/>
    <x v="0"/>
    <x v="0"/>
    <s v="REG100884"/>
    <s v="Cust 1327"/>
    <n v="28.14"/>
    <x v="580"/>
    <x v="1"/>
    <d v="2023-12-26T00:00:00"/>
    <s v="Cameron"/>
  </r>
  <r>
    <d v="2024-12-09T00:00:00"/>
    <x v="3"/>
    <x v="4"/>
    <n v="19"/>
    <n v="62.07"/>
    <s v="Store D"/>
    <s v="Retail"/>
    <x v="1"/>
    <x v="4"/>
    <x v="885"/>
    <x v="3"/>
    <x v="0"/>
    <x v="0"/>
    <s v="REG100885"/>
    <s v="Cust 8602"/>
    <n v="14.85"/>
    <x v="531"/>
    <x v="12"/>
    <d v="2024-12-19T00:00:00"/>
    <s v="Cameron"/>
  </r>
  <r>
    <d v="2023-05-10T00:00:00"/>
    <x v="3"/>
    <x v="5"/>
    <n v="11"/>
    <n v="529.20000000000005"/>
    <s v="Store A"/>
    <s v="Wholesale"/>
    <x v="3"/>
    <x v="5"/>
    <x v="886"/>
    <x v="2"/>
    <x v="3"/>
    <x v="1"/>
    <s v="REG100886"/>
    <s v="Cust 9131"/>
    <n v="16.78"/>
    <x v="2"/>
    <x v="2"/>
    <d v="2023-05-20T00:00:00"/>
    <s v="Cameron"/>
  </r>
  <r>
    <d v="2023-10-18T00:00:00"/>
    <x v="1"/>
    <x v="4"/>
    <n v="7"/>
    <n v="387.31"/>
    <s v="Store A"/>
    <s v="Retail"/>
    <x v="1"/>
    <x v="5"/>
    <x v="887"/>
    <x v="4"/>
    <x v="2"/>
    <x v="0"/>
    <s v="REG100887"/>
    <s v="Cust 6716"/>
    <n v="14.76"/>
    <x v="90"/>
    <x v="6"/>
    <d v="2023-10-21T00:00:00"/>
    <s v="Sophie"/>
  </r>
  <r>
    <d v="2024-12-03T00:00:00"/>
    <x v="1"/>
    <x v="1"/>
    <n v="1"/>
    <n v="152.75"/>
    <s v="Store A"/>
    <s v="Wholesale"/>
    <x v="0"/>
    <x v="5"/>
    <x v="888"/>
    <x v="2"/>
    <x v="0"/>
    <x v="1"/>
    <s v="REG100888"/>
    <s v="Cust 2071"/>
    <n v="9.61"/>
    <x v="581"/>
    <x v="21"/>
    <d v="2024-12-06T00:00:00"/>
    <s v="Sophie"/>
  </r>
  <r>
    <d v="2024-10-10T00:00:00"/>
    <x v="1"/>
    <x v="3"/>
    <n v="8"/>
    <n v="72.48"/>
    <s v="Store A"/>
    <s v="Wholesale"/>
    <x v="1"/>
    <x v="3"/>
    <x v="889"/>
    <x v="3"/>
    <x v="3"/>
    <x v="1"/>
    <s v="REG100889"/>
    <s v="Cust 4472"/>
    <n v="26.92"/>
    <x v="268"/>
    <x v="51"/>
    <d v="2024-10-17T00:00:00"/>
    <s v="Sophie"/>
  </r>
  <r>
    <d v="2024-06-03T00:00:00"/>
    <x v="0"/>
    <x v="1"/>
    <n v="4"/>
    <n v="194.09"/>
    <s v="Store D"/>
    <s v="Wholesale"/>
    <x v="1"/>
    <x v="0"/>
    <x v="890"/>
    <x v="2"/>
    <x v="2"/>
    <x v="0"/>
    <s v="REG100890"/>
    <s v="Cust 3899"/>
    <n v="26.35"/>
    <x v="189"/>
    <x v="16"/>
    <d v="2024-06-07T00:00:00"/>
    <s v="Eric"/>
  </r>
  <r>
    <d v="2025-03-26T00:00:00"/>
    <x v="1"/>
    <x v="1"/>
    <n v="3"/>
    <n v="159.30000000000001"/>
    <s v="Store B"/>
    <s v="Wholesale"/>
    <x v="3"/>
    <x v="0"/>
    <x v="891"/>
    <x v="2"/>
    <x v="1"/>
    <x v="1"/>
    <s v="REG100891"/>
    <s v="Cust 9467"/>
    <n v="45.34"/>
    <x v="582"/>
    <x v="41"/>
    <d v="2025-03-29T00:00:00"/>
    <s v="Sophie"/>
  </r>
  <r>
    <d v="2024-04-26T00:00:00"/>
    <x v="2"/>
    <x v="4"/>
    <n v="4"/>
    <n v="303.37"/>
    <s v="Store A"/>
    <s v="Retail"/>
    <x v="1"/>
    <x v="3"/>
    <x v="892"/>
    <x v="1"/>
    <x v="2"/>
    <x v="0"/>
    <s v="REG100892"/>
    <s v="Cust 3824"/>
    <n v="30.19"/>
    <x v="478"/>
    <x v="42"/>
    <d v="2024-05-01T00:00:00"/>
    <s v="Ryan"/>
  </r>
  <r>
    <d v="2023-05-05T00:00:00"/>
    <x v="4"/>
    <x v="3"/>
    <n v="16"/>
    <n v="541.96"/>
    <s v="Store C"/>
    <s v="Retail"/>
    <x v="1"/>
    <x v="0"/>
    <x v="893"/>
    <x v="4"/>
    <x v="1"/>
    <x v="1"/>
    <s v="REG100893"/>
    <s v="Cust 3511"/>
    <n v="9.93"/>
    <x v="583"/>
    <x v="40"/>
    <d v="2023-05-13T00:00:00"/>
    <s v="Wendy"/>
  </r>
  <r>
    <d v="2023-09-23T00:00:00"/>
    <x v="4"/>
    <x v="2"/>
    <n v="7"/>
    <n v="41.57"/>
    <s v="Store D"/>
    <s v="Retail"/>
    <x v="0"/>
    <x v="3"/>
    <x v="894"/>
    <x v="0"/>
    <x v="3"/>
    <x v="0"/>
    <s v="REG100894"/>
    <s v="Cust 3356"/>
    <n v="16.59"/>
    <x v="584"/>
    <x v="46"/>
    <d v="2023-09-29T00:00:00"/>
    <s v="Wendy"/>
  </r>
  <r>
    <d v="2025-03-08T00:00:00"/>
    <x v="1"/>
    <x v="4"/>
    <n v="16"/>
    <n v="217.74"/>
    <s v="Store A"/>
    <s v="Wholesale"/>
    <x v="2"/>
    <x v="2"/>
    <x v="895"/>
    <x v="4"/>
    <x v="0"/>
    <x v="1"/>
    <s v="REG100895"/>
    <s v="Cust 2840"/>
    <n v="25.11"/>
    <x v="251"/>
    <x v="7"/>
    <d v="2025-03-15T00:00:00"/>
    <s v="Sophie"/>
  </r>
  <r>
    <d v="2023-01-17T00:00:00"/>
    <x v="2"/>
    <x v="6"/>
    <n v="15"/>
    <n v="19.170000000000002"/>
    <s v="Store A"/>
    <s v="Wholesale"/>
    <x v="0"/>
    <x v="3"/>
    <x v="896"/>
    <x v="1"/>
    <x v="0"/>
    <x v="1"/>
    <s v="REG100896"/>
    <s v="Cust 3811"/>
    <n v="48.93"/>
    <x v="585"/>
    <x v="11"/>
    <d v="2023-01-27T00:00:00"/>
    <s v="Ryan"/>
  </r>
  <r>
    <d v="2023-04-29T00:00:00"/>
    <x v="3"/>
    <x v="4"/>
    <n v="15"/>
    <n v="293.33999999999997"/>
    <s v="Store D"/>
    <s v="Retail"/>
    <x v="1"/>
    <x v="0"/>
    <x v="897"/>
    <x v="2"/>
    <x v="2"/>
    <x v="0"/>
    <s v="REG100897"/>
    <s v="Cust 9960"/>
    <n v="21.03"/>
    <x v="431"/>
    <x v="42"/>
    <d v="2023-05-01T00:00:00"/>
    <s v="Cameron"/>
  </r>
  <r>
    <d v="2025-02-16T00:00:00"/>
    <x v="1"/>
    <x v="6"/>
    <n v="18"/>
    <n v="204.58"/>
    <s v="Store C"/>
    <s v="Retail"/>
    <x v="1"/>
    <x v="4"/>
    <x v="898"/>
    <x v="4"/>
    <x v="3"/>
    <x v="0"/>
    <s v="REG100898"/>
    <s v="Cust 5906"/>
    <n v="16.04"/>
    <x v="586"/>
    <x v="0"/>
    <d v="2025-02-22T00:00:00"/>
    <s v="Sophie"/>
  </r>
  <r>
    <d v="2023-06-05T00:00:00"/>
    <x v="0"/>
    <x v="6"/>
    <n v="15"/>
    <n v="324.58"/>
    <s v="Store A"/>
    <s v="Retail"/>
    <x v="2"/>
    <x v="4"/>
    <x v="899"/>
    <x v="3"/>
    <x v="3"/>
    <x v="0"/>
    <s v="REG100899"/>
    <s v="Cust 6579"/>
    <n v="24.57"/>
    <x v="587"/>
    <x v="16"/>
    <d v="2023-06-09T00:00:00"/>
    <s v="Eric"/>
  </r>
  <r>
    <d v="2023-08-28T00:00:00"/>
    <x v="1"/>
    <x v="1"/>
    <n v="11"/>
    <n v="393.61"/>
    <s v="Store D"/>
    <s v="Wholesale"/>
    <x v="3"/>
    <x v="2"/>
    <x v="900"/>
    <x v="3"/>
    <x v="2"/>
    <x v="0"/>
    <s v="REG100900"/>
    <s v="Cust 1756"/>
    <n v="32.57"/>
    <x v="228"/>
    <x v="44"/>
    <d v="2023-09-06T00:00:00"/>
    <s v="Sophie"/>
  </r>
  <r>
    <d v="2023-08-01T00:00:00"/>
    <x v="2"/>
    <x v="6"/>
    <n v="8"/>
    <n v="141.28"/>
    <s v="Store D"/>
    <s v="Wholesale"/>
    <x v="3"/>
    <x v="2"/>
    <x v="901"/>
    <x v="0"/>
    <x v="0"/>
    <x v="0"/>
    <s v="REG100901"/>
    <s v="Cust 8150"/>
    <n v="28.69"/>
    <x v="588"/>
    <x v="36"/>
    <d v="2023-08-10T00:00:00"/>
    <s v="Ryan"/>
  </r>
  <r>
    <d v="2025-02-12T00:00:00"/>
    <x v="4"/>
    <x v="1"/>
    <n v="13"/>
    <n v="227.64"/>
    <s v="Store C"/>
    <s v="Retail"/>
    <x v="2"/>
    <x v="2"/>
    <x v="902"/>
    <x v="4"/>
    <x v="0"/>
    <x v="1"/>
    <s v="REG100902"/>
    <s v="Cust 8999"/>
    <n v="46.67"/>
    <x v="149"/>
    <x v="22"/>
    <d v="2025-02-20T00:00:00"/>
    <s v="Wendy"/>
  </r>
  <r>
    <d v="2023-07-03T00:00:00"/>
    <x v="3"/>
    <x v="0"/>
    <n v="19"/>
    <n v="341.07"/>
    <s v="Store C"/>
    <s v="Retail"/>
    <x v="1"/>
    <x v="3"/>
    <x v="903"/>
    <x v="4"/>
    <x v="2"/>
    <x v="0"/>
    <s v="REG100903"/>
    <s v="Cust 4277"/>
    <n v="47.75"/>
    <x v="318"/>
    <x v="49"/>
    <d v="2023-07-06T00:00:00"/>
    <s v="Cameron"/>
  </r>
  <r>
    <d v="2025-05-09T00:00:00"/>
    <x v="3"/>
    <x v="1"/>
    <n v="20"/>
    <n v="324.55"/>
    <s v="Store B"/>
    <s v="Wholesale"/>
    <x v="3"/>
    <x v="0"/>
    <x v="904"/>
    <x v="2"/>
    <x v="2"/>
    <x v="1"/>
    <s v="REG100904"/>
    <s v="Cust 8751"/>
    <n v="21.21"/>
    <x v="589"/>
    <x v="2"/>
    <d v="2025-05-13T00:00:00"/>
    <s v="Cameron"/>
  </r>
  <r>
    <d v="2024-05-05T00:00:00"/>
    <x v="4"/>
    <x v="2"/>
    <n v="16"/>
    <n v="301.07"/>
    <s v="Store B"/>
    <s v="Retail"/>
    <x v="1"/>
    <x v="3"/>
    <x v="905"/>
    <x v="1"/>
    <x v="2"/>
    <x v="0"/>
    <s v="REG100905"/>
    <s v="Cust 2482"/>
    <n v="5.58"/>
    <x v="458"/>
    <x v="2"/>
    <d v="2024-05-14T00:00:00"/>
    <s v="Wendy"/>
  </r>
  <r>
    <d v="2024-01-08T00:00:00"/>
    <x v="1"/>
    <x v="4"/>
    <n v="13"/>
    <n v="285.27999999999997"/>
    <s v="Store D"/>
    <s v="Retail"/>
    <x v="0"/>
    <x v="0"/>
    <x v="906"/>
    <x v="1"/>
    <x v="1"/>
    <x v="0"/>
    <s v="REG100906"/>
    <s v="Cust 4078"/>
    <n v="31.2"/>
    <x v="590"/>
    <x v="5"/>
    <d v="2024-01-15T00:00:00"/>
    <s v="Sophie"/>
  </r>
  <r>
    <d v="2025-01-13T00:00:00"/>
    <x v="1"/>
    <x v="1"/>
    <n v="15"/>
    <n v="18.04"/>
    <s v="Store C"/>
    <s v="Wholesale"/>
    <x v="0"/>
    <x v="0"/>
    <x v="907"/>
    <x v="2"/>
    <x v="1"/>
    <x v="1"/>
    <s v="REG100907"/>
    <s v="Cust 9091"/>
    <n v="14.35"/>
    <x v="427"/>
    <x v="11"/>
    <d v="2025-01-17T00:00:00"/>
    <s v="Sophie"/>
  </r>
  <r>
    <d v="2025-06-12T00:00:00"/>
    <x v="0"/>
    <x v="6"/>
    <n v="11"/>
    <n v="495.44"/>
    <s v="Store A"/>
    <s v="Wholesale"/>
    <x v="0"/>
    <x v="5"/>
    <x v="908"/>
    <x v="1"/>
    <x v="0"/>
    <x v="0"/>
    <s v="REG100908"/>
    <s v="Cust 8706"/>
    <n v="44.77"/>
    <x v="103"/>
    <x v="33"/>
    <d v="2025-06-18T00:00:00"/>
    <s v="Eric"/>
  </r>
  <r>
    <d v="2025-04-03T00:00:00"/>
    <x v="2"/>
    <x v="0"/>
    <n v="12"/>
    <n v="276.42"/>
    <s v="Store C"/>
    <s v="Retail"/>
    <x v="2"/>
    <x v="3"/>
    <x v="909"/>
    <x v="0"/>
    <x v="3"/>
    <x v="0"/>
    <s v="REG100909"/>
    <s v="Cust 5042"/>
    <n v="30.57"/>
    <x v="591"/>
    <x v="24"/>
    <d v="2025-04-12T00:00:00"/>
    <s v="Ryan"/>
  </r>
  <r>
    <d v="2023-01-26T00:00:00"/>
    <x v="3"/>
    <x v="2"/>
    <n v="7"/>
    <n v="228.32"/>
    <s v="Store C"/>
    <s v="Wholesale"/>
    <x v="2"/>
    <x v="0"/>
    <x v="910"/>
    <x v="3"/>
    <x v="0"/>
    <x v="0"/>
    <s v="REG100910"/>
    <s v="Cust 3319"/>
    <n v="22.16"/>
    <x v="592"/>
    <x v="34"/>
    <d v="2023-01-30T00:00:00"/>
    <s v="Cameron"/>
  </r>
  <r>
    <d v="2023-01-07T00:00:00"/>
    <x v="3"/>
    <x v="4"/>
    <n v="1"/>
    <n v="498.19"/>
    <s v="Store A"/>
    <s v="Wholesale"/>
    <x v="1"/>
    <x v="5"/>
    <x v="911"/>
    <x v="1"/>
    <x v="1"/>
    <x v="0"/>
    <s v="REG100911"/>
    <s v="Cust 4139"/>
    <n v="25.55"/>
    <x v="455"/>
    <x v="31"/>
    <d v="2023-01-11T00:00:00"/>
    <s v="Cameron"/>
  </r>
  <r>
    <d v="2025-01-15T00:00:00"/>
    <x v="2"/>
    <x v="2"/>
    <n v="18"/>
    <n v="375.83"/>
    <s v="Store C"/>
    <s v="Retail"/>
    <x v="1"/>
    <x v="3"/>
    <x v="912"/>
    <x v="1"/>
    <x v="3"/>
    <x v="0"/>
    <s v="REG100912"/>
    <s v="Cust 6993"/>
    <n v="15.13"/>
    <x v="593"/>
    <x v="11"/>
    <d v="2025-01-23T00:00:00"/>
    <s v="Ryan"/>
  </r>
  <r>
    <d v="2024-11-30T00:00:00"/>
    <x v="0"/>
    <x v="3"/>
    <n v="18"/>
    <n v="130.36000000000001"/>
    <s v="Store B"/>
    <s v="Wholesale"/>
    <x v="0"/>
    <x v="4"/>
    <x v="913"/>
    <x v="3"/>
    <x v="1"/>
    <x v="0"/>
    <s v="REG100913"/>
    <s v="Cust 8397"/>
    <n v="34.6"/>
    <x v="594"/>
    <x v="15"/>
    <d v="2024-12-05T00:00:00"/>
    <s v="Eric"/>
  </r>
  <r>
    <d v="2024-02-26T00:00:00"/>
    <x v="0"/>
    <x v="4"/>
    <n v="13"/>
    <n v="585.88"/>
    <s v="Store B"/>
    <s v="Retail"/>
    <x v="2"/>
    <x v="3"/>
    <x v="914"/>
    <x v="2"/>
    <x v="2"/>
    <x v="0"/>
    <s v="REG100914"/>
    <s v="Cust 3082"/>
    <n v="42.18"/>
    <x v="361"/>
    <x v="3"/>
    <d v="2024-03-07T00:00:00"/>
    <s v="Eric"/>
  </r>
  <r>
    <d v="2025-06-11T00:00:00"/>
    <x v="2"/>
    <x v="2"/>
    <n v="19"/>
    <n v="278.04000000000002"/>
    <s v="Store B"/>
    <s v="Retail"/>
    <x v="3"/>
    <x v="5"/>
    <x v="915"/>
    <x v="2"/>
    <x v="1"/>
    <x v="0"/>
    <s v="REG100915"/>
    <s v="Cust 1156"/>
    <n v="16.399999999999999"/>
    <x v="54"/>
    <x v="33"/>
    <d v="2025-06-15T00:00:00"/>
    <s v="Ryan"/>
  </r>
  <r>
    <d v="2023-11-29T00:00:00"/>
    <x v="3"/>
    <x v="1"/>
    <n v="11"/>
    <n v="267.91000000000003"/>
    <s v="Store B"/>
    <s v="Retail"/>
    <x v="0"/>
    <x v="0"/>
    <x v="916"/>
    <x v="3"/>
    <x v="3"/>
    <x v="0"/>
    <s v="REG100916"/>
    <s v="Cust 4720"/>
    <n v="12.05"/>
    <x v="348"/>
    <x v="15"/>
    <d v="2023-12-04T00:00:00"/>
    <s v="Cameron"/>
  </r>
  <r>
    <d v="2024-06-27T00:00:00"/>
    <x v="1"/>
    <x v="3"/>
    <n v="12"/>
    <n v="369.54"/>
    <s v="Store B"/>
    <s v="Retail"/>
    <x v="3"/>
    <x v="4"/>
    <x v="917"/>
    <x v="3"/>
    <x v="2"/>
    <x v="1"/>
    <s v="REG100917"/>
    <s v="Cust 7034"/>
    <n v="39.159999999999997"/>
    <x v="595"/>
    <x v="28"/>
    <d v="2024-07-05T00:00:00"/>
    <s v="Sophie"/>
  </r>
  <r>
    <d v="2024-05-20T00:00:00"/>
    <x v="1"/>
    <x v="4"/>
    <n v="13"/>
    <n v="284.3"/>
    <s v="Store A"/>
    <s v="Wholesale"/>
    <x v="3"/>
    <x v="5"/>
    <x v="918"/>
    <x v="0"/>
    <x v="2"/>
    <x v="0"/>
    <s v="REG100918"/>
    <s v="Cust 7218"/>
    <n v="48.73"/>
    <x v="510"/>
    <x v="18"/>
    <d v="2024-05-27T00:00:00"/>
    <s v="Sophie"/>
  </r>
  <r>
    <d v="2023-06-17T00:00:00"/>
    <x v="4"/>
    <x v="3"/>
    <n v="12"/>
    <n v="427.1"/>
    <s v="Store C"/>
    <s v="Retail"/>
    <x v="0"/>
    <x v="3"/>
    <x v="919"/>
    <x v="1"/>
    <x v="2"/>
    <x v="1"/>
    <s v="REG100919"/>
    <s v="Cust 2651"/>
    <n v="8.11"/>
    <x v="357"/>
    <x v="33"/>
    <d v="2023-06-22T00:00:00"/>
    <s v="Wendy"/>
  </r>
  <r>
    <d v="2024-11-06T00:00:00"/>
    <x v="0"/>
    <x v="4"/>
    <n v="11"/>
    <n v="200.3"/>
    <s v="Store D"/>
    <s v="Retail"/>
    <x v="1"/>
    <x v="0"/>
    <x v="920"/>
    <x v="3"/>
    <x v="2"/>
    <x v="1"/>
    <s v="REG100920"/>
    <s v="Cust 1252"/>
    <n v="48.27"/>
    <x v="158"/>
    <x v="47"/>
    <d v="2024-11-13T00:00:00"/>
    <s v="Eric"/>
  </r>
  <r>
    <d v="2025-02-12T00:00:00"/>
    <x v="2"/>
    <x v="6"/>
    <n v="4"/>
    <n v="75.8"/>
    <s v="Store C"/>
    <s v="Retail"/>
    <x v="2"/>
    <x v="3"/>
    <x v="921"/>
    <x v="2"/>
    <x v="1"/>
    <x v="0"/>
    <s v="REG100921"/>
    <s v="Cust 6679"/>
    <n v="12.22"/>
    <x v="149"/>
    <x v="22"/>
    <d v="2025-02-20T00:00:00"/>
    <s v="Ryan"/>
  </r>
  <r>
    <d v="2025-04-09T00:00:00"/>
    <x v="2"/>
    <x v="4"/>
    <n v="4"/>
    <n v="518.42999999999995"/>
    <s v="Store A"/>
    <s v="Wholesale"/>
    <x v="0"/>
    <x v="1"/>
    <x v="922"/>
    <x v="0"/>
    <x v="1"/>
    <x v="0"/>
    <s v="REG100922"/>
    <s v="Cust 1656"/>
    <n v="30.86"/>
    <x v="320"/>
    <x v="8"/>
    <d v="2025-04-14T00:00:00"/>
    <s v="Ryan"/>
  </r>
  <r>
    <d v="2024-08-18T00:00:00"/>
    <x v="2"/>
    <x v="5"/>
    <n v="19"/>
    <n v="181.18"/>
    <s v="Store A"/>
    <s v="Wholesale"/>
    <x v="3"/>
    <x v="3"/>
    <x v="923"/>
    <x v="2"/>
    <x v="0"/>
    <x v="0"/>
    <s v="REG100923"/>
    <s v="Cust 9361"/>
    <n v="12.04"/>
    <x v="596"/>
    <x v="48"/>
    <d v="2024-08-26T00:00:00"/>
    <s v="Ryan"/>
  </r>
  <r>
    <d v="2023-02-20T00:00:00"/>
    <x v="3"/>
    <x v="0"/>
    <n v="3"/>
    <n v="197.17"/>
    <s v="Store A"/>
    <s v="Wholesale"/>
    <x v="3"/>
    <x v="2"/>
    <x v="924"/>
    <x v="1"/>
    <x v="0"/>
    <x v="1"/>
    <s v="REG100924"/>
    <s v="Cust 4270"/>
    <n v="30.29"/>
    <x v="597"/>
    <x v="0"/>
    <d v="2023-02-23T00:00:00"/>
    <s v="Cameron"/>
  </r>
  <r>
    <d v="2025-04-28T00:00:00"/>
    <x v="2"/>
    <x v="0"/>
    <n v="6"/>
    <n v="81.96"/>
    <s v="Store D"/>
    <s v="Wholesale"/>
    <x v="3"/>
    <x v="4"/>
    <x v="925"/>
    <x v="2"/>
    <x v="2"/>
    <x v="0"/>
    <s v="REG100925"/>
    <s v="Cust 3049"/>
    <n v="26.43"/>
    <x v="598"/>
    <x v="40"/>
    <d v="2025-05-08T00:00:00"/>
    <s v="Ryan"/>
  </r>
  <r>
    <d v="2023-08-10T00:00:00"/>
    <x v="3"/>
    <x v="6"/>
    <n v="3"/>
    <n v="59.78"/>
    <s v="Store C"/>
    <s v="Retail"/>
    <x v="0"/>
    <x v="0"/>
    <x v="926"/>
    <x v="0"/>
    <x v="1"/>
    <x v="0"/>
    <s v="REG100926"/>
    <s v="Cust 6415"/>
    <n v="46.98"/>
    <x v="39"/>
    <x v="17"/>
    <d v="2023-08-13T00:00:00"/>
    <s v="Cameron"/>
  </r>
  <r>
    <d v="2024-06-24T00:00:00"/>
    <x v="2"/>
    <x v="5"/>
    <n v="12"/>
    <n v="211.66"/>
    <s v="Store A"/>
    <s v="Wholesale"/>
    <x v="1"/>
    <x v="3"/>
    <x v="927"/>
    <x v="2"/>
    <x v="1"/>
    <x v="0"/>
    <s v="REG100927"/>
    <s v="Cust 9856"/>
    <n v="10.36"/>
    <x v="503"/>
    <x v="28"/>
    <d v="2024-06-29T00:00:00"/>
    <s v="Ryan"/>
  </r>
  <r>
    <d v="2023-08-06T00:00:00"/>
    <x v="3"/>
    <x v="6"/>
    <n v="13"/>
    <n v="69.97"/>
    <s v="Store A"/>
    <s v="Wholesale"/>
    <x v="3"/>
    <x v="1"/>
    <x v="928"/>
    <x v="3"/>
    <x v="3"/>
    <x v="0"/>
    <s v="REG100928"/>
    <s v="Cust 3106"/>
    <n v="27.66"/>
    <x v="23"/>
    <x v="17"/>
    <d v="2023-08-12T00:00:00"/>
    <s v="Cameron"/>
  </r>
  <r>
    <d v="2024-11-26T00:00:00"/>
    <x v="0"/>
    <x v="5"/>
    <n v="7"/>
    <n v="438.33"/>
    <s v="Store C"/>
    <s v="Retail"/>
    <x v="1"/>
    <x v="2"/>
    <x v="929"/>
    <x v="4"/>
    <x v="3"/>
    <x v="1"/>
    <s v="REG100929"/>
    <s v="Cust 3259"/>
    <n v="11.57"/>
    <x v="570"/>
    <x v="15"/>
    <d v="2024-11-30T00:00:00"/>
    <s v="Eric"/>
  </r>
  <r>
    <d v="2025-02-06T00:00:00"/>
    <x v="0"/>
    <x v="0"/>
    <n v="7"/>
    <n v="241.81"/>
    <s v="Store C"/>
    <s v="Wholesale"/>
    <x v="1"/>
    <x v="1"/>
    <x v="930"/>
    <x v="3"/>
    <x v="0"/>
    <x v="0"/>
    <s v="REG100930"/>
    <s v="Cust 7107"/>
    <n v="32.94"/>
    <x v="323"/>
    <x v="29"/>
    <d v="2025-02-10T00:00:00"/>
    <s v="Eric"/>
  </r>
  <r>
    <d v="2025-03-20T00:00:00"/>
    <x v="0"/>
    <x v="2"/>
    <n v="3"/>
    <n v="466.64"/>
    <s v="Store A"/>
    <s v="Retail"/>
    <x v="2"/>
    <x v="5"/>
    <x v="931"/>
    <x v="0"/>
    <x v="0"/>
    <x v="0"/>
    <s v="REG100931"/>
    <s v="Cust 7542"/>
    <n v="30.33"/>
    <x v="192"/>
    <x v="26"/>
    <d v="2025-03-26T00:00:00"/>
    <s v="Eric"/>
  </r>
  <r>
    <d v="2024-09-10T00:00:00"/>
    <x v="1"/>
    <x v="4"/>
    <n v="9"/>
    <n v="472.84"/>
    <s v="Store D"/>
    <s v="Retail"/>
    <x v="3"/>
    <x v="1"/>
    <x v="932"/>
    <x v="2"/>
    <x v="2"/>
    <x v="0"/>
    <s v="REG100932"/>
    <s v="Cust 6330"/>
    <n v="48.13"/>
    <x v="328"/>
    <x v="30"/>
    <d v="2024-09-12T00:00:00"/>
    <s v="Sophie"/>
  </r>
  <r>
    <d v="2025-02-20T00:00:00"/>
    <x v="1"/>
    <x v="3"/>
    <n v="19"/>
    <n v="586.49"/>
    <s v="Store A"/>
    <s v="Wholesale"/>
    <x v="1"/>
    <x v="0"/>
    <x v="933"/>
    <x v="4"/>
    <x v="1"/>
    <x v="0"/>
    <s v="REG100933"/>
    <s v="Cust 1469"/>
    <n v="19.850000000000001"/>
    <x v="241"/>
    <x v="0"/>
    <d v="2025-03-02T00:00:00"/>
    <s v="Sophie"/>
  </r>
  <r>
    <d v="2023-01-20T00:00:00"/>
    <x v="0"/>
    <x v="3"/>
    <n v="15"/>
    <n v="462.85"/>
    <s v="Store A"/>
    <s v="Retail"/>
    <x v="2"/>
    <x v="4"/>
    <x v="934"/>
    <x v="2"/>
    <x v="3"/>
    <x v="0"/>
    <s v="REG100934"/>
    <s v="Cust 3698"/>
    <n v="46.12"/>
    <x v="411"/>
    <x v="11"/>
    <d v="2023-01-26T00:00:00"/>
    <s v="Eric"/>
  </r>
  <r>
    <d v="2024-03-03T00:00:00"/>
    <x v="0"/>
    <x v="0"/>
    <n v="1"/>
    <n v="176.17"/>
    <s v="Store C"/>
    <s v="Retail"/>
    <x v="3"/>
    <x v="1"/>
    <x v="935"/>
    <x v="3"/>
    <x v="3"/>
    <x v="1"/>
    <s v="REG100935"/>
    <s v="Cust 9833"/>
    <n v="35.770000000000003"/>
    <x v="69"/>
    <x v="7"/>
    <d v="2024-03-06T00:00:00"/>
    <s v="Eric"/>
  </r>
  <r>
    <d v="2023-11-27T00:00:00"/>
    <x v="4"/>
    <x v="6"/>
    <n v="1"/>
    <n v="71.239999999999995"/>
    <s v="Store A"/>
    <s v="Retail"/>
    <x v="1"/>
    <x v="3"/>
    <x v="936"/>
    <x v="3"/>
    <x v="3"/>
    <x v="1"/>
    <s v="REG100936"/>
    <s v="Cust 1074"/>
    <n v="43.69"/>
    <x v="165"/>
    <x v="15"/>
    <d v="2023-12-03T00:00:00"/>
    <s v="Wendy"/>
  </r>
  <r>
    <d v="2024-11-10T00:00:00"/>
    <x v="0"/>
    <x v="0"/>
    <n v="6"/>
    <n v="62.43"/>
    <s v="Store A"/>
    <s v="Wholesale"/>
    <x v="0"/>
    <x v="4"/>
    <x v="937"/>
    <x v="1"/>
    <x v="2"/>
    <x v="0"/>
    <s v="REG100937"/>
    <s v="Cust 7891"/>
    <n v="17.850000000000001"/>
    <x v="329"/>
    <x v="38"/>
    <d v="2024-11-18T00:00:00"/>
    <s v="Eric"/>
  </r>
  <r>
    <d v="2025-02-04T00:00:00"/>
    <x v="3"/>
    <x v="5"/>
    <n v="7"/>
    <n v="569.89"/>
    <s v="Store D"/>
    <s v="Wholesale"/>
    <x v="1"/>
    <x v="1"/>
    <x v="938"/>
    <x v="4"/>
    <x v="1"/>
    <x v="0"/>
    <s v="REG100938"/>
    <s v="Cust 3373"/>
    <n v="26.81"/>
    <x v="599"/>
    <x v="29"/>
    <d v="2025-02-08T00:00:00"/>
    <s v="Cameron"/>
  </r>
  <r>
    <d v="2024-02-21T00:00:00"/>
    <x v="0"/>
    <x v="2"/>
    <n v="5"/>
    <n v="34.06"/>
    <s v="Store D"/>
    <s v="Wholesale"/>
    <x v="3"/>
    <x v="4"/>
    <x v="939"/>
    <x v="1"/>
    <x v="3"/>
    <x v="0"/>
    <s v="REG100939"/>
    <s v="Cust 9045"/>
    <n v="19.72"/>
    <x v="600"/>
    <x v="0"/>
    <d v="2024-03-02T00:00:00"/>
    <s v="Eric"/>
  </r>
  <r>
    <d v="2023-03-24T00:00:00"/>
    <x v="0"/>
    <x v="2"/>
    <n v="17"/>
    <n v="502.6"/>
    <s v="Store A"/>
    <s v="Wholesale"/>
    <x v="1"/>
    <x v="2"/>
    <x v="940"/>
    <x v="4"/>
    <x v="3"/>
    <x v="0"/>
    <s v="REG100940"/>
    <s v="Cust 9197"/>
    <n v="15.38"/>
    <x v="601"/>
    <x v="26"/>
    <d v="2023-03-29T00:00:00"/>
    <s v="Eric"/>
  </r>
  <r>
    <d v="2024-05-05T00:00:00"/>
    <x v="1"/>
    <x v="6"/>
    <n v="3"/>
    <n v="89.72"/>
    <s v="Store D"/>
    <s v="Wholesale"/>
    <x v="1"/>
    <x v="1"/>
    <x v="941"/>
    <x v="1"/>
    <x v="2"/>
    <x v="0"/>
    <s v="REG100941"/>
    <s v="Cust 6920"/>
    <n v="32.67"/>
    <x v="458"/>
    <x v="2"/>
    <d v="2024-05-13T00:00:00"/>
    <s v="Sophie"/>
  </r>
  <r>
    <d v="2024-10-04T00:00:00"/>
    <x v="1"/>
    <x v="0"/>
    <n v="18"/>
    <n v="403.53"/>
    <s v="Store D"/>
    <s v="Wholesale"/>
    <x v="1"/>
    <x v="1"/>
    <x v="942"/>
    <x v="0"/>
    <x v="3"/>
    <x v="0"/>
    <s v="REG100942"/>
    <s v="Cust 9652"/>
    <n v="35.729999999999997"/>
    <x v="574"/>
    <x v="35"/>
    <d v="2024-10-07T00:00:00"/>
    <s v="Sophie"/>
  </r>
  <r>
    <d v="2025-01-04T00:00:00"/>
    <x v="1"/>
    <x v="3"/>
    <n v="2"/>
    <n v="194.97"/>
    <s v="Store A"/>
    <s v="Retail"/>
    <x v="0"/>
    <x v="4"/>
    <x v="943"/>
    <x v="2"/>
    <x v="1"/>
    <x v="0"/>
    <s v="REG100943"/>
    <s v="Cust 4189"/>
    <n v="9.89"/>
    <x v="602"/>
    <x v="31"/>
    <d v="2025-01-14T00:00:00"/>
    <s v="Sophie"/>
  </r>
  <r>
    <d v="2024-12-23T00:00:00"/>
    <x v="3"/>
    <x v="6"/>
    <n v="12"/>
    <n v="171.91"/>
    <s v="Store B"/>
    <s v="Retail"/>
    <x v="3"/>
    <x v="0"/>
    <x v="944"/>
    <x v="2"/>
    <x v="2"/>
    <x v="0"/>
    <s v="REG100944"/>
    <s v="Cust 6267"/>
    <n v="34.36"/>
    <x v="473"/>
    <x v="37"/>
    <d v="2025-01-02T00:00:00"/>
    <s v="Cameron"/>
  </r>
  <r>
    <d v="2023-01-29T00:00:00"/>
    <x v="3"/>
    <x v="0"/>
    <n v="17"/>
    <n v="535.88"/>
    <s v="Store A"/>
    <s v="Wholesale"/>
    <x v="3"/>
    <x v="5"/>
    <x v="945"/>
    <x v="1"/>
    <x v="3"/>
    <x v="0"/>
    <s v="REG100945"/>
    <s v="Cust 7753"/>
    <n v="26.12"/>
    <x v="603"/>
    <x v="43"/>
    <d v="2023-02-08T00:00:00"/>
    <s v="Cameron"/>
  </r>
  <r>
    <d v="2024-08-11T00:00:00"/>
    <x v="4"/>
    <x v="3"/>
    <n v="12"/>
    <n v="248.13"/>
    <s v="Store A"/>
    <s v="Retail"/>
    <x v="3"/>
    <x v="1"/>
    <x v="946"/>
    <x v="4"/>
    <x v="0"/>
    <x v="0"/>
    <s v="REG100946"/>
    <s v="Cust 2789"/>
    <n v="26.03"/>
    <x v="111"/>
    <x v="45"/>
    <d v="2024-08-17T00:00:00"/>
    <s v="Wendy"/>
  </r>
  <r>
    <d v="2023-11-25T00:00:00"/>
    <x v="2"/>
    <x v="1"/>
    <n v="2"/>
    <n v="482.1"/>
    <s v="Store C"/>
    <s v="Retail"/>
    <x v="0"/>
    <x v="3"/>
    <x v="947"/>
    <x v="0"/>
    <x v="0"/>
    <x v="0"/>
    <s v="REG100947"/>
    <s v="Cust 3527"/>
    <n v="45.35"/>
    <x v="425"/>
    <x v="20"/>
    <d v="2023-11-30T00:00:00"/>
    <s v="Ryan"/>
  </r>
  <r>
    <d v="2025-03-04T00:00:00"/>
    <x v="2"/>
    <x v="4"/>
    <n v="18"/>
    <n v="382.01"/>
    <s v="Store D"/>
    <s v="Wholesale"/>
    <x v="1"/>
    <x v="1"/>
    <x v="948"/>
    <x v="0"/>
    <x v="1"/>
    <x v="0"/>
    <s v="REG100948"/>
    <s v="Cust 9538"/>
    <n v="36.549999999999997"/>
    <x v="155"/>
    <x v="7"/>
    <d v="2025-03-08T00:00:00"/>
    <s v="Ryan"/>
  </r>
  <r>
    <d v="2025-02-21T00:00:00"/>
    <x v="2"/>
    <x v="1"/>
    <n v="13"/>
    <n v="135.97999999999999"/>
    <s v="Store C"/>
    <s v="Wholesale"/>
    <x v="0"/>
    <x v="2"/>
    <x v="949"/>
    <x v="0"/>
    <x v="2"/>
    <x v="0"/>
    <s v="REG100949"/>
    <s v="Cust 7195"/>
    <n v="28.35"/>
    <x v="383"/>
    <x v="0"/>
    <d v="2025-03-01T00:00:00"/>
    <s v="Ryan"/>
  </r>
  <r>
    <d v="2025-02-26T00:00:00"/>
    <x v="0"/>
    <x v="2"/>
    <n v="9"/>
    <n v="562.54"/>
    <s v="Store A"/>
    <s v="Wholesale"/>
    <x v="0"/>
    <x v="1"/>
    <x v="950"/>
    <x v="2"/>
    <x v="0"/>
    <x v="0"/>
    <s v="REG100950"/>
    <s v="Cust 8929"/>
    <n v="30.27"/>
    <x v="3"/>
    <x v="3"/>
    <d v="2025-02-28T00:00:00"/>
    <s v="Eric"/>
  </r>
  <r>
    <d v="2024-03-29T00:00:00"/>
    <x v="0"/>
    <x v="4"/>
    <n v="6"/>
    <n v="509.48"/>
    <s v="Store B"/>
    <s v="Wholesale"/>
    <x v="0"/>
    <x v="1"/>
    <x v="951"/>
    <x v="3"/>
    <x v="2"/>
    <x v="0"/>
    <s v="REG100951"/>
    <s v="Cust 8931"/>
    <n v="35.92"/>
    <x v="604"/>
    <x v="41"/>
    <d v="2024-04-06T00:00:00"/>
    <s v="Eric"/>
  </r>
  <r>
    <d v="2025-05-28T00:00:00"/>
    <x v="4"/>
    <x v="2"/>
    <n v="3"/>
    <n v="470.09"/>
    <s v="Store B"/>
    <s v="Wholesale"/>
    <x v="0"/>
    <x v="0"/>
    <x v="952"/>
    <x v="1"/>
    <x v="3"/>
    <x v="0"/>
    <s v="REG100952"/>
    <s v="Cust 1424"/>
    <n v="38.29"/>
    <x v="605"/>
    <x v="14"/>
    <d v="2025-06-01T00:00:00"/>
    <s v="Wendy"/>
  </r>
  <r>
    <d v="2024-05-24T00:00:00"/>
    <x v="4"/>
    <x v="6"/>
    <n v="10"/>
    <n v="280.8"/>
    <s v="Store C"/>
    <s v="Retail"/>
    <x v="0"/>
    <x v="1"/>
    <x v="953"/>
    <x v="2"/>
    <x v="1"/>
    <x v="0"/>
    <s v="REG100953"/>
    <s v="Cust 6723"/>
    <n v="49.98"/>
    <x v="606"/>
    <x v="18"/>
    <d v="2024-05-30T00:00:00"/>
    <s v="Wendy"/>
  </r>
  <r>
    <d v="2023-05-12T00:00:00"/>
    <x v="1"/>
    <x v="3"/>
    <n v="9"/>
    <n v="251.43"/>
    <s v="Store C"/>
    <s v="Retail"/>
    <x v="1"/>
    <x v="2"/>
    <x v="954"/>
    <x v="2"/>
    <x v="3"/>
    <x v="0"/>
    <s v="REG100954"/>
    <s v="Cust 8850"/>
    <n v="22.57"/>
    <x v="551"/>
    <x v="2"/>
    <d v="2023-05-17T00:00:00"/>
    <s v="Sophie"/>
  </r>
  <r>
    <d v="2023-10-11T00:00:00"/>
    <x v="1"/>
    <x v="1"/>
    <n v="4"/>
    <n v="408.28"/>
    <s v="Store A"/>
    <s v="Retail"/>
    <x v="2"/>
    <x v="1"/>
    <x v="955"/>
    <x v="4"/>
    <x v="2"/>
    <x v="0"/>
    <s v="REG100955"/>
    <s v="Cust 1722"/>
    <n v="5.38"/>
    <x v="535"/>
    <x v="51"/>
    <d v="2023-10-15T00:00:00"/>
    <s v="Sophie"/>
  </r>
  <r>
    <d v="2024-01-25T00:00:00"/>
    <x v="2"/>
    <x v="6"/>
    <n v="2"/>
    <n v="27.43"/>
    <s v="Store B"/>
    <s v="Retail"/>
    <x v="2"/>
    <x v="2"/>
    <x v="956"/>
    <x v="0"/>
    <x v="2"/>
    <x v="0"/>
    <s v="REG100956"/>
    <s v="Cust 1211"/>
    <n v="6.15"/>
    <x v="109"/>
    <x v="34"/>
    <d v="2024-02-01T00:00:00"/>
    <s v="Ryan"/>
  </r>
  <r>
    <d v="2023-02-03T00:00:00"/>
    <x v="0"/>
    <x v="1"/>
    <n v="11"/>
    <n v="321.72000000000003"/>
    <s v="Store A"/>
    <s v="Retail"/>
    <x v="1"/>
    <x v="3"/>
    <x v="957"/>
    <x v="0"/>
    <x v="2"/>
    <x v="1"/>
    <s v="REG100957"/>
    <s v="Cust 9384"/>
    <n v="17.940000000000001"/>
    <x v="151"/>
    <x v="43"/>
    <d v="2023-02-06T00:00:00"/>
    <s v="Eric"/>
  </r>
  <r>
    <d v="2024-07-08T00:00:00"/>
    <x v="2"/>
    <x v="2"/>
    <n v="5"/>
    <n v="186.32"/>
    <s v="Store A"/>
    <s v="Wholesale"/>
    <x v="1"/>
    <x v="3"/>
    <x v="958"/>
    <x v="1"/>
    <x v="2"/>
    <x v="0"/>
    <s v="REG100958"/>
    <s v="Cust 3809"/>
    <n v="17.09"/>
    <x v="172"/>
    <x v="9"/>
    <d v="2024-07-14T00:00:00"/>
    <s v="Ryan"/>
  </r>
  <r>
    <d v="2025-05-31T00:00:00"/>
    <x v="1"/>
    <x v="4"/>
    <n v="3"/>
    <n v="390.28"/>
    <s v="Store B"/>
    <s v="Retail"/>
    <x v="0"/>
    <x v="2"/>
    <x v="959"/>
    <x v="0"/>
    <x v="2"/>
    <x v="1"/>
    <s v="REG100959"/>
    <s v="Cust 9338"/>
    <n v="45.22"/>
    <x v="534"/>
    <x v="14"/>
    <d v="2025-06-10T00:00:00"/>
    <s v="Sophie"/>
  </r>
  <r>
    <d v="2023-11-09T00:00:00"/>
    <x v="1"/>
    <x v="4"/>
    <n v="13"/>
    <n v="174.9"/>
    <s v="Store A"/>
    <s v="Wholesale"/>
    <x v="2"/>
    <x v="3"/>
    <x v="960"/>
    <x v="0"/>
    <x v="2"/>
    <x v="0"/>
    <s v="REG100960"/>
    <s v="Cust 1822"/>
    <n v="31.26"/>
    <x v="254"/>
    <x v="47"/>
    <d v="2023-11-12T00:00:00"/>
    <s v="Sophie"/>
  </r>
  <r>
    <d v="2023-07-06T00:00:00"/>
    <x v="2"/>
    <x v="3"/>
    <n v="8"/>
    <n v="419.13"/>
    <s v="Store A"/>
    <s v="Retail"/>
    <x v="1"/>
    <x v="1"/>
    <x v="961"/>
    <x v="0"/>
    <x v="3"/>
    <x v="1"/>
    <s v="REG100961"/>
    <s v="Cust 8260"/>
    <n v="11.02"/>
    <x v="607"/>
    <x v="49"/>
    <d v="2023-07-10T00:00:00"/>
    <s v="Ryan"/>
  </r>
  <r>
    <d v="2023-07-14T00:00:00"/>
    <x v="2"/>
    <x v="3"/>
    <n v="12"/>
    <n v="116.96"/>
    <s v="Store D"/>
    <s v="Wholesale"/>
    <x v="0"/>
    <x v="1"/>
    <x v="962"/>
    <x v="1"/>
    <x v="2"/>
    <x v="0"/>
    <s v="REG100962"/>
    <s v="Cust 7088"/>
    <n v="22.04"/>
    <x v="123"/>
    <x v="9"/>
    <d v="2023-07-22T00:00:00"/>
    <s v="Ryan"/>
  </r>
  <r>
    <d v="2023-11-13T00:00:00"/>
    <x v="4"/>
    <x v="3"/>
    <n v="11"/>
    <n v="323.72000000000003"/>
    <s v="Store A"/>
    <s v="Wholesale"/>
    <x v="1"/>
    <x v="5"/>
    <x v="963"/>
    <x v="1"/>
    <x v="2"/>
    <x v="0"/>
    <s v="REG100963"/>
    <s v="Cust 4969"/>
    <n v="7.52"/>
    <x v="327"/>
    <x v="38"/>
    <d v="2023-11-15T00:00:00"/>
    <s v="Wendy"/>
  </r>
  <r>
    <d v="2025-02-02T00:00:00"/>
    <x v="4"/>
    <x v="5"/>
    <n v="11"/>
    <n v="155.49"/>
    <s v="Store D"/>
    <s v="Retail"/>
    <x v="3"/>
    <x v="2"/>
    <x v="964"/>
    <x v="4"/>
    <x v="3"/>
    <x v="0"/>
    <s v="REG100964"/>
    <s v="Cust 9046"/>
    <n v="47.01"/>
    <x v="170"/>
    <x v="29"/>
    <d v="2025-02-12T00:00:00"/>
    <s v="Wendy"/>
  </r>
  <r>
    <d v="2024-05-06T00:00:00"/>
    <x v="1"/>
    <x v="6"/>
    <n v="20"/>
    <n v="270.2"/>
    <s v="Store A"/>
    <s v="Wholesale"/>
    <x v="0"/>
    <x v="4"/>
    <x v="965"/>
    <x v="2"/>
    <x v="2"/>
    <x v="0"/>
    <s v="REG100965"/>
    <s v="Cust 6859"/>
    <n v="6.8"/>
    <x v="563"/>
    <x v="2"/>
    <d v="2024-05-15T00:00:00"/>
    <s v="Sophie"/>
  </r>
  <r>
    <d v="2024-10-17T00:00:00"/>
    <x v="1"/>
    <x v="6"/>
    <n v="15"/>
    <n v="482.08"/>
    <s v="Store D"/>
    <s v="Retail"/>
    <x v="1"/>
    <x v="0"/>
    <x v="966"/>
    <x v="3"/>
    <x v="0"/>
    <x v="1"/>
    <s v="REG100966"/>
    <s v="Cust 2800"/>
    <n v="13.35"/>
    <x v="386"/>
    <x v="6"/>
    <d v="2024-10-19T00:00:00"/>
    <s v="Sophie"/>
  </r>
  <r>
    <d v="2025-01-29T00:00:00"/>
    <x v="2"/>
    <x v="0"/>
    <n v="11"/>
    <n v="431.51"/>
    <s v="Store C"/>
    <s v="Wholesale"/>
    <x v="1"/>
    <x v="3"/>
    <x v="967"/>
    <x v="3"/>
    <x v="1"/>
    <x v="0"/>
    <s v="REG100967"/>
    <s v="Cust 1146"/>
    <n v="22.83"/>
    <x v="608"/>
    <x v="43"/>
    <d v="2025-02-05T00:00:00"/>
    <s v="Ryan"/>
  </r>
  <r>
    <d v="2025-03-23T00:00:00"/>
    <x v="3"/>
    <x v="3"/>
    <n v="5"/>
    <n v="302.76"/>
    <s v="Store D"/>
    <s v="Wholesale"/>
    <x v="0"/>
    <x v="3"/>
    <x v="968"/>
    <x v="1"/>
    <x v="0"/>
    <x v="1"/>
    <s v="REG100968"/>
    <s v="Cust 6447"/>
    <n v="46.69"/>
    <x v="609"/>
    <x v="41"/>
    <d v="2025-03-29T00:00:00"/>
    <s v="Cameron"/>
  </r>
  <r>
    <d v="2024-04-11T00:00:00"/>
    <x v="4"/>
    <x v="3"/>
    <n v="19"/>
    <n v="344.92"/>
    <s v="Store C"/>
    <s v="Wholesale"/>
    <x v="0"/>
    <x v="0"/>
    <x v="969"/>
    <x v="4"/>
    <x v="2"/>
    <x v="0"/>
    <s v="REG100969"/>
    <s v="Cust 8519"/>
    <n v="6.91"/>
    <x v="610"/>
    <x v="8"/>
    <d v="2024-04-20T00:00:00"/>
    <s v="Wendy"/>
  </r>
  <r>
    <d v="2024-05-03T00:00:00"/>
    <x v="3"/>
    <x v="3"/>
    <n v="7"/>
    <n v="511.46"/>
    <s v="Store C"/>
    <s v="Retail"/>
    <x v="1"/>
    <x v="0"/>
    <x v="970"/>
    <x v="4"/>
    <x v="0"/>
    <x v="0"/>
    <s v="REG100970"/>
    <s v="Cust 3422"/>
    <n v="19.2"/>
    <x v="80"/>
    <x v="40"/>
    <d v="2024-05-12T00:00:00"/>
    <s v="Cameron"/>
  </r>
  <r>
    <d v="2024-10-14T00:00:00"/>
    <x v="0"/>
    <x v="4"/>
    <n v="7"/>
    <n v="150.6"/>
    <s v="Store A"/>
    <s v="Wholesale"/>
    <x v="2"/>
    <x v="5"/>
    <x v="971"/>
    <x v="4"/>
    <x v="2"/>
    <x v="1"/>
    <s v="REG100971"/>
    <s v="Cust 9638"/>
    <n v="15.52"/>
    <x v="571"/>
    <x v="6"/>
    <d v="2024-10-21T00:00:00"/>
    <s v="Eric"/>
  </r>
  <r>
    <d v="2024-02-08T00:00:00"/>
    <x v="4"/>
    <x v="1"/>
    <n v="8"/>
    <n v="158.02000000000001"/>
    <s v="Store C"/>
    <s v="Wholesale"/>
    <x v="2"/>
    <x v="4"/>
    <x v="972"/>
    <x v="2"/>
    <x v="0"/>
    <x v="0"/>
    <s v="REG100972"/>
    <s v="Cust 6438"/>
    <n v="47.43"/>
    <x v="279"/>
    <x v="29"/>
    <d v="2024-02-13T00:00:00"/>
    <s v="Wendy"/>
  </r>
  <r>
    <d v="2023-05-10T00:00:00"/>
    <x v="3"/>
    <x v="5"/>
    <n v="2"/>
    <n v="536.17999999999995"/>
    <s v="Store B"/>
    <s v="Retail"/>
    <x v="1"/>
    <x v="2"/>
    <x v="973"/>
    <x v="2"/>
    <x v="0"/>
    <x v="0"/>
    <s v="REG100973"/>
    <s v="Cust 1724"/>
    <n v="34.75"/>
    <x v="2"/>
    <x v="2"/>
    <d v="2023-05-13T00:00:00"/>
    <s v="Cameron"/>
  </r>
  <r>
    <d v="2023-03-03T00:00:00"/>
    <x v="2"/>
    <x v="3"/>
    <n v="16"/>
    <n v="571.26"/>
    <s v="Store C"/>
    <s v="Wholesale"/>
    <x v="2"/>
    <x v="5"/>
    <x v="974"/>
    <x v="1"/>
    <x v="1"/>
    <x v="0"/>
    <s v="REG100974"/>
    <s v="Cust 7808"/>
    <n v="6.13"/>
    <x v="21"/>
    <x v="3"/>
    <d v="2023-03-12T00:00:00"/>
    <s v="Ryan"/>
  </r>
  <r>
    <d v="2025-05-21T00:00:00"/>
    <x v="3"/>
    <x v="5"/>
    <n v="12"/>
    <n v="134.41999999999999"/>
    <s v="Store D"/>
    <s v="Retail"/>
    <x v="1"/>
    <x v="4"/>
    <x v="975"/>
    <x v="1"/>
    <x v="0"/>
    <x v="0"/>
    <s v="REG100975"/>
    <s v="Cust 3045"/>
    <n v="33.979999999999997"/>
    <x v="83"/>
    <x v="18"/>
    <d v="2025-05-27T00:00:00"/>
    <s v="Cameron"/>
  </r>
  <r>
    <d v="2025-04-30T00:00:00"/>
    <x v="3"/>
    <x v="0"/>
    <n v="5"/>
    <n v="563.70000000000005"/>
    <s v="Store A"/>
    <s v="Retail"/>
    <x v="0"/>
    <x v="5"/>
    <x v="976"/>
    <x v="0"/>
    <x v="1"/>
    <x v="0"/>
    <s v="REG100976"/>
    <s v="Cust 7348"/>
    <n v="29.28"/>
    <x v="611"/>
    <x v="40"/>
    <d v="2025-05-07T00:00:00"/>
    <s v="Cameron"/>
  </r>
  <r>
    <d v="2023-04-02T00:00:00"/>
    <x v="2"/>
    <x v="1"/>
    <n v="11"/>
    <n v="546.57000000000005"/>
    <s v="Store D"/>
    <s v="Retail"/>
    <x v="2"/>
    <x v="5"/>
    <x v="977"/>
    <x v="2"/>
    <x v="1"/>
    <x v="1"/>
    <s v="REG100977"/>
    <s v="Cust 5666"/>
    <n v="24.77"/>
    <x v="612"/>
    <x v="24"/>
    <d v="2023-04-04T00:00:00"/>
    <s v="Ryan"/>
  </r>
  <r>
    <d v="2024-08-26T00:00:00"/>
    <x v="2"/>
    <x v="4"/>
    <n v="9"/>
    <n v="364.88"/>
    <s v="Store C"/>
    <s v="Wholesale"/>
    <x v="3"/>
    <x v="5"/>
    <x v="978"/>
    <x v="4"/>
    <x v="1"/>
    <x v="0"/>
    <s v="REG100978"/>
    <s v="Cust 4002"/>
    <n v="40.26"/>
    <x v="98"/>
    <x v="44"/>
    <d v="2024-09-05T00:00:00"/>
    <s v="Ryan"/>
  </r>
  <r>
    <d v="2023-11-10T00:00:00"/>
    <x v="1"/>
    <x v="4"/>
    <n v="7"/>
    <n v="368.27"/>
    <s v="Store C"/>
    <s v="Wholesale"/>
    <x v="2"/>
    <x v="3"/>
    <x v="979"/>
    <x v="0"/>
    <x v="2"/>
    <x v="0"/>
    <s v="REG100979"/>
    <s v="Cust 6675"/>
    <n v="28.98"/>
    <x v="613"/>
    <x v="47"/>
    <d v="2023-11-20T00:00:00"/>
    <s v="Sophie"/>
  </r>
  <r>
    <d v="2025-01-27T00:00:00"/>
    <x v="3"/>
    <x v="6"/>
    <n v="20"/>
    <n v="537.28"/>
    <s v="Store C"/>
    <s v="Wholesale"/>
    <x v="0"/>
    <x v="2"/>
    <x v="980"/>
    <x v="0"/>
    <x v="3"/>
    <x v="1"/>
    <s v="REG100980"/>
    <s v="Cust 5462"/>
    <n v="15.6"/>
    <x v="614"/>
    <x v="43"/>
    <d v="2025-02-02T00:00:00"/>
    <s v="Cameron"/>
  </r>
  <r>
    <d v="2024-04-26T00:00:00"/>
    <x v="1"/>
    <x v="1"/>
    <n v="3"/>
    <n v="103.09"/>
    <s v="Store D"/>
    <s v="Wholesale"/>
    <x v="0"/>
    <x v="3"/>
    <x v="981"/>
    <x v="1"/>
    <x v="1"/>
    <x v="1"/>
    <s v="REG100981"/>
    <s v="Cust 3471"/>
    <n v="46.47"/>
    <x v="478"/>
    <x v="42"/>
    <d v="2024-04-30T00:00:00"/>
    <s v="Sophie"/>
  </r>
  <r>
    <d v="2023-11-27T00:00:00"/>
    <x v="0"/>
    <x v="5"/>
    <n v="9"/>
    <n v="97.56"/>
    <s v="Store A"/>
    <s v="Wholesale"/>
    <x v="0"/>
    <x v="1"/>
    <x v="982"/>
    <x v="0"/>
    <x v="3"/>
    <x v="0"/>
    <s v="REG100982"/>
    <s v="Cust 1603"/>
    <n v="48.84"/>
    <x v="165"/>
    <x v="15"/>
    <d v="2023-12-01T00:00:00"/>
    <s v="Eric"/>
  </r>
  <r>
    <d v="2023-03-30T00:00:00"/>
    <x v="3"/>
    <x v="5"/>
    <n v="10"/>
    <n v="338.75"/>
    <s v="Store A"/>
    <s v="Wholesale"/>
    <x v="2"/>
    <x v="3"/>
    <x v="983"/>
    <x v="4"/>
    <x v="2"/>
    <x v="1"/>
    <s v="REG100983"/>
    <s v="Cust 7758"/>
    <n v="36.56"/>
    <x v="306"/>
    <x v="41"/>
    <d v="2023-04-06T00:00:00"/>
    <s v="Cameron"/>
  </r>
  <r>
    <d v="2024-03-04T00:00:00"/>
    <x v="2"/>
    <x v="2"/>
    <n v="2"/>
    <n v="239.04"/>
    <s v="Store A"/>
    <s v="Wholesale"/>
    <x v="0"/>
    <x v="5"/>
    <x v="984"/>
    <x v="3"/>
    <x v="1"/>
    <x v="1"/>
    <s v="REG100984"/>
    <s v="Cust 3396"/>
    <n v="43.84"/>
    <x v="615"/>
    <x v="7"/>
    <d v="2024-03-11T00:00:00"/>
    <s v="Ryan"/>
  </r>
  <r>
    <d v="2023-07-11T00:00:00"/>
    <x v="1"/>
    <x v="0"/>
    <n v="14"/>
    <n v="362.44"/>
    <s v="Store C"/>
    <s v="Wholesale"/>
    <x v="1"/>
    <x v="5"/>
    <x v="985"/>
    <x v="4"/>
    <x v="2"/>
    <x v="0"/>
    <s v="REG100985"/>
    <s v="Cust 4797"/>
    <n v="36.729999999999997"/>
    <x v="445"/>
    <x v="9"/>
    <d v="2023-07-15T00:00:00"/>
    <s v="Sophie"/>
  </r>
  <r>
    <d v="2024-09-20T00:00:00"/>
    <x v="4"/>
    <x v="4"/>
    <n v="6"/>
    <n v="551.13"/>
    <s v="Store D"/>
    <s v="Retail"/>
    <x v="0"/>
    <x v="3"/>
    <x v="986"/>
    <x v="1"/>
    <x v="0"/>
    <x v="0"/>
    <s v="REG100986"/>
    <s v="Cust 1113"/>
    <n v="14.67"/>
    <x v="246"/>
    <x v="46"/>
    <d v="2024-09-29T00:00:00"/>
    <s v="Wendy"/>
  </r>
  <r>
    <d v="2025-02-18T00:00:00"/>
    <x v="4"/>
    <x v="0"/>
    <n v="1"/>
    <n v="82.06"/>
    <s v="Store D"/>
    <s v="Retail"/>
    <x v="1"/>
    <x v="0"/>
    <x v="987"/>
    <x v="2"/>
    <x v="0"/>
    <x v="0"/>
    <s v="REG100987"/>
    <s v="Cust 8843"/>
    <n v="11.11"/>
    <x v="616"/>
    <x v="0"/>
    <d v="2025-02-24T00:00:00"/>
    <s v="Wendy"/>
  </r>
  <r>
    <d v="2024-07-16T00:00:00"/>
    <x v="0"/>
    <x v="5"/>
    <n v="7"/>
    <n v="498.46"/>
    <s v="Store C"/>
    <s v="Wholesale"/>
    <x v="2"/>
    <x v="3"/>
    <x v="988"/>
    <x v="1"/>
    <x v="3"/>
    <x v="0"/>
    <s v="REG100988"/>
    <s v="Cust 7505"/>
    <n v="42.72"/>
    <x v="617"/>
    <x v="10"/>
    <d v="2024-07-20T00:00:00"/>
    <s v="Eric"/>
  </r>
  <r>
    <d v="2023-11-23T00:00:00"/>
    <x v="0"/>
    <x v="3"/>
    <n v="2"/>
    <n v="253.41"/>
    <s v="Store D"/>
    <s v="Retail"/>
    <x v="1"/>
    <x v="2"/>
    <x v="989"/>
    <x v="4"/>
    <x v="0"/>
    <x v="0"/>
    <s v="REG100989"/>
    <s v="Cust 9490"/>
    <n v="49.64"/>
    <x v="488"/>
    <x v="20"/>
    <d v="2023-11-25T00:00:00"/>
    <s v="Eric"/>
  </r>
  <r>
    <d v="2023-09-07T00:00:00"/>
    <x v="1"/>
    <x v="1"/>
    <n v="16"/>
    <n v="144.07"/>
    <s v="Store D"/>
    <s v="Wholesale"/>
    <x v="1"/>
    <x v="0"/>
    <x v="990"/>
    <x v="3"/>
    <x v="0"/>
    <x v="0"/>
    <s v="REG100990"/>
    <s v="Cust 8631"/>
    <n v="7.33"/>
    <x v="288"/>
    <x v="25"/>
    <d v="2023-09-09T00:00:00"/>
    <s v="Sophie"/>
  </r>
  <r>
    <d v="2024-02-01T00:00:00"/>
    <x v="4"/>
    <x v="4"/>
    <n v="11"/>
    <n v="201.09"/>
    <s v="Store C"/>
    <s v="Retail"/>
    <x v="2"/>
    <x v="3"/>
    <x v="991"/>
    <x v="4"/>
    <x v="3"/>
    <x v="1"/>
    <s v="REG100991"/>
    <s v="Cust 6986"/>
    <n v="48.42"/>
    <x v="618"/>
    <x v="43"/>
    <d v="2024-02-04T00:00:00"/>
    <s v="Wendy"/>
  </r>
  <r>
    <d v="2025-05-08T00:00:00"/>
    <x v="1"/>
    <x v="3"/>
    <n v="11"/>
    <n v="585.45000000000005"/>
    <s v="Store D"/>
    <s v="Wholesale"/>
    <x v="1"/>
    <x v="1"/>
    <x v="992"/>
    <x v="2"/>
    <x v="2"/>
    <x v="0"/>
    <s v="REG100992"/>
    <s v="Cust 9636"/>
    <n v="36.590000000000003"/>
    <x v="33"/>
    <x v="2"/>
    <d v="2025-05-12T00:00:00"/>
    <s v="Sophie"/>
  </r>
  <r>
    <d v="2025-01-17T00:00:00"/>
    <x v="2"/>
    <x v="0"/>
    <n v="3"/>
    <n v="448.77"/>
    <s v="Store A"/>
    <s v="Retail"/>
    <x v="0"/>
    <x v="1"/>
    <x v="993"/>
    <x v="0"/>
    <x v="0"/>
    <x v="0"/>
    <s v="REG100993"/>
    <s v="Cust 7367"/>
    <n v="28.5"/>
    <x v="50"/>
    <x v="11"/>
    <d v="2025-01-24T00:00:00"/>
    <s v="Ryan"/>
  </r>
  <r>
    <d v="2023-09-02T00:00:00"/>
    <x v="0"/>
    <x v="4"/>
    <n v="9"/>
    <n v="184.43"/>
    <s v="Store D"/>
    <s v="Wholesale"/>
    <x v="0"/>
    <x v="3"/>
    <x v="994"/>
    <x v="0"/>
    <x v="2"/>
    <x v="0"/>
    <s v="REG100994"/>
    <s v="Cust 1943"/>
    <n v="30.78"/>
    <x v="447"/>
    <x v="44"/>
    <d v="2023-09-08T00:00:00"/>
    <s v="Eric"/>
  </r>
  <r>
    <d v="2023-06-23T00:00:00"/>
    <x v="3"/>
    <x v="0"/>
    <n v="16"/>
    <n v="594.1"/>
    <s v="Store D"/>
    <s v="Retail"/>
    <x v="0"/>
    <x v="5"/>
    <x v="995"/>
    <x v="1"/>
    <x v="0"/>
    <x v="0"/>
    <s v="REG100995"/>
    <s v="Cust 6368"/>
    <n v="18.2"/>
    <x v="366"/>
    <x v="4"/>
    <d v="2023-07-01T00:00:00"/>
    <s v="Cameron"/>
  </r>
  <r>
    <d v="2024-01-20T00:00:00"/>
    <x v="0"/>
    <x v="0"/>
    <n v="19"/>
    <n v="482.07"/>
    <s v="Store B"/>
    <s v="Wholesale"/>
    <x v="1"/>
    <x v="5"/>
    <x v="996"/>
    <x v="2"/>
    <x v="3"/>
    <x v="0"/>
    <s v="REG100996"/>
    <s v="Cust 9724"/>
    <n v="25.96"/>
    <x v="619"/>
    <x v="11"/>
    <d v="2024-01-26T00:00:00"/>
    <s v="Eric"/>
  </r>
  <r>
    <d v="2024-06-26T00:00:00"/>
    <x v="0"/>
    <x v="3"/>
    <n v="20"/>
    <n v="75.45"/>
    <s v="Store B"/>
    <s v="Wholesale"/>
    <x v="3"/>
    <x v="0"/>
    <x v="997"/>
    <x v="2"/>
    <x v="1"/>
    <x v="0"/>
    <s v="REG100997"/>
    <s v="Cust 1983"/>
    <n v="44.77"/>
    <x v="620"/>
    <x v="28"/>
    <d v="2024-07-06T00:00:00"/>
    <s v="Eric"/>
  </r>
  <r>
    <d v="2024-12-12T00:00:00"/>
    <x v="3"/>
    <x v="4"/>
    <n v="2"/>
    <n v="494.22"/>
    <s v="Store C"/>
    <s v="Retail"/>
    <x v="1"/>
    <x v="3"/>
    <x v="998"/>
    <x v="1"/>
    <x v="0"/>
    <x v="0"/>
    <s v="REG100998"/>
    <s v="Cust 8723"/>
    <n v="13.45"/>
    <x v="621"/>
    <x v="12"/>
    <d v="2024-12-17T00:00:00"/>
    <s v="Cameron"/>
  </r>
  <r>
    <d v="2024-02-21T00:00:00"/>
    <x v="0"/>
    <x v="0"/>
    <n v="15"/>
    <n v="112.82"/>
    <s v="Store B"/>
    <s v="Wholesale"/>
    <x v="3"/>
    <x v="2"/>
    <x v="999"/>
    <x v="2"/>
    <x v="2"/>
    <x v="0"/>
    <s v="REG100999"/>
    <s v="Cust 1901"/>
    <n v="18.21"/>
    <x v="600"/>
    <x v="0"/>
    <d v="2024-03-01T00:00:00"/>
    <s v="Eric"/>
  </r>
  <r>
    <d v="2023-07-18T00:00:00"/>
    <x v="0"/>
    <x v="2"/>
    <n v="3"/>
    <n v="121.56"/>
    <s v="Store D"/>
    <s v="Wholesale"/>
    <x v="0"/>
    <x v="0"/>
    <x v="1000"/>
    <x v="3"/>
    <x v="2"/>
    <x v="0"/>
    <s v="REG101000"/>
    <s v="Cust 9682"/>
    <n v="29.06"/>
    <x v="338"/>
    <x v="10"/>
    <d v="2023-07-25T00:00:00"/>
    <s v="Eric"/>
  </r>
  <r>
    <d v="2024-10-02T00:00:00"/>
    <x v="2"/>
    <x v="2"/>
    <n v="12"/>
    <n v="465.94"/>
    <s v="Store D"/>
    <s v="Wholesale"/>
    <x v="0"/>
    <x v="1"/>
    <x v="1001"/>
    <x v="2"/>
    <x v="2"/>
    <x v="0"/>
    <s v="REG101001"/>
    <s v="Cust 5413"/>
    <n v="34.159999999999997"/>
    <x v="352"/>
    <x v="35"/>
    <d v="2024-10-06T00:00:00"/>
    <s v="Ryan"/>
  </r>
  <r>
    <d v="2024-12-01T00:00:00"/>
    <x v="4"/>
    <x v="1"/>
    <n v="12"/>
    <n v="187.8"/>
    <s v="Store D"/>
    <s v="Wholesale"/>
    <x v="2"/>
    <x v="4"/>
    <x v="1002"/>
    <x v="0"/>
    <x v="0"/>
    <x v="0"/>
    <s v="REG101002"/>
    <s v="Cust 9590"/>
    <n v="17.739999999999998"/>
    <x v="622"/>
    <x v="21"/>
    <d v="2024-12-04T00:00:00"/>
    <s v="Wendy"/>
  </r>
  <r>
    <d v="2024-09-03T00:00:00"/>
    <x v="0"/>
    <x v="2"/>
    <n v="1"/>
    <n v="561.29999999999995"/>
    <s v="Store D"/>
    <s v="Retail"/>
    <x v="2"/>
    <x v="2"/>
    <x v="1003"/>
    <x v="1"/>
    <x v="3"/>
    <x v="0"/>
    <s v="REG101003"/>
    <s v="Cust 9379"/>
    <n v="5.19"/>
    <x v="623"/>
    <x v="25"/>
    <d v="2024-09-12T00:00:00"/>
    <s v="Eric"/>
  </r>
  <r>
    <d v="2025-02-22T00:00:00"/>
    <x v="4"/>
    <x v="6"/>
    <n v="7"/>
    <n v="178.26"/>
    <s v="Store C"/>
    <s v="Retail"/>
    <x v="2"/>
    <x v="5"/>
    <x v="1004"/>
    <x v="0"/>
    <x v="0"/>
    <x v="0"/>
    <s v="REG101004"/>
    <s v="Cust 4722"/>
    <n v="44.91"/>
    <x v="624"/>
    <x v="0"/>
    <d v="2025-03-01T00:00:00"/>
    <s v="Wendy"/>
  </r>
  <r>
    <d v="2025-05-11T00:00:00"/>
    <x v="4"/>
    <x v="4"/>
    <n v="20"/>
    <n v="552.83000000000004"/>
    <s v="Store D"/>
    <s v="Retail"/>
    <x v="2"/>
    <x v="0"/>
    <x v="1005"/>
    <x v="0"/>
    <x v="0"/>
    <x v="1"/>
    <s v="REG101005"/>
    <s v="Cust 7152"/>
    <n v="20.5"/>
    <x v="15"/>
    <x v="13"/>
    <d v="2025-05-13T00:00:00"/>
    <s v="Wendy"/>
  </r>
  <r>
    <d v="2024-12-20T00:00:00"/>
    <x v="3"/>
    <x v="5"/>
    <n v="2"/>
    <n v="458.25"/>
    <s v="Store B"/>
    <s v="Wholesale"/>
    <x v="0"/>
    <x v="0"/>
    <x v="1006"/>
    <x v="1"/>
    <x v="1"/>
    <x v="0"/>
    <s v="REG101006"/>
    <s v="Cust 7255"/>
    <n v="25.94"/>
    <x v="529"/>
    <x v="1"/>
    <d v="2024-12-29T00:00:00"/>
    <s v="Cameron"/>
  </r>
  <r>
    <d v="2023-04-18T00:00:00"/>
    <x v="0"/>
    <x v="0"/>
    <n v="2"/>
    <n v="129.43"/>
    <s v="Store D"/>
    <s v="Retail"/>
    <x v="3"/>
    <x v="1"/>
    <x v="1007"/>
    <x v="3"/>
    <x v="0"/>
    <x v="0"/>
    <s v="REG101007"/>
    <s v="Cust 9593"/>
    <n v="6.91"/>
    <x v="625"/>
    <x v="32"/>
    <d v="2023-04-21T00:00:00"/>
    <s v="Eric"/>
  </r>
  <r>
    <d v="2024-08-29T00:00:00"/>
    <x v="0"/>
    <x v="6"/>
    <n v="19"/>
    <n v="448.21"/>
    <s v="Store C"/>
    <s v="Wholesale"/>
    <x v="1"/>
    <x v="1"/>
    <x v="1008"/>
    <x v="3"/>
    <x v="2"/>
    <x v="0"/>
    <s v="REG101008"/>
    <s v="Cust 3829"/>
    <n v="30.71"/>
    <x v="496"/>
    <x v="44"/>
    <d v="2024-09-03T00:00:00"/>
    <s v="Eric"/>
  </r>
  <r>
    <d v="2023-09-03T00:00:00"/>
    <x v="2"/>
    <x v="2"/>
    <n v="16"/>
    <n v="440.48"/>
    <s v="Store B"/>
    <s v="Retail"/>
    <x v="3"/>
    <x v="2"/>
    <x v="1009"/>
    <x v="4"/>
    <x v="0"/>
    <x v="1"/>
    <s v="REG101009"/>
    <s v="Cust 2561"/>
    <n v="26.87"/>
    <x v="34"/>
    <x v="25"/>
    <d v="2023-09-10T00:00:00"/>
    <s v="Ryan"/>
  </r>
  <r>
    <d v="2025-05-19T00:00:00"/>
    <x v="0"/>
    <x v="0"/>
    <n v="8"/>
    <n v="262.62"/>
    <s v="Store C"/>
    <s v="Wholesale"/>
    <x v="0"/>
    <x v="1"/>
    <x v="1010"/>
    <x v="4"/>
    <x v="0"/>
    <x v="1"/>
    <s v="REG101010"/>
    <s v="Cust 8387"/>
    <n v="36.729999999999997"/>
    <x v="460"/>
    <x v="18"/>
    <d v="2025-05-24T00:00:00"/>
    <s v="Eric"/>
  </r>
  <r>
    <d v="2023-06-18T00:00:00"/>
    <x v="0"/>
    <x v="5"/>
    <n v="15"/>
    <n v="124.91"/>
    <s v="Store A"/>
    <s v="Wholesale"/>
    <x v="1"/>
    <x v="0"/>
    <x v="1011"/>
    <x v="1"/>
    <x v="0"/>
    <x v="0"/>
    <s v="REG101011"/>
    <s v="Cust 2860"/>
    <n v="31.95"/>
    <x v="391"/>
    <x v="4"/>
    <d v="2023-06-26T00:00:00"/>
    <s v="Eric"/>
  </r>
  <r>
    <d v="2025-06-18T00:00:00"/>
    <x v="4"/>
    <x v="4"/>
    <n v="9"/>
    <n v="391"/>
    <s v="Store D"/>
    <s v="Wholesale"/>
    <x v="1"/>
    <x v="0"/>
    <x v="1012"/>
    <x v="3"/>
    <x v="2"/>
    <x v="0"/>
    <s v="REG101012"/>
    <s v="Cust 7794"/>
    <n v="46.76"/>
    <x v="324"/>
    <x v="4"/>
    <d v="2025-06-22T00:00:00"/>
    <s v="Wendy"/>
  </r>
  <r>
    <d v="2024-09-29T00:00:00"/>
    <x v="1"/>
    <x v="0"/>
    <n v="12"/>
    <n v="204.15"/>
    <s v="Store C"/>
    <s v="Retail"/>
    <x v="3"/>
    <x v="1"/>
    <x v="1013"/>
    <x v="3"/>
    <x v="0"/>
    <x v="1"/>
    <s v="REG101013"/>
    <s v="Cust 6075"/>
    <n v="26.4"/>
    <x v="385"/>
    <x v="35"/>
    <d v="2024-10-07T00:00:00"/>
    <s v="Sophie"/>
  </r>
  <r>
    <d v="2024-02-25T00:00:00"/>
    <x v="0"/>
    <x v="0"/>
    <n v="20"/>
    <n v="13.64"/>
    <s v="Store C"/>
    <s v="Retail"/>
    <x v="2"/>
    <x v="2"/>
    <x v="1014"/>
    <x v="2"/>
    <x v="1"/>
    <x v="0"/>
    <s v="REG101014"/>
    <s v="Cust 4337"/>
    <n v="33.6"/>
    <x v="626"/>
    <x v="3"/>
    <d v="2024-03-04T00:00:00"/>
    <s v="Eric"/>
  </r>
  <r>
    <d v="2024-03-21T00:00:00"/>
    <x v="2"/>
    <x v="6"/>
    <n v="14"/>
    <n v="524.9"/>
    <s v="Store C"/>
    <s v="Wholesale"/>
    <x v="3"/>
    <x v="1"/>
    <x v="1015"/>
    <x v="4"/>
    <x v="0"/>
    <x v="1"/>
    <s v="REG101015"/>
    <s v="Cust 2540"/>
    <n v="20.23"/>
    <x v="58"/>
    <x v="26"/>
    <d v="2024-03-30T00:00:00"/>
    <s v="Ryan"/>
  </r>
  <r>
    <d v="2024-02-03T00:00:00"/>
    <x v="2"/>
    <x v="0"/>
    <n v="8"/>
    <n v="143.94999999999999"/>
    <s v="Store B"/>
    <s v="Retail"/>
    <x v="1"/>
    <x v="4"/>
    <x v="1016"/>
    <x v="4"/>
    <x v="1"/>
    <x v="0"/>
    <s v="REG101016"/>
    <s v="Cust 3944"/>
    <n v="28.09"/>
    <x v="490"/>
    <x v="43"/>
    <d v="2024-02-09T00:00:00"/>
    <s v="Ryan"/>
  </r>
  <r>
    <d v="2023-11-21T00:00:00"/>
    <x v="1"/>
    <x v="0"/>
    <n v="2"/>
    <n v="576.84"/>
    <s v="Store D"/>
    <s v="Retail"/>
    <x v="1"/>
    <x v="2"/>
    <x v="1017"/>
    <x v="2"/>
    <x v="0"/>
    <x v="0"/>
    <s v="REG101017"/>
    <s v="Cust 8876"/>
    <n v="43.32"/>
    <x v="283"/>
    <x v="20"/>
    <d v="2023-11-24T00:00:00"/>
    <s v="Sophie"/>
  </r>
  <r>
    <d v="2023-01-10T00:00:00"/>
    <x v="4"/>
    <x v="3"/>
    <n v="14"/>
    <n v="250.98"/>
    <s v="Store C"/>
    <s v="Retail"/>
    <x v="0"/>
    <x v="0"/>
    <x v="1018"/>
    <x v="3"/>
    <x v="3"/>
    <x v="0"/>
    <s v="REG101018"/>
    <s v="Cust 3286"/>
    <n v="14.94"/>
    <x v="579"/>
    <x v="5"/>
    <d v="2023-01-18T00:00:00"/>
    <s v="Wendy"/>
  </r>
  <r>
    <d v="2023-02-06T00:00:00"/>
    <x v="3"/>
    <x v="1"/>
    <n v="7"/>
    <n v="335.41"/>
    <s v="Store C"/>
    <s v="Retail"/>
    <x v="0"/>
    <x v="5"/>
    <x v="1019"/>
    <x v="0"/>
    <x v="1"/>
    <x v="0"/>
    <s v="REG101019"/>
    <s v="Cust 4990"/>
    <n v="18.91"/>
    <x v="235"/>
    <x v="29"/>
    <d v="2023-02-10T00:00:00"/>
    <s v="Cameron"/>
  </r>
  <r>
    <d v="2025-04-10T00:00:00"/>
    <x v="2"/>
    <x v="6"/>
    <n v="11"/>
    <n v="204.5"/>
    <s v="Store A"/>
    <s v="Retail"/>
    <x v="0"/>
    <x v="0"/>
    <x v="1020"/>
    <x v="3"/>
    <x v="2"/>
    <x v="0"/>
    <s v="REG101020"/>
    <s v="Cust 8706"/>
    <n v="13.82"/>
    <x v="627"/>
    <x v="8"/>
    <d v="2025-04-20T00:00:00"/>
    <s v="Ryan"/>
  </r>
  <r>
    <d v="2024-02-14T00:00:00"/>
    <x v="0"/>
    <x v="5"/>
    <n v="1"/>
    <n v="542.63"/>
    <s v="Store A"/>
    <s v="Retail"/>
    <x v="3"/>
    <x v="3"/>
    <x v="1021"/>
    <x v="2"/>
    <x v="3"/>
    <x v="0"/>
    <s v="REG101021"/>
    <s v="Cust 2608"/>
    <n v="33.200000000000003"/>
    <x v="628"/>
    <x v="22"/>
    <d v="2024-02-21T00:00:00"/>
    <s v="Eric"/>
  </r>
  <r>
    <d v="2025-05-26T00:00:00"/>
    <x v="0"/>
    <x v="1"/>
    <n v="1"/>
    <n v="204.54"/>
    <s v="Store D"/>
    <s v="Retail"/>
    <x v="1"/>
    <x v="3"/>
    <x v="1022"/>
    <x v="0"/>
    <x v="3"/>
    <x v="1"/>
    <s v="REG101022"/>
    <s v="Cust 3290"/>
    <n v="17.760000000000002"/>
    <x v="499"/>
    <x v="14"/>
    <d v="2025-05-29T00:00:00"/>
    <s v="Eric"/>
  </r>
  <r>
    <d v="2023-09-12T00:00:00"/>
    <x v="4"/>
    <x v="3"/>
    <n v="10"/>
    <n v="419.58"/>
    <s v="Store A"/>
    <s v="Wholesale"/>
    <x v="2"/>
    <x v="0"/>
    <x v="1023"/>
    <x v="3"/>
    <x v="0"/>
    <x v="0"/>
    <s v="REG101023"/>
    <s v="Cust 3892"/>
    <n v="13.09"/>
    <x v="629"/>
    <x v="30"/>
    <d v="2023-09-19T00:00:00"/>
    <s v="Wendy"/>
  </r>
  <r>
    <d v="2023-05-17T00:00:00"/>
    <x v="0"/>
    <x v="2"/>
    <n v="7"/>
    <n v="87.88"/>
    <s v="Store C"/>
    <s v="Wholesale"/>
    <x v="2"/>
    <x v="1"/>
    <x v="1024"/>
    <x v="0"/>
    <x v="2"/>
    <x v="1"/>
    <s v="REG101024"/>
    <s v="Cust 6979"/>
    <n v="22.2"/>
    <x v="497"/>
    <x v="13"/>
    <d v="2023-05-26T00:00:00"/>
    <s v="Eric"/>
  </r>
  <r>
    <d v="2024-01-29T00:00:00"/>
    <x v="4"/>
    <x v="6"/>
    <n v="7"/>
    <n v="386.88"/>
    <s v="Store B"/>
    <s v="Wholesale"/>
    <x v="3"/>
    <x v="3"/>
    <x v="1025"/>
    <x v="4"/>
    <x v="1"/>
    <x v="0"/>
    <s v="REG101025"/>
    <s v="Cust 9375"/>
    <n v="38.46"/>
    <x v="282"/>
    <x v="43"/>
    <d v="2024-01-31T00:00:00"/>
    <s v="Wendy"/>
  </r>
  <r>
    <d v="2025-05-09T00:00:00"/>
    <x v="2"/>
    <x v="2"/>
    <n v="4"/>
    <n v="242.8"/>
    <s v="Store D"/>
    <s v="Wholesale"/>
    <x v="3"/>
    <x v="4"/>
    <x v="1026"/>
    <x v="3"/>
    <x v="0"/>
    <x v="0"/>
    <s v="REG101026"/>
    <s v="Cust 9311"/>
    <n v="30.03"/>
    <x v="589"/>
    <x v="2"/>
    <d v="2025-05-18T00:00:00"/>
    <s v="Ryan"/>
  </r>
  <r>
    <d v="2024-04-05T00:00:00"/>
    <x v="0"/>
    <x v="6"/>
    <n v="4"/>
    <n v="410.59"/>
    <s v="Store A"/>
    <s v="Retail"/>
    <x v="0"/>
    <x v="0"/>
    <x v="1027"/>
    <x v="4"/>
    <x v="3"/>
    <x v="0"/>
    <s v="REG101027"/>
    <s v="Cust 4097"/>
    <n v="17.36"/>
    <x v="393"/>
    <x v="24"/>
    <d v="2024-04-09T00:00:00"/>
    <s v="Eric"/>
  </r>
  <r>
    <d v="2024-08-01T00:00:00"/>
    <x v="1"/>
    <x v="3"/>
    <n v="3"/>
    <n v="10.93"/>
    <s v="Store D"/>
    <s v="Wholesale"/>
    <x v="2"/>
    <x v="0"/>
    <x v="1028"/>
    <x v="4"/>
    <x v="0"/>
    <x v="0"/>
    <s v="REG101028"/>
    <s v="Cust 6145"/>
    <n v="19.010000000000002"/>
    <x v="537"/>
    <x v="36"/>
    <d v="2024-08-10T00:00:00"/>
    <s v="Sophie"/>
  </r>
  <r>
    <d v="2024-07-10T00:00:00"/>
    <x v="1"/>
    <x v="3"/>
    <n v="20"/>
    <n v="150.16"/>
    <s v="Store C"/>
    <s v="Wholesale"/>
    <x v="0"/>
    <x v="5"/>
    <x v="1029"/>
    <x v="4"/>
    <x v="3"/>
    <x v="0"/>
    <s v="REG101029"/>
    <s v="Cust 8124"/>
    <n v="41.66"/>
    <x v="462"/>
    <x v="9"/>
    <d v="2024-07-12T00:00:00"/>
    <s v="Sophie"/>
  </r>
  <r>
    <d v="2024-06-15T00:00:00"/>
    <x v="0"/>
    <x v="3"/>
    <n v="1"/>
    <n v="394.41"/>
    <s v="Store B"/>
    <s v="Retail"/>
    <x v="1"/>
    <x v="1"/>
    <x v="1030"/>
    <x v="1"/>
    <x v="2"/>
    <x v="0"/>
    <s v="REG101030"/>
    <s v="Cust 7826"/>
    <n v="6.37"/>
    <x v="351"/>
    <x v="33"/>
    <d v="2024-06-20T00:00:00"/>
    <s v="Eric"/>
  </r>
  <r>
    <d v="2024-05-22T00:00:00"/>
    <x v="0"/>
    <x v="4"/>
    <n v="6"/>
    <n v="535.38"/>
    <s v="Store C"/>
    <s v="Wholesale"/>
    <x v="2"/>
    <x v="1"/>
    <x v="1031"/>
    <x v="0"/>
    <x v="3"/>
    <x v="0"/>
    <s v="REG101031"/>
    <s v="Cust 3472"/>
    <n v="48.66"/>
    <x v="521"/>
    <x v="18"/>
    <d v="2024-05-29T00:00:00"/>
    <s v="Eric"/>
  </r>
  <r>
    <d v="2024-01-14T00:00:00"/>
    <x v="0"/>
    <x v="4"/>
    <n v="19"/>
    <n v="407.82"/>
    <s v="Store D"/>
    <s v="Retail"/>
    <x v="3"/>
    <x v="4"/>
    <x v="1032"/>
    <x v="1"/>
    <x v="0"/>
    <x v="0"/>
    <s v="REG101032"/>
    <s v="Cust 4266"/>
    <n v="38.979999999999997"/>
    <x v="73"/>
    <x v="11"/>
    <d v="2024-01-18T00:00:00"/>
    <s v="Eric"/>
  </r>
  <r>
    <d v="2024-10-31T00:00:00"/>
    <x v="2"/>
    <x v="5"/>
    <n v="16"/>
    <n v="120.83"/>
    <s v="Store B"/>
    <s v="Retail"/>
    <x v="3"/>
    <x v="3"/>
    <x v="1033"/>
    <x v="4"/>
    <x v="2"/>
    <x v="1"/>
    <s v="REG101033"/>
    <s v="Cust 8492"/>
    <n v="39.64"/>
    <x v="335"/>
    <x v="50"/>
    <d v="2024-11-02T00:00:00"/>
    <s v="Ryan"/>
  </r>
  <r>
    <d v="2024-04-23T00:00:00"/>
    <x v="4"/>
    <x v="6"/>
    <n v="7"/>
    <n v="39.53"/>
    <s v="Store D"/>
    <s v="Retail"/>
    <x v="1"/>
    <x v="3"/>
    <x v="1034"/>
    <x v="3"/>
    <x v="2"/>
    <x v="0"/>
    <s v="REG101034"/>
    <s v="Cust 7354"/>
    <n v="18.16"/>
    <x v="502"/>
    <x v="42"/>
    <d v="2024-04-29T00:00:00"/>
    <s v="Wendy"/>
  </r>
  <r>
    <d v="2023-06-14T00:00:00"/>
    <x v="1"/>
    <x v="5"/>
    <n v="2"/>
    <n v="224.08"/>
    <s v="Store A"/>
    <s v="Retail"/>
    <x v="3"/>
    <x v="2"/>
    <x v="1035"/>
    <x v="2"/>
    <x v="2"/>
    <x v="0"/>
    <s v="REG101035"/>
    <s v="Cust 6672"/>
    <n v="47.35"/>
    <x v="116"/>
    <x v="33"/>
    <d v="2023-06-20T00:00:00"/>
    <s v="Sophie"/>
  </r>
  <r>
    <d v="2024-02-28T00:00:00"/>
    <x v="2"/>
    <x v="6"/>
    <n v="11"/>
    <n v="382.08"/>
    <s v="Store D"/>
    <s v="Wholesale"/>
    <x v="3"/>
    <x v="2"/>
    <x v="1036"/>
    <x v="4"/>
    <x v="2"/>
    <x v="0"/>
    <s v="REG101036"/>
    <s v="Cust 5589"/>
    <n v="5.95"/>
    <x v="630"/>
    <x v="3"/>
    <d v="2024-03-02T00:00:00"/>
    <s v="Ryan"/>
  </r>
  <r>
    <d v="2024-06-19T00:00:00"/>
    <x v="1"/>
    <x v="6"/>
    <n v="9"/>
    <n v="88.49"/>
    <s v="Store D"/>
    <s v="Wholesale"/>
    <x v="3"/>
    <x v="4"/>
    <x v="1037"/>
    <x v="0"/>
    <x v="3"/>
    <x v="0"/>
    <s v="REG101037"/>
    <s v="Cust 2770"/>
    <n v="35.6"/>
    <x v="389"/>
    <x v="4"/>
    <d v="2024-06-26T00:00:00"/>
    <s v="Sophie"/>
  </r>
  <r>
    <d v="2023-03-18T00:00:00"/>
    <x v="3"/>
    <x v="5"/>
    <n v="20"/>
    <n v="139.1"/>
    <s v="Store C"/>
    <s v="Wholesale"/>
    <x v="3"/>
    <x v="3"/>
    <x v="1038"/>
    <x v="0"/>
    <x v="0"/>
    <x v="0"/>
    <s v="REG101038"/>
    <s v="Cust 7206"/>
    <n v="30.22"/>
    <x v="132"/>
    <x v="23"/>
    <d v="2023-03-20T00:00:00"/>
    <s v="Cameron"/>
  </r>
  <r>
    <d v="2023-03-21T00:00:00"/>
    <x v="4"/>
    <x v="2"/>
    <n v="19"/>
    <n v="322.35000000000002"/>
    <s v="Store D"/>
    <s v="Wholesale"/>
    <x v="1"/>
    <x v="1"/>
    <x v="1039"/>
    <x v="3"/>
    <x v="2"/>
    <x v="0"/>
    <s v="REG101039"/>
    <s v="Cust 1580"/>
    <n v="30.06"/>
    <x v="256"/>
    <x v="26"/>
    <d v="2023-03-31T00:00:00"/>
    <s v="Wendy"/>
  </r>
  <r>
    <d v="2024-05-28T00:00:00"/>
    <x v="0"/>
    <x v="6"/>
    <n v="16"/>
    <n v="334.55"/>
    <s v="Store B"/>
    <s v="Wholesale"/>
    <x v="1"/>
    <x v="0"/>
    <x v="1040"/>
    <x v="2"/>
    <x v="1"/>
    <x v="0"/>
    <s v="REG101040"/>
    <s v="Cust 5313"/>
    <n v="37.42"/>
    <x v="17"/>
    <x v="14"/>
    <d v="2024-06-01T00:00:00"/>
    <s v="Eric"/>
  </r>
  <r>
    <d v="2023-03-27T00:00:00"/>
    <x v="4"/>
    <x v="2"/>
    <n v="20"/>
    <n v="332.48"/>
    <s v="Store B"/>
    <s v="Wholesale"/>
    <x v="0"/>
    <x v="0"/>
    <x v="1041"/>
    <x v="0"/>
    <x v="1"/>
    <x v="1"/>
    <s v="REG101041"/>
    <s v="Cust 4209"/>
    <n v="7.79"/>
    <x v="340"/>
    <x v="41"/>
    <d v="2023-03-30T00:00:00"/>
    <s v="Wendy"/>
  </r>
  <r>
    <d v="2023-06-19T00:00:00"/>
    <x v="3"/>
    <x v="6"/>
    <n v="1"/>
    <n v="123.4"/>
    <s v="Store A"/>
    <s v="Retail"/>
    <x v="0"/>
    <x v="0"/>
    <x v="1042"/>
    <x v="4"/>
    <x v="3"/>
    <x v="1"/>
    <s v="REG101042"/>
    <s v="Cust 5861"/>
    <n v="12.63"/>
    <x v="182"/>
    <x v="4"/>
    <d v="2023-06-25T00:00:00"/>
    <s v="Cameron"/>
  </r>
  <r>
    <d v="2023-10-31T00:00:00"/>
    <x v="1"/>
    <x v="0"/>
    <n v="3"/>
    <n v="88.26"/>
    <s v="Store D"/>
    <s v="Wholesale"/>
    <x v="3"/>
    <x v="5"/>
    <x v="1043"/>
    <x v="3"/>
    <x v="0"/>
    <x v="0"/>
    <s v="REG101043"/>
    <s v="Cust 6348"/>
    <n v="46.45"/>
    <x v="372"/>
    <x v="50"/>
    <d v="2023-11-07T00:00:00"/>
    <s v="Sophie"/>
  </r>
  <r>
    <d v="2023-07-11T00:00:00"/>
    <x v="4"/>
    <x v="1"/>
    <n v="13"/>
    <n v="50.51"/>
    <s v="Store D"/>
    <s v="Wholesale"/>
    <x v="1"/>
    <x v="1"/>
    <x v="1044"/>
    <x v="3"/>
    <x v="2"/>
    <x v="0"/>
    <s v="REG101044"/>
    <s v="Cust 5210"/>
    <n v="40.57"/>
    <x v="445"/>
    <x v="9"/>
    <d v="2023-07-18T00:00:00"/>
    <s v="Wendy"/>
  </r>
  <r>
    <d v="2023-05-19T00:00:00"/>
    <x v="1"/>
    <x v="4"/>
    <n v="11"/>
    <n v="237.99"/>
    <s v="Store D"/>
    <s v="Wholesale"/>
    <x v="3"/>
    <x v="5"/>
    <x v="1045"/>
    <x v="3"/>
    <x v="0"/>
    <x v="0"/>
    <s v="REG101045"/>
    <s v="Cust 7325"/>
    <n v="44.7"/>
    <x v="631"/>
    <x v="13"/>
    <d v="2023-05-28T00:00:00"/>
    <s v="Sophie"/>
  </r>
  <r>
    <d v="2023-08-05T00:00:00"/>
    <x v="2"/>
    <x v="3"/>
    <n v="7"/>
    <n v="294.95"/>
    <s v="Store D"/>
    <s v="Wholesale"/>
    <x v="0"/>
    <x v="2"/>
    <x v="1046"/>
    <x v="0"/>
    <x v="0"/>
    <x v="0"/>
    <s v="REG101046"/>
    <s v="Cust 5818"/>
    <n v="15.78"/>
    <x v="285"/>
    <x v="36"/>
    <d v="2023-08-10T00:00:00"/>
    <s v="Ryan"/>
  </r>
  <r>
    <d v="2023-03-24T00:00:00"/>
    <x v="4"/>
    <x v="2"/>
    <n v="8"/>
    <n v="384.3"/>
    <s v="Store C"/>
    <s v="Wholesale"/>
    <x v="1"/>
    <x v="2"/>
    <x v="1047"/>
    <x v="1"/>
    <x v="0"/>
    <x v="0"/>
    <s v="REG101047"/>
    <s v="Cust 7773"/>
    <n v="48.83"/>
    <x v="601"/>
    <x v="26"/>
    <d v="2023-04-03T00:00:00"/>
    <s v="Wendy"/>
  </r>
  <r>
    <d v="2025-02-14T00:00:00"/>
    <x v="4"/>
    <x v="4"/>
    <n v="1"/>
    <n v="378.35"/>
    <s v="Store C"/>
    <s v="Wholesale"/>
    <x v="3"/>
    <x v="4"/>
    <x v="1048"/>
    <x v="4"/>
    <x v="0"/>
    <x v="0"/>
    <s v="REG101048"/>
    <s v="Cust 3960"/>
    <n v="20.97"/>
    <x v="202"/>
    <x v="22"/>
    <d v="2025-02-17T00:00:00"/>
    <s v="Wendy"/>
  </r>
  <r>
    <d v="2024-12-14T00:00:00"/>
    <x v="2"/>
    <x v="2"/>
    <n v="1"/>
    <n v="461.35"/>
    <s v="Store D"/>
    <s v="Retail"/>
    <x v="0"/>
    <x v="5"/>
    <x v="1049"/>
    <x v="3"/>
    <x v="0"/>
    <x v="1"/>
    <s v="REG101049"/>
    <s v="Cust 4496"/>
    <n v="43.74"/>
    <x v="632"/>
    <x v="12"/>
    <d v="2024-12-16T00:00:00"/>
    <s v="Ryan"/>
  </r>
  <r>
    <d v="2023-06-28T00:00:00"/>
    <x v="1"/>
    <x v="6"/>
    <n v="20"/>
    <n v="354.9"/>
    <s v="Store A"/>
    <s v="Wholesale"/>
    <x v="0"/>
    <x v="5"/>
    <x v="1050"/>
    <x v="1"/>
    <x v="2"/>
    <x v="0"/>
    <s v="REG101050"/>
    <s v="Cust 3875"/>
    <n v="43.24"/>
    <x v="418"/>
    <x v="28"/>
    <d v="2023-07-01T00:00:00"/>
    <s v="Sophie"/>
  </r>
  <r>
    <d v="2023-01-24T00:00:00"/>
    <x v="4"/>
    <x v="2"/>
    <n v="7"/>
    <n v="438.41"/>
    <s v="Store C"/>
    <s v="Retail"/>
    <x v="1"/>
    <x v="4"/>
    <x v="1051"/>
    <x v="3"/>
    <x v="1"/>
    <x v="1"/>
    <s v="REG101051"/>
    <s v="Cust 7232"/>
    <n v="47.77"/>
    <x v="191"/>
    <x v="34"/>
    <d v="2023-01-28T00:00:00"/>
    <s v="Wendy"/>
  </r>
  <r>
    <d v="2024-06-21T00:00:00"/>
    <x v="3"/>
    <x v="5"/>
    <n v="14"/>
    <n v="542.6"/>
    <s v="Store C"/>
    <s v="Retail"/>
    <x v="3"/>
    <x v="0"/>
    <x v="1052"/>
    <x v="3"/>
    <x v="3"/>
    <x v="0"/>
    <s v="REG101052"/>
    <s v="Cust 2137"/>
    <n v="44.76"/>
    <x v="378"/>
    <x v="4"/>
    <d v="2024-06-30T00:00:00"/>
    <s v="Cameron"/>
  </r>
  <r>
    <d v="2025-04-09T00:00:00"/>
    <x v="2"/>
    <x v="6"/>
    <n v="3"/>
    <n v="238.82"/>
    <s v="Store C"/>
    <s v="Retail"/>
    <x v="1"/>
    <x v="5"/>
    <x v="1053"/>
    <x v="1"/>
    <x v="2"/>
    <x v="0"/>
    <s v="REG101053"/>
    <s v="Cust 4537"/>
    <n v="37.07"/>
    <x v="320"/>
    <x v="8"/>
    <d v="2025-04-18T00:00:00"/>
    <s v="Ryan"/>
  </r>
  <r>
    <d v="2025-01-11T00:00:00"/>
    <x v="2"/>
    <x v="5"/>
    <n v="16"/>
    <n v="332.19"/>
    <s v="Store C"/>
    <s v="Retail"/>
    <x v="1"/>
    <x v="0"/>
    <x v="1054"/>
    <x v="2"/>
    <x v="1"/>
    <x v="1"/>
    <s v="REG101054"/>
    <s v="Cust 6274"/>
    <n v="34.97"/>
    <x v="405"/>
    <x v="5"/>
    <d v="2025-01-19T00:00:00"/>
    <s v="Ryan"/>
  </r>
  <r>
    <d v="2024-07-13T00:00:00"/>
    <x v="3"/>
    <x v="6"/>
    <n v="9"/>
    <n v="454.6"/>
    <s v="Store D"/>
    <s v="Wholesale"/>
    <x v="3"/>
    <x v="3"/>
    <x v="1055"/>
    <x v="3"/>
    <x v="3"/>
    <x v="0"/>
    <s v="REG101055"/>
    <s v="Cust 3810"/>
    <n v="32.86"/>
    <x v="421"/>
    <x v="9"/>
    <d v="2024-07-20T00:00:00"/>
    <s v="Cameron"/>
  </r>
  <r>
    <d v="2025-01-04T00:00:00"/>
    <x v="4"/>
    <x v="6"/>
    <n v="6"/>
    <n v="540.54"/>
    <s v="Store A"/>
    <s v="Retail"/>
    <x v="3"/>
    <x v="3"/>
    <x v="1056"/>
    <x v="3"/>
    <x v="1"/>
    <x v="0"/>
    <s v="REG101056"/>
    <s v="Cust 5002"/>
    <n v="19.77"/>
    <x v="602"/>
    <x v="31"/>
    <d v="2025-01-10T00:00:00"/>
    <s v="Wendy"/>
  </r>
  <r>
    <d v="2023-10-25T00:00:00"/>
    <x v="4"/>
    <x v="2"/>
    <n v="14"/>
    <n v="147.37"/>
    <s v="Store D"/>
    <s v="Wholesale"/>
    <x v="2"/>
    <x v="2"/>
    <x v="1057"/>
    <x v="3"/>
    <x v="2"/>
    <x v="1"/>
    <s v="REG101057"/>
    <s v="Cust 8551"/>
    <n v="45.75"/>
    <x v="633"/>
    <x v="19"/>
    <d v="2023-10-31T00:00:00"/>
    <s v="Wendy"/>
  </r>
  <r>
    <d v="2023-09-30T00:00:00"/>
    <x v="1"/>
    <x v="0"/>
    <n v="7"/>
    <n v="421.12"/>
    <s v="Store D"/>
    <s v="Wholesale"/>
    <x v="2"/>
    <x v="4"/>
    <x v="1058"/>
    <x v="1"/>
    <x v="3"/>
    <x v="0"/>
    <s v="REG101058"/>
    <s v="Cust 8837"/>
    <n v="44.49"/>
    <x v="508"/>
    <x v="39"/>
    <d v="2023-10-02T00:00:00"/>
    <s v="Sophie"/>
  </r>
  <r>
    <d v="2023-03-16T00:00:00"/>
    <x v="2"/>
    <x v="1"/>
    <n v="20"/>
    <n v="436.32"/>
    <s v="Store D"/>
    <s v="Retail"/>
    <x v="0"/>
    <x v="4"/>
    <x v="1059"/>
    <x v="2"/>
    <x v="0"/>
    <x v="1"/>
    <s v="REG101059"/>
    <s v="Cust 6523"/>
    <n v="37.49"/>
    <x v="399"/>
    <x v="23"/>
    <d v="2023-03-26T00:00:00"/>
    <s v="Ryan"/>
  </r>
  <r>
    <d v="2023-07-26T00:00:00"/>
    <x v="2"/>
    <x v="0"/>
    <n v="18"/>
    <n v="436.83"/>
    <s v="Store A"/>
    <s v="Wholesale"/>
    <x v="1"/>
    <x v="5"/>
    <x v="1060"/>
    <x v="2"/>
    <x v="1"/>
    <x v="0"/>
    <s v="REG101060"/>
    <s v="Cust 1947"/>
    <n v="28.8"/>
    <x v="238"/>
    <x v="27"/>
    <d v="2023-08-02T00:00:00"/>
    <s v="Ryan"/>
  </r>
  <r>
    <d v="2023-07-10T00:00:00"/>
    <x v="0"/>
    <x v="4"/>
    <n v="2"/>
    <n v="327.57"/>
    <s v="Store A"/>
    <s v="Retail"/>
    <x v="3"/>
    <x v="4"/>
    <x v="1061"/>
    <x v="3"/>
    <x v="3"/>
    <x v="0"/>
    <s v="REG101061"/>
    <s v="Cust 3440"/>
    <n v="19.489999999999998"/>
    <x v="634"/>
    <x v="9"/>
    <d v="2023-07-19T00:00:00"/>
    <s v="Eric"/>
  </r>
  <r>
    <d v="2024-08-06T00:00:00"/>
    <x v="0"/>
    <x v="6"/>
    <n v="18"/>
    <n v="166.92"/>
    <s v="Store C"/>
    <s v="Wholesale"/>
    <x v="3"/>
    <x v="1"/>
    <x v="1062"/>
    <x v="1"/>
    <x v="2"/>
    <x v="0"/>
    <s v="REG101062"/>
    <s v="Cust 4102"/>
    <n v="9.35"/>
    <x v="635"/>
    <x v="17"/>
    <d v="2024-08-16T00:00:00"/>
    <s v="Eric"/>
  </r>
  <r>
    <d v="2024-07-16T00:00:00"/>
    <x v="3"/>
    <x v="1"/>
    <n v="14"/>
    <n v="300.38"/>
    <s v="Store A"/>
    <s v="Retail"/>
    <x v="1"/>
    <x v="1"/>
    <x v="1063"/>
    <x v="0"/>
    <x v="3"/>
    <x v="0"/>
    <s v="REG101063"/>
    <s v="Cust 4145"/>
    <n v="38.6"/>
    <x v="617"/>
    <x v="10"/>
    <d v="2024-07-19T00:00:00"/>
    <s v="Cameron"/>
  </r>
  <r>
    <d v="2024-01-31T00:00:00"/>
    <x v="2"/>
    <x v="6"/>
    <n v="5"/>
    <n v="232.29"/>
    <s v="Store A"/>
    <s v="Wholesale"/>
    <x v="0"/>
    <x v="1"/>
    <x v="1064"/>
    <x v="0"/>
    <x v="3"/>
    <x v="1"/>
    <s v="REG101064"/>
    <s v="Cust 5206"/>
    <n v="42.38"/>
    <x v="636"/>
    <x v="43"/>
    <d v="2024-02-09T00:00:00"/>
    <s v="Ryan"/>
  </r>
  <r>
    <d v="2023-04-22T00:00:00"/>
    <x v="3"/>
    <x v="5"/>
    <n v="1"/>
    <n v="173.44"/>
    <s v="Store A"/>
    <s v="Retail"/>
    <x v="0"/>
    <x v="5"/>
    <x v="1065"/>
    <x v="1"/>
    <x v="0"/>
    <x v="0"/>
    <s v="REG101065"/>
    <s v="Cust 4022"/>
    <n v="32.83"/>
    <x v="573"/>
    <x v="32"/>
    <d v="2023-04-24T00:00:00"/>
    <s v="Cameron"/>
  </r>
  <r>
    <d v="2025-02-04T00:00:00"/>
    <x v="0"/>
    <x v="1"/>
    <n v="9"/>
    <n v="256.14"/>
    <s v="Store A"/>
    <s v="Retail"/>
    <x v="2"/>
    <x v="2"/>
    <x v="1066"/>
    <x v="2"/>
    <x v="1"/>
    <x v="1"/>
    <s v="REG101066"/>
    <s v="Cust 8676"/>
    <n v="5.21"/>
    <x v="599"/>
    <x v="29"/>
    <d v="2025-02-07T00:00:00"/>
    <s v="Eric"/>
  </r>
  <r>
    <d v="2024-08-25T00:00:00"/>
    <x v="3"/>
    <x v="0"/>
    <n v="12"/>
    <n v="461.3"/>
    <s v="Store D"/>
    <s v="Wholesale"/>
    <x v="2"/>
    <x v="4"/>
    <x v="1067"/>
    <x v="1"/>
    <x v="0"/>
    <x v="0"/>
    <s v="REG101067"/>
    <s v="Cust 7492"/>
    <n v="8.6"/>
    <x v="225"/>
    <x v="44"/>
    <d v="2024-09-03T00:00:00"/>
    <s v="Cameron"/>
  </r>
  <r>
    <d v="2023-08-30T00:00:00"/>
    <x v="0"/>
    <x v="1"/>
    <n v="1"/>
    <n v="193.08"/>
    <s v="Store A"/>
    <s v="Wholesale"/>
    <x v="3"/>
    <x v="2"/>
    <x v="1068"/>
    <x v="0"/>
    <x v="1"/>
    <x v="0"/>
    <s v="REG101068"/>
    <s v="Cust 3150"/>
    <n v="23.99"/>
    <x v="286"/>
    <x v="44"/>
    <d v="2023-09-05T00:00:00"/>
    <s v="Eric"/>
  </r>
  <r>
    <d v="2023-09-06T00:00:00"/>
    <x v="4"/>
    <x v="3"/>
    <n v="3"/>
    <n v="312.97000000000003"/>
    <s v="Store C"/>
    <s v="Retail"/>
    <x v="3"/>
    <x v="0"/>
    <x v="1069"/>
    <x v="2"/>
    <x v="3"/>
    <x v="1"/>
    <s v="REG101069"/>
    <s v="Cust 7872"/>
    <n v="20.059999999999999"/>
    <x v="476"/>
    <x v="25"/>
    <d v="2023-09-12T00:00:00"/>
    <s v="Wendy"/>
  </r>
  <r>
    <d v="2025-05-13T00:00:00"/>
    <x v="1"/>
    <x v="0"/>
    <n v="6"/>
    <n v="214.14"/>
    <s v="Store D"/>
    <s v="Wholesale"/>
    <x v="3"/>
    <x v="4"/>
    <x v="1070"/>
    <x v="4"/>
    <x v="0"/>
    <x v="0"/>
    <s v="REG101070"/>
    <s v="Cust 8762"/>
    <n v="44.86"/>
    <x v="92"/>
    <x v="13"/>
    <d v="2025-05-21T00:00:00"/>
    <s v="Sophie"/>
  </r>
  <r>
    <d v="2023-10-29T00:00:00"/>
    <x v="2"/>
    <x v="1"/>
    <n v="4"/>
    <n v="59.8"/>
    <s v="Store D"/>
    <s v="Retail"/>
    <x v="1"/>
    <x v="2"/>
    <x v="1071"/>
    <x v="0"/>
    <x v="0"/>
    <x v="0"/>
    <s v="REG101071"/>
    <s v="Cust 4004"/>
    <n v="42.59"/>
    <x v="637"/>
    <x v="50"/>
    <d v="2023-11-06T00:00:00"/>
    <s v="Ryan"/>
  </r>
  <r>
    <d v="2024-06-12T00:00:00"/>
    <x v="0"/>
    <x v="0"/>
    <n v="9"/>
    <n v="418"/>
    <s v="Store C"/>
    <s v="Wholesale"/>
    <x v="0"/>
    <x v="5"/>
    <x v="1072"/>
    <x v="2"/>
    <x v="2"/>
    <x v="0"/>
    <s v="REG101072"/>
    <s v="Cust 2781"/>
    <n v="30.45"/>
    <x v="638"/>
    <x v="33"/>
    <d v="2024-06-18T00:00:00"/>
    <s v="Eric"/>
  </r>
  <r>
    <d v="2023-02-02T00:00:00"/>
    <x v="1"/>
    <x v="3"/>
    <n v="1"/>
    <n v="80.959999999999994"/>
    <s v="Store A"/>
    <s v="Wholesale"/>
    <x v="0"/>
    <x v="5"/>
    <x v="1073"/>
    <x v="2"/>
    <x v="0"/>
    <x v="0"/>
    <s v="REG101073"/>
    <s v="Cust 9982"/>
    <n v="48.07"/>
    <x v="233"/>
    <x v="43"/>
    <d v="2023-02-05T00:00:00"/>
    <s v="Sophie"/>
  </r>
  <r>
    <d v="2023-05-04T00:00:00"/>
    <x v="0"/>
    <x v="1"/>
    <n v="20"/>
    <n v="42.12"/>
    <s v="Store B"/>
    <s v="Wholesale"/>
    <x v="2"/>
    <x v="1"/>
    <x v="1074"/>
    <x v="2"/>
    <x v="3"/>
    <x v="0"/>
    <s v="REG101074"/>
    <s v="Cust 9561"/>
    <n v="43.22"/>
    <x v="639"/>
    <x v="40"/>
    <d v="2023-05-12T00:00:00"/>
    <s v="Eric"/>
  </r>
  <r>
    <d v="2023-05-24T00:00:00"/>
    <x v="4"/>
    <x v="4"/>
    <n v="3"/>
    <n v="366.65"/>
    <s v="Store D"/>
    <s v="Wholesale"/>
    <x v="0"/>
    <x v="3"/>
    <x v="1075"/>
    <x v="2"/>
    <x v="1"/>
    <x v="0"/>
    <s v="REG101075"/>
    <s v="Cust 3496"/>
    <n v="33.6"/>
    <x v="56"/>
    <x v="18"/>
    <d v="2023-05-31T00:00:00"/>
    <s v="Wendy"/>
  </r>
  <r>
    <d v="2023-02-03T00:00:00"/>
    <x v="4"/>
    <x v="4"/>
    <n v="19"/>
    <n v="534.91999999999996"/>
    <s v="Store D"/>
    <s v="Retail"/>
    <x v="0"/>
    <x v="4"/>
    <x v="1076"/>
    <x v="0"/>
    <x v="3"/>
    <x v="0"/>
    <s v="REG101076"/>
    <s v="Cust 4085"/>
    <n v="26.97"/>
    <x v="151"/>
    <x v="43"/>
    <d v="2023-02-13T00:00:00"/>
    <s v="Wendy"/>
  </r>
  <r>
    <d v="2023-12-25T00:00:00"/>
    <x v="0"/>
    <x v="3"/>
    <n v="1"/>
    <n v="494.52"/>
    <s v="Store D"/>
    <s v="Retail"/>
    <x v="0"/>
    <x v="5"/>
    <x v="1077"/>
    <x v="2"/>
    <x v="3"/>
    <x v="0"/>
    <s v="REG101077"/>
    <s v="Cust 1921"/>
    <n v="43.02"/>
    <x v="486"/>
    <x v="37"/>
    <d v="2024-01-02T00:00:00"/>
    <s v="Eric"/>
  </r>
  <r>
    <d v="2023-07-26T00:00:00"/>
    <x v="0"/>
    <x v="4"/>
    <n v="6"/>
    <n v="344.67"/>
    <s v="Store D"/>
    <s v="Wholesale"/>
    <x v="1"/>
    <x v="4"/>
    <x v="1078"/>
    <x v="0"/>
    <x v="1"/>
    <x v="1"/>
    <s v="REG101078"/>
    <s v="Cust 9053"/>
    <n v="31.13"/>
    <x v="238"/>
    <x v="27"/>
    <d v="2023-08-01T00:00:00"/>
    <s v="Eric"/>
  </r>
  <r>
    <d v="2024-06-06T00:00:00"/>
    <x v="3"/>
    <x v="4"/>
    <n v="12"/>
    <n v="489.14"/>
    <s v="Store D"/>
    <s v="Retail"/>
    <x v="2"/>
    <x v="5"/>
    <x v="1079"/>
    <x v="0"/>
    <x v="1"/>
    <x v="0"/>
    <s v="REG101079"/>
    <s v="Cust 9345"/>
    <n v="29.31"/>
    <x v="566"/>
    <x v="16"/>
    <d v="2024-06-15T00:00:00"/>
    <s v="Cameron"/>
  </r>
  <r>
    <d v="2024-10-13T00:00:00"/>
    <x v="1"/>
    <x v="6"/>
    <n v="18"/>
    <n v="256.23"/>
    <s v="Store B"/>
    <s v="Wholesale"/>
    <x v="3"/>
    <x v="0"/>
    <x v="1080"/>
    <x v="3"/>
    <x v="3"/>
    <x v="0"/>
    <s v="REG101080"/>
    <s v="Cust 3559"/>
    <n v="11.21"/>
    <x v="129"/>
    <x v="6"/>
    <d v="2024-10-18T00:00:00"/>
    <s v="Sophie"/>
  </r>
  <r>
    <d v="2024-11-03T00:00:00"/>
    <x v="2"/>
    <x v="6"/>
    <n v="17"/>
    <n v="99.76"/>
    <s v="Store C"/>
    <s v="Wholesale"/>
    <x v="0"/>
    <x v="4"/>
    <x v="1081"/>
    <x v="0"/>
    <x v="0"/>
    <x v="1"/>
    <s v="REG101081"/>
    <s v="Cust 1762"/>
    <n v="21.89"/>
    <x v="640"/>
    <x v="47"/>
    <d v="2024-11-13T00:00:00"/>
    <s v="Ryan"/>
  </r>
  <r>
    <d v="2024-02-03T00:00:00"/>
    <x v="2"/>
    <x v="6"/>
    <n v="14"/>
    <n v="575.66"/>
    <s v="Store C"/>
    <s v="Wholesale"/>
    <x v="1"/>
    <x v="2"/>
    <x v="1082"/>
    <x v="2"/>
    <x v="3"/>
    <x v="0"/>
    <s v="REG101082"/>
    <s v="Cust 7060"/>
    <n v="32.53"/>
    <x v="490"/>
    <x v="43"/>
    <d v="2024-02-11T00:00:00"/>
    <s v="Ryan"/>
  </r>
  <r>
    <d v="2023-01-10T00:00:00"/>
    <x v="0"/>
    <x v="3"/>
    <n v="6"/>
    <n v="176.52"/>
    <s v="Store D"/>
    <s v="Wholesale"/>
    <x v="2"/>
    <x v="1"/>
    <x v="1083"/>
    <x v="0"/>
    <x v="0"/>
    <x v="0"/>
    <s v="REG101083"/>
    <s v="Cust 8796"/>
    <n v="16.98"/>
    <x v="579"/>
    <x v="5"/>
    <d v="2023-01-13T00:00:00"/>
    <s v="Eric"/>
  </r>
  <r>
    <d v="2023-10-16T00:00:00"/>
    <x v="0"/>
    <x v="5"/>
    <n v="6"/>
    <n v="485.66"/>
    <s v="Store D"/>
    <s v="Wholesale"/>
    <x v="3"/>
    <x v="0"/>
    <x v="1084"/>
    <x v="1"/>
    <x v="0"/>
    <x v="0"/>
    <s v="REG101084"/>
    <s v="Cust 6055"/>
    <n v="30.62"/>
    <x v="641"/>
    <x v="6"/>
    <d v="2023-10-22T00:00:00"/>
    <s v="Eric"/>
  </r>
  <r>
    <d v="2025-03-19T00:00:00"/>
    <x v="3"/>
    <x v="0"/>
    <n v="8"/>
    <n v="141.61000000000001"/>
    <s v="Store B"/>
    <s v="Retail"/>
    <x v="1"/>
    <x v="5"/>
    <x v="1085"/>
    <x v="1"/>
    <x v="2"/>
    <x v="0"/>
    <s v="REG101085"/>
    <s v="Cust 5779"/>
    <n v="14.02"/>
    <x v="302"/>
    <x v="26"/>
    <d v="2025-03-24T00:00:00"/>
    <s v="Cameron"/>
  </r>
  <r>
    <d v="2024-12-16T00:00:00"/>
    <x v="4"/>
    <x v="2"/>
    <n v="9"/>
    <n v="215.29"/>
    <s v="Store C"/>
    <s v="Wholesale"/>
    <x v="1"/>
    <x v="1"/>
    <x v="1086"/>
    <x v="2"/>
    <x v="2"/>
    <x v="0"/>
    <s v="REG101086"/>
    <s v="Cust 9330"/>
    <n v="5.84"/>
    <x v="284"/>
    <x v="1"/>
    <d v="2024-12-19T00:00:00"/>
    <s v="Wendy"/>
  </r>
  <r>
    <d v="2023-08-16T00:00:00"/>
    <x v="4"/>
    <x v="0"/>
    <n v="18"/>
    <n v="497.22"/>
    <s v="Store B"/>
    <s v="Wholesale"/>
    <x v="3"/>
    <x v="4"/>
    <x v="1087"/>
    <x v="2"/>
    <x v="2"/>
    <x v="0"/>
    <s v="REG101087"/>
    <s v="Cust 5374"/>
    <n v="17.39"/>
    <x v="484"/>
    <x v="45"/>
    <d v="2023-08-20T00:00:00"/>
    <s v="Wendy"/>
  </r>
  <r>
    <d v="2023-01-10T00:00:00"/>
    <x v="0"/>
    <x v="2"/>
    <n v="13"/>
    <n v="347.73"/>
    <s v="Store B"/>
    <s v="Wholesale"/>
    <x v="3"/>
    <x v="4"/>
    <x v="1088"/>
    <x v="1"/>
    <x v="0"/>
    <x v="1"/>
    <s v="REG101088"/>
    <s v="Cust 3321"/>
    <n v="31.81"/>
    <x v="579"/>
    <x v="5"/>
    <d v="2023-01-20T00:00:00"/>
    <s v="Eric"/>
  </r>
  <r>
    <d v="2025-05-09T00:00:00"/>
    <x v="3"/>
    <x v="3"/>
    <n v="3"/>
    <n v="371.21"/>
    <s v="Store C"/>
    <s v="Wholesale"/>
    <x v="1"/>
    <x v="0"/>
    <x v="1089"/>
    <x v="1"/>
    <x v="1"/>
    <x v="0"/>
    <s v="REG101089"/>
    <s v="Cust 6554"/>
    <n v="20.02"/>
    <x v="589"/>
    <x v="2"/>
    <d v="2025-05-18T00:00:00"/>
    <s v="Cameron"/>
  </r>
  <r>
    <d v="2024-04-08T00:00:00"/>
    <x v="0"/>
    <x v="6"/>
    <n v="12"/>
    <n v="434.33"/>
    <s v="Store A"/>
    <s v="Wholesale"/>
    <x v="2"/>
    <x v="5"/>
    <x v="1090"/>
    <x v="4"/>
    <x v="0"/>
    <x v="0"/>
    <s v="REG101090"/>
    <s v="Cust 6855"/>
    <n v="15.33"/>
    <x v="413"/>
    <x v="8"/>
    <d v="2024-04-16T00:00:00"/>
    <s v="Eric"/>
  </r>
  <r>
    <d v="2025-05-06T00:00:00"/>
    <x v="0"/>
    <x v="4"/>
    <n v="16"/>
    <n v="426.65"/>
    <s v="Store A"/>
    <s v="Retail"/>
    <x v="1"/>
    <x v="4"/>
    <x v="1091"/>
    <x v="1"/>
    <x v="3"/>
    <x v="0"/>
    <s v="REG101091"/>
    <s v="Cust 9955"/>
    <n v="10.199999999999999"/>
    <x v="276"/>
    <x v="2"/>
    <d v="2025-05-15T00:00:00"/>
    <s v="Eric"/>
  </r>
  <r>
    <d v="2023-05-21T00:00:00"/>
    <x v="4"/>
    <x v="2"/>
    <n v="6"/>
    <n v="294.97000000000003"/>
    <s v="Store A"/>
    <s v="Wholesale"/>
    <x v="3"/>
    <x v="5"/>
    <x v="1092"/>
    <x v="2"/>
    <x v="2"/>
    <x v="0"/>
    <s v="REG101092"/>
    <s v="Cust 3320"/>
    <n v="48.08"/>
    <x v="642"/>
    <x v="18"/>
    <d v="2023-05-29T00:00:00"/>
    <s v="Wendy"/>
  </r>
  <r>
    <d v="2023-11-23T00:00:00"/>
    <x v="3"/>
    <x v="1"/>
    <n v="12"/>
    <n v="130.9"/>
    <s v="Store D"/>
    <s v="Retail"/>
    <x v="2"/>
    <x v="1"/>
    <x v="1093"/>
    <x v="3"/>
    <x v="1"/>
    <x v="0"/>
    <s v="REG101093"/>
    <s v="Cust 8177"/>
    <n v="34.69"/>
    <x v="488"/>
    <x v="20"/>
    <d v="2023-11-30T00:00:00"/>
    <s v="Cameron"/>
  </r>
  <r>
    <d v="2024-03-26T00:00:00"/>
    <x v="2"/>
    <x v="4"/>
    <n v="18"/>
    <n v="539.98"/>
    <s v="Store C"/>
    <s v="Retail"/>
    <x v="2"/>
    <x v="0"/>
    <x v="1094"/>
    <x v="4"/>
    <x v="0"/>
    <x v="1"/>
    <s v="REG101094"/>
    <s v="Cust 1743"/>
    <n v="34.44"/>
    <x v="643"/>
    <x v="41"/>
    <d v="2024-04-05T00:00:00"/>
    <s v="Ryan"/>
  </r>
  <r>
    <d v="2024-09-25T00:00:00"/>
    <x v="1"/>
    <x v="2"/>
    <n v="12"/>
    <n v="149.37"/>
    <s v="Store D"/>
    <s v="Retail"/>
    <x v="1"/>
    <x v="5"/>
    <x v="1095"/>
    <x v="2"/>
    <x v="3"/>
    <x v="0"/>
    <s v="REG101095"/>
    <s v="Cust 3719"/>
    <n v="20.21"/>
    <x v="644"/>
    <x v="39"/>
    <d v="2024-10-02T00:00:00"/>
    <s v="Sophie"/>
  </r>
  <r>
    <d v="2023-04-06T00:00:00"/>
    <x v="0"/>
    <x v="3"/>
    <n v="5"/>
    <n v="411.24"/>
    <s v="Store A"/>
    <s v="Wholesale"/>
    <x v="2"/>
    <x v="5"/>
    <x v="1096"/>
    <x v="4"/>
    <x v="2"/>
    <x v="1"/>
    <s v="REG101096"/>
    <s v="Cust 9323"/>
    <n v="5.35"/>
    <x v="645"/>
    <x v="24"/>
    <d v="2023-04-10T00:00:00"/>
    <s v="Eric"/>
  </r>
  <r>
    <d v="2024-06-24T00:00:00"/>
    <x v="2"/>
    <x v="3"/>
    <n v="16"/>
    <n v="462.86"/>
    <s v="Store D"/>
    <s v="Retail"/>
    <x v="3"/>
    <x v="5"/>
    <x v="1097"/>
    <x v="4"/>
    <x v="3"/>
    <x v="1"/>
    <s v="REG101097"/>
    <s v="Cust 1914"/>
    <n v="17.43"/>
    <x v="503"/>
    <x v="28"/>
    <d v="2024-06-26T00:00:00"/>
    <s v="Ryan"/>
  </r>
  <r>
    <d v="2024-12-15T00:00:00"/>
    <x v="1"/>
    <x v="0"/>
    <n v="17"/>
    <n v="506.38"/>
    <s v="Store B"/>
    <s v="Wholesale"/>
    <x v="0"/>
    <x v="3"/>
    <x v="1098"/>
    <x v="4"/>
    <x v="2"/>
    <x v="1"/>
    <s v="REG101098"/>
    <s v="Cust 5928"/>
    <n v="33.36"/>
    <x v="646"/>
    <x v="1"/>
    <d v="2024-12-23T00:00:00"/>
    <s v="Sophie"/>
  </r>
  <r>
    <d v="2024-10-03T00:00:00"/>
    <x v="2"/>
    <x v="2"/>
    <n v="19"/>
    <n v="25.61"/>
    <s v="Store B"/>
    <s v="Retail"/>
    <x v="0"/>
    <x v="5"/>
    <x v="1099"/>
    <x v="1"/>
    <x v="3"/>
    <x v="0"/>
    <s v="REG101099"/>
    <s v="Cust 1904"/>
    <n v="30.32"/>
    <x v="449"/>
    <x v="35"/>
    <d v="2024-10-11T00:00:00"/>
    <s v="Ryan"/>
  </r>
  <r>
    <d v="2023-09-03T00:00:00"/>
    <x v="1"/>
    <x v="2"/>
    <n v="4"/>
    <n v="467.45"/>
    <s v="Store C"/>
    <s v="Wholesale"/>
    <x v="3"/>
    <x v="2"/>
    <x v="1100"/>
    <x v="1"/>
    <x v="2"/>
    <x v="0"/>
    <s v="REG101100"/>
    <s v="Cust 8062"/>
    <n v="25.05"/>
    <x v="34"/>
    <x v="25"/>
    <d v="2023-09-13T00:00:00"/>
    <s v="Sophie"/>
  </r>
  <r>
    <d v="2023-01-29T00:00:00"/>
    <x v="2"/>
    <x v="6"/>
    <n v="10"/>
    <n v="140.5"/>
    <s v="Store B"/>
    <s v="Retail"/>
    <x v="2"/>
    <x v="3"/>
    <x v="1101"/>
    <x v="0"/>
    <x v="0"/>
    <x v="0"/>
    <s v="REG101101"/>
    <s v="Cust 8150"/>
    <n v="43.81"/>
    <x v="603"/>
    <x v="43"/>
    <d v="2023-02-05T00:00:00"/>
    <s v="Ryan"/>
  </r>
  <r>
    <d v="2024-06-12T00:00:00"/>
    <x v="2"/>
    <x v="1"/>
    <n v="8"/>
    <n v="57.85"/>
    <s v="Store D"/>
    <s v="Wholesale"/>
    <x v="0"/>
    <x v="2"/>
    <x v="1102"/>
    <x v="0"/>
    <x v="2"/>
    <x v="1"/>
    <s v="REG101102"/>
    <s v="Cust 3275"/>
    <n v="49.82"/>
    <x v="638"/>
    <x v="33"/>
    <d v="2024-06-20T00:00:00"/>
    <s v="Ryan"/>
  </r>
  <r>
    <d v="2024-11-24T00:00:00"/>
    <x v="2"/>
    <x v="4"/>
    <n v="9"/>
    <n v="539.64"/>
    <s v="Store A"/>
    <s v="Retail"/>
    <x v="2"/>
    <x v="1"/>
    <x v="1103"/>
    <x v="1"/>
    <x v="3"/>
    <x v="0"/>
    <s v="REG101103"/>
    <s v="Cust 3854"/>
    <n v="16.079999999999998"/>
    <x v="224"/>
    <x v="15"/>
    <d v="2024-12-03T00:00:00"/>
    <s v="Ryan"/>
  </r>
  <r>
    <d v="2023-08-15T00:00:00"/>
    <x v="4"/>
    <x v="4"/>
    <n v="18"/>
    <n v="476.32"/>
    <s v="Store A"/>
    <s v="Wholesale"/>
    <x v="0"/>
    <x v="4"/>
    <x v="1104"/>
    <x v="2"/>
    <x v="1"/>
    <x v="1"/>
    <s v="REG101104"/>
    <s v="Cust 8398"/>
    <n v="47.43"/>
    <x v="374"/>
    <x v="45"/>
    <d v="2023-08-20T00:00:00"/>
    <s v="Wendy"/>
  </r>
  <r>
    <d v="2024-08-21T00:00:00"/>
    <x v="3"/>
    <x v="5"/>
    <n v="11"/>
    <n v="143.85"/>
    <s v="Store A"/>
    <s v="Wholesale"/>
    <x v="1"/>
    <x v="0"/>
    <x v="1105"/>
    <x v="3"/>
    <x v="0"/>
    <x v="0"/>
    <s v="REG101105"/>
    <s v="Cust 4026"/>
    <n v="6.85"/>
    <x v="647"/>
    <x v="48"/>
    <d v="2024-08-30T00:00:00"/>
    <s v="Cameron"/>
  </r>
  <r>
    <d v="2023-05-24T00:00:00"/>
    <x v="4"/>
    <x v="4"/>
    <n v="4"/>
    <n v="323.63"/>
    <s v="Store C"/>
    <s v="Retail"/>
    <x v="1"/>
    <x v="3"/>
    <x v="1106"/>
    <x v="2"/>
    <x v="0"/>
    <x v="0"/>
    <s v="REG101106"/>
    <s v="Cust 5794"/>
    <n v="32.92"/>
    <x v="56"/>
    <x v="18"/>
    <d v="2023-06-01T00:00:00"/>
    <s v="Wendy"/>
  </r>
  <r>
    <d v="2023-04-27T00:00:00"/>
    <x v="4"/>
    <x v="4"/>
    <n v="16"/>
    <n v="37.4"/>
    <s v="Store A"/>
    <s v="Wholesale"/>
    <x v="3"/>
    <x v="5"/>
    <x v="1107"/>
    <x v="2"/>
    <x v="0"/>
    <x v="0"/>
    <s v="REG101107"/>
    <s v="Cust 2917"/>
    <n v="49.55"/>
    <x v="178"/>
    <x v="42"/>
    <d v="2023-05-01T00:00:00"/>
    <s v="Wendy"/>
  </r>
  <r>
    <d v="2023-05-21T00:00:00"/>
    <x v="0"/>
    <x v="5"/>
    <n v="1"/>
    <n v="418.98"/>
    <s v="Store B"/>
    <s v="Retail"/>
    <x v="1"/>
    <x v="3"/>
    <x v="1108"/>
    <x v="1"/>
    <x v="0"/>
    <x v="0"/>
    <s v="REG101108"/>
    <s v="Cust 5659"/>
    <n v="43.72"/>
    <x v="642"/>
    <x v="18"/>
    <d v="2023-05-26T00:00:00"/>
    <s v="Eric"/>
  </r>
  <r>
    <d v="2025-02-16T00:00:00"/>
    <x v="0"/>
    <x v="4"/>
    <n v="12"/>
    <n v="108.35"/>
    <s v="Store A"/>
    <s v="Wholesale"/>
    <x v="0"/>
    <x v="4"/>
    <x v="1109"/>
    <x v="0"/>
    <x v="0"/>
    <x v="0"/>
    <s v="REG101109"/>
    <s v="Cust 1857"/>
    <n v="42.06"/>
    <x v="586"/>
    <x v="0"/>
    <d v="2025-02-25T00:00:00"/>
    <s v="Eric"/>
  </r>
  <r>
    <d v="2023-08-24T00:00:00"/>
    <x v="0"/>
    <x v="5"/>
    <n v="5"/>
    <n v="256.42"/>
    <s v="Store B"/>
    <s v="Retail"/>
    <x v="0"/>
    <x v="1"/>
    <x v="1110"/>
    <x v="1"/>
    <x v="0"/>
    <x v="0"/>
    <s v="REG101110"/>
    <s v="Cust 6718"/>
    <n v="28.74"/>
    <x v="648"/>
    <x v="48"/>
    <d v="2023-08-29T00:00:00"/>
    <s v="Eric"/>
  </r>
  <r>
    <d v="2024-03-14T00:00:00"/>
    <x v="0"/>
    <x v="2"/>
    <n v="16"/>
    <n v="544.91"/>
    <s v="Store B"/>
    <s v="Retail"/>
    <x v="1"/>
    <x v="2"/>
    <x v="1111"/>
    <x v="2"/>
    <x v="0"/>
    <x v="0"/>
    <s v="REG101111"/>
    <s v="Cust 8378"/>
    <n v="39.26"/>
    <x v="47"/>
    <x v="23"/>
    <d v="2024-03-21T00:00:00"/>
    <s v="Eric"/>
  </r>
  <r>
    <d v="2024-01-29T00:00:00"/>
    <x v="2"/>
    <x v="2"/>
    <n v="19"/>
    <n v="113.42"/>
    <s v="Store A"/>
    <s v="Retail"/>
    <x v="0"/>
    <x v="0"/>
    <x v="1112"/>
    <x v="3"/>
    <x v="2"/>
    <x v="0"/>
    <s v="REG101112"/>
    <s v="Cust 3069"/>
    <n v="44.96"/>
    <x v="282"/>
    <x v="43"/>
    <d v="2024-02-07T00:00:00"/>
    <s v="Ryan"/>
  </r>
  <r>
    <d v="2024-08-09T00:00:00"/>
    <x v="1"/>
    <x v="1"/>
    <n v="10"/>
    <n v="522.73"/>
    <s v="Store C"/>
    <s v="Retail"/>
    <x v="1"/>
    <x v="5"/>
    <x v="1113"/>
    <x v="2"/>
    <x v="3"/>
    <x v="0"/>
    <s v="REG101113"/>
    <s v="Cust 7619"/>
    <n v="20.059999999999999"/>
    <x v="649"/>
    <x v="17"/>
    <d v="2024-08-15T00:00:00"/>
    <s v="Sophie"/>
  </r>
  <r>
    <d v="2024-07-08T00:00:00"/>
    <x v="2"/>
    <x v="5"/>
    <n v="18"/>
    <n v="448.03"/>
    <s v="Store B"/>
    <s v="Retail"/>
    <x v="2"/>
    <x v="2"/>
    <x v="1114"/>
    <x v="4"/>
    <x v="2"/>
    <x v="1"/>
    <s v="REG101114"/>
    <s v="Cust 6167"/>
    <n v="13.23"/>
    <x v="172"/>
    <x v="9"/>
    <d v="2024-07-17T00:00:00"/>
    <s v="Ryan"/>
  </r>
  <r>
    <d v="2024-08-20T00:00:00"/>
    <x v="2"/>
    <x v="4"/>
    <n v="15"/>
    <n v="208.51"/>
    <s v="Store A"/>
    <s v="Retail"/>
    <x v="3"/>
    <x v="3"/>
    <x v="1115"/>
    <x v="1"/>
    <x v="3"/>
    <x v="0"/>
    <s v="REG101115"/>
    <s v="Cust 2453"/>
    <n v="37.81"/>
    <x v="650"/>
    <x v="48"/>
    <d v="2024-08-29T00:00:00"/>
    <s v="Ryan"/>
  </r>
  <r>
    <d v="2023-06-26T00:00:00"/>
    <x v="3"/>
    <x v="0"/>
    <n v="13"/>
    <n v="423.64"/>
    <s v="Store C"/>
    <s v="Retail"/>
    <x v="1"/>
    <x v="1"/>
    <x v="1116"/>
    <x v="3"/>
    <x v="3"/>
    <x v="1"/>
    <s v="REG101116"/>
    <s v="Cust 8896"/>
    <n v="23.31"/>
    <x v="651"/>
    <x v="28"/>
    <d v="2023-06-28T00:00:00"/>
    <s v="Cameron"/>
  </r>
  <r>
    <d v="2023-12-23T00:00:00"/>
    <x v="0"/>
    <x v="3"/>
    <n v="5"/>
    <n v="552.26"/>
    <s v="Store D"/>
    <s v="Wholesale"/>
    <x v="2"/>
    <x v="1"/>
    <x v="1117"/>
    <x v="3"/>
    <x v="2"/>
    <x v="0"/>
    <s v="REG101117"/>
    <s v="Cust 8800"/>
    <n v="26.5"/>
    <x v="467"/>
    <x v="1"/>
    <d v="2023-12-25T00:00:00"/>
    <s v="Eric"/>
  </r>
  <r>
    <d v="2023-08-20T00:00:00"/>
    <x v="3"/>
    <x v="2"/>
    <n v="1"/>
    <n v="182.11"/>
    <s v="Store A"/>
    <s v="Retail"/>
    <x v="1"/>
    <x v="3"/>
    <x v="1118"/>
    <x v="2"/>
    <x v="2"/>
    <x v="0"/>
    <s v="REG101118"/>
    <s v="Cust 1819"/>
    <n v="7.31"/>
    <x v="652"/>
    <x v="48"/>
    <d v="2023-08-27T00:00:00"/>
    <s v="Cameron"/>
  </r>
  <r>
    <d v="2024-10-28T00:00:00"/>
    <x v="4"/>
    <x v="2"/>
    <n v="7"/>
    <n v="466.36"/>
    <s v="Store D"/>
    <s v="Wholesale"/>
    <x v="3"/>
    <x v="5"/>
    <x v="1119"/>
    <x v="0"/>
    <x v="1"/>
    <x v="1"/>
    <s v="REG101119"/>
    <s v="Cust 1300"/>
    <n v="11.45"/>
    <x v="653"/>
    <x v="50"/>
    <d v="2024-11-06T00:00:00"/>
    <s v="Wendy"/>
  </r>
  <r>
    <d v="2024-11-11T00:00:00"/>
    <x v="0"/>
    <x v="6"/>
    <n v="15"/>
    <n v="140.54"/>
    <s v="Store A"/>
    <s v="Wholesale"/>
    <x v="1"/>
    <x v="0"/>
    <x v="1120"/>
    <x v="2"/>
    <x v="1"/>
    <x v="0"/>
    <s v="REG101120"/>
    <s v="Cust 3807"/>
    <n v="49.91"/>
    <x v="207"/>
    <x v="38"/>
    <d v="2024-11-21T00:00:00"/>
    <s v="Eric"/>
  </r>
  <r>
    <d v="2023-12-07T00:00:00"/>
    <x v="4"/>
    <x v="2"/>
    <n v="17"/>
    <n v="460.31"/>
    <s v="Store A"/>
    <s v="Retail"/>
    <x v="2"/>
    <x v="4"/>
    <x v="1121"/>
    <x v="0"/>
    <x v="2"/>
    <x v="0"/>
    <s v="REG101121"/>
    <s v="Cust 6633"/>
    <n v="40.18"/>
    <x v="654"/>
    <x v="21"/>
    <d v="2023-12-15T00:00:00"/>
    <s v="Wendy"/>
  </r>
  <r>
    <d v="2024-03-23T00:00:00"/>
    <x v="4"/>
    <x v="0"/>
    <n v="5"/>
    <n v="132.87"/>
    <s v="Store B"/>
    <s v="Retail"/>
    <x v="0"/>
    <x v="5"/>
    <x v="1122"/>
    <x v="3"/>
    <x v="2"/>
    <x v="0"/>
    <s v="REG101122"/>
    <s v="Cust 6573"/>
    <n v="37.909999999999997"/>
    <x v="105"/>
    <x v="26"/>
    <d v="2024-04-02T00:00:00"/>
    <s v="Wendy"/>
  </r>
  <r>
    <d v="2024-10-29T00:00:00"/>
    <x v="4"/>
    <x v="5"/>
    <n v="12"/>
    <n v="209.86"/>
    <s v="Store D"/>
    <s v="Retail"/>
    <x v="3"/>
    <x v="5"/>
    <x v="1123"/>
    <x v="0"/>
    <x v="2"/>
    <x v="0"/>
    <s v="REG101123"/>
    <s v="Cust 8600"/>
    <n v="8.7799999999999994"/>
    <x v="525"/>
    <x v="50"/>
    <d v="2024-11-02T00:00:00"/>
    <s v="Wendy"/>
  </r>
  <r>
    <d v="2025-06-17T00:00:00"/>
    <x v="0"/>
    <x v="0"/>
    <n v="9"/>
    <n v="31.35"/>
    <s v="Store B"/>
    <s v="Retail"/>
    <x v="1"/>
    <x v="4"/>
    <x v="1124"/>
    <x v="4"/>
    <x v="1"/>
    <x v="0"/>
    <s v="REG101124"/>
    <s v="Cust 8654"/>
    <n v="39.32"/>
    <x v="655"/>
    <x v="4"/>
    <d v="2025-06-22T00:00:00"/>
    <s v="Eric"/>
  </r>
  <r>
    <d v="2023-03-18T00:00:00"/>
    <x v="2"/>
    <x v="3"/>
    <n v="11"/>
    <n v="335.11"/>
    <s v="Store C"/>
    <s v="Retail"/>
    <x v="0"/>
    <x v="2"/>
    <x v="1125"/>
    <x v="1"/>
    <x v="0"/>
    <x v="0"/>
    <s v="REG101125"/>
    <s v="Cust 3708"/>
    <n v="29.95"/>
    <x v="132"/>
    <x v="23"/>
    <d v="2023-03-26T00:00:00"/>
    <s v="Ryan"/>
  </r>
  <r>
    <d v="2023-01-19T00:00:00"/>
    <x v="0"/>
    <x v="1"/>
    <n v="8"/>
    <n v="277.43"/>
    <s v="Store D"/>
    <s v="Wholesale"/>
    <x v="0"/>
    <x v="3"/>
    <x v="1126"/>
    <x v="0"/>
    <x v="1"/>
    <x v="0"/>
    <s v="REG101126"/>
    <s v="Cust 1268"/>
    <n v="36.380000000000003"/>
    <x v="656"/>
    <x v="11"/>
    <d v="2023-01-23T00:00:00"/>
    <s v="Eric"/>
  </r>
  <r>
    <d v="2023-07-09T00:00:00"/>
    <x v="4"/>
    <x v="2"/>
    <n v="6"/>
    <n v="287.72000000000003"/>
    <s v="Store A"/>
    <s v="Retail"/>
    <x v="3"/>
    <x v="5"/>
    <x v="1127"/>
    <x v="3"/>
    <x v="2"/>
    <x v="0"/>
    <s v="REG101127"/>
    <s v="Cust 5600"/>
    <n v="17.14"/>
    <x v="657"/>
    <x v="9"/>
    <d v="2023-07-14T00:00:00"/>
    <s v="Wendy"/>
  </r>
  <r>
    <d v="2025-03-16T00:00:00"/>
    <x v="0"/>
    <x v="0"/>
    <n v="14"/>
    <n v="459.61"/>
    <s v="Store B"/>
    <s v="Retail"/>
    <x v="3"/>
    <x v="2"/>
    <x v="1128"/>
    <x v="0"/>
    <x v="3"/>
    <x v="1"/>
    <s v="REG101128"/>
    <s v="Cust 2438"/>
    <n v="43.41"/>
    <x v="527"/>
    <x v="26"/>
    <d v="2025-03-26T00:00:00"/>
    <s v="Eric"/>
  </r>
  <r>
    <d v="2025-02-08T00:00:00"/>
    <x v="2"/>
    <x v="5"/>
    <n v="10"/>
    <n v="396.73"/>
    <s v="Store B"/>
    <s v="Retail"/>
    <x v="1"/>
    <x v="0"/>
    <x v="1129"/>
    <x v="0"/>
    <x v="0"/>
    <x v="0"/>
    <s v="REG101129"/>
    <s v="Cust 4293"/>
    <n v="18.13"/>
    <x v="658"/>
    <x v="29"/>
    <d v="2025-02-13T00:00:00"/>
    <s v="Ryan"/>
  </r>
  <r>
    <d v="2024-04-20T00:00:00"/>
    <x v="1"/>
    <x v="6"/>
    <n v="20"/>
    <n v="516.42999999999995"/>
    <s v="Store B"/>
    <s v="Retail"/>
    <x v="0"/>
    <x v="5"/>
    <x v="1130"/>
    <x v="0"/>
    <x v="0"/>
    <x v="0"/>
    <s v="REG101130"/>
    <s v="Cust 6895"/>
    <n v="36.229999999999997"/>
    <x v="528"/>
    <x v="32"/>
    <d v="2024-04-22T00:00:00"/>
    <s v="Sophie"/>
  </r>
  <r>
    <d v="2025-06-05T00:00:00"/>
    <x v="0"/>
    <x v="0"/>
    <n v="1"/>
    <n v="299.66000000000003"/>
    <s v="Store A"/>
    <s v="Retail"/>
    <x v="1"/>
    <x v="4"/>
    <x v="1131"/>
    <x v="4"/>
    <x v="1"/>
    <x v="0"/>
    <s v="REG101131"/>
    <s v="Cust 2616"/>
    <n v="38.94"/>
    <x v="20"/>
    <x v="16"/>
    <d v="2025-06-07T00:00:00"/>
    <s v="Eric"/>
  </r>
  <r>
    <d v="2025-04-25T00:00:00"/>
    <x v="1"/>
    <x v="3"/>
    <n v="12"/>
    <n v="31.72"/>
    <s v="Store B"/>
    <s v="Retail"/>
    <x v="0"/>
    <x v="1"/>
    <x v="1132"/>
    <x v="3"/>
    <x v="1"/>
    <x v="0"/>
    <s v="REG101132"/>
    <s v="Cust 5362"/>
    <n v="30.78"/>
    <x v="659"/>
    <x v="42"/>
    <d v="2025-05-03T00:00:00"/>
    <s v="Sophie"/>
  </r>
  <r>
    <d v="2023-09-06T00:00:00"/>
    <x v="3"/>
    <x v="1"/>
    <n v="17"/>
    <n v="588.58000000000004"/>
    <s v="Store D"/>
    <s v="Wholesale"/>
    <x v="3"/>
    <x v="4"/>
    <x v="1133"/>
    <x v="3"/>
    <x v="1"/>
    <x v="1"/>
    <s v="REG101133"/>
    <s v="Cust 1670"/>
    <n v="25.31"/>
    <x v="476"/>
    <x v="25"/>
    <d v="2023-09-13T00:00:00"/>
    <s v="Cameron"/>
  </r>
  <r>
    <d v="2023-09-29T00:00:00"/>
    <x v="0"/>
    <x v="0"/>
    <n v="11"/>
    <n v="203.15"/>
    <s v="Store C"/>
    <s v="Retail"/>
    <x v="1"/>
    <x v="0"/>
    <x v="1134"/>
    <x v="0"/>
    <x v="0"/>
    <x v="0"/>
    <s v="REG101134"/>
    <s v="Cust 2254"/>
    <n v="30.97"/>
    <x v="100"/>
    <x v="39"/>
    <d v="2023-10-02T00:00:00"/>
    <s v="Eric"/>
  </r>
  <r>
    <d v="2024-05-21T00:00:00"/>
    <x v="3"/>
    <x v="4"/>
    <n v="18"/>
    <n v="139.13999999999999"/>
    <s v="Store A"/>
    <s v="Wholesale"/>
    <x v="0"/>
    <x v="3"/>
    <x v="1135"/>
    <x v="0"/>
    <x v="0"/>
    <x v="1"/>
    <s v="REG101135"/>
    <s v="Cust 9521"/>
    <n v="10.56"/>
    <x v="660"/>
    <x v="18"/>
    <d v="2024-05-23T00:00:00"/>
    <s v="Cameron"/>
  </r>
  <r>
    <d v="2025-04-13T00:00:00"/>
    <x v="4"/>
    <x v="4"/>
    <n v="2"/>
    <n v="158.99"/>
    <s v="Store A"/>
    <s v="Wholesale"/>
    <x v="0"/>
    <x v="5"/>
    <x v="1136"/>
    <x v="0"/>
    <x v="3"/>
    <x v="0"/>
    <s v="REG101136"/>
    <s v="Cust 3921"/>
    <n v="48.32"/>
    <x v="91"/>
    <x v="32"/>
    <d v="2025-04-19T00:00:00"/>
    <s v="Wendy"/>
  </r>
  <r>
    <d v="2024-11-16T00:00:00"/>
    <x v="0"/>
    <x v="3"/>
    <n v="3"/>
    <n v="387.63"/>
    <s v="Store A"/>
    <s v="Wholesale"/>
    <x v="0"/>
    <x v="4"/>
    <x v="1137"/>
    <x v="2"/>
    <x v="2"/>
    <x v="0"/>
    <s v="REG101137"/>
    <s v="Cust 7628"/>
    <n v="30.08"/>
    <x v="85"/>
    <x v="38"/>
    <d v="2024-11-20T00:00:00"/>
    <s v="Eric"/>
  </r>
  <r>
    <d v="2024-07-20T00:00:00"/>
    <x v="2"/>
    <x v="2"/>
    <n v="5"/>
    <n v="202.12"/>
    <s v="Store A"/>
    <s v="Retail"/>
    <x v="1"/>
    <x v="4"/>
    <x v="1138"/>
    <x v="0"/>
    <x v="0"/>
    <x v="1"/>
    <s v="REG101138"/>
    <s v="Cust 2453"/>
    <n v="45.61"/>
    <x v="555"/>
    <x v="10"/>
    <d v="2024-07-28T00:00:00"/>
    <s v="Ryan"/>
  </r>
  <r>
    <d v="2023-05-20T00:00:00"/>
    <x v="2"/>
    <x v="2"/>
    <n v="4"/>
    <n v="334.57"/>
    <s v="Store C"/>
    <s v="Retail"/>
    <x v="2"/>
    <x v="3"/>
    <x v="1139"/>
    <x v="1"/>
    <x v="3"/>
    <x v="0"/>
    <s v="REG101139"/>
    <s v="Cust 4210"/>
    <n v="11.49"/>
    <x v="42"/>
    <x v="13"/>
    <d v="2023-05-27T00:00:00"/>
    <s v="Ryan"/>
  </r>
  <r>
    <d v="2023-10-22T00:00:00"/>
    <x v="4"/>
    <x v="1"/>
    <n v="16"/>
    <n v="486.71"/>
    <s v="Store B"/>
    <s v="Wholesale"/>
    <x v="2"/>
    <x v="3"/>
    <x v="1140"/>
    <x v="0"/>
    <x v="0"/>
    <x v="1"/>
    <s v="REG101140"/>
    <s v="Cust 1951"/>
    <n v="12.53"/>
    <x v="661"/>
    <x v="19"/>
    <d v="2023-10-26T00:00:00"/>
    <s v="Wendy"/>
  </r>
  <r>
    <d v="2025-05-18T00:00:00"/>
    <x v="2"/>
    <x v="4"/>
    <n v="2"/>
    <n v="188.29"/>
    <s v="Store D"/>
    <s v="Wholesale"/>
    <x v="2"/>
    <x v="5"/>
    <x v="1141"/>
    <x v="2"/>
    <x v="1"/>
    <x v="0"/>
    <s v="REG101141"/>
    <s v="Cust 9405"/>
    <n v="32.22"/>
    <x v="662"/>
    <x v="18"/>
    <d v="2025-05-21T00:00:00"/>
    <s v="Ryan"/>
  </r>
  <r>
    <d v="2024-03-03T00:00:00"/>
    <x v="1"/>
    <x v="0"/>
    <n v="3"/>
    <n v="260.72000000000003"/>
    <s v="Store B"/>
    <s v="Wholesale"/>
    <x v="2"/>
    <x v="2"/>
    <x v="1142"/>
    <x v="0"/>
    <x v="2"/>
    <x v="0"/>
    <s v="REG101142"/>
    <s v="Cust 8769"/>
    <n v="19.41"/>
    <x v="69"/>
    <x v="7"/>
    <d v="2024-03-06T00:00:00"/>
    <s v="Sophie"/>
  </r>
  <r>
    <d v="2023-07-23T00:00:00"/>
    <x v="0"/>
    <x v="2"/>
    <n v="6"/>
    <n v="358.27"/>
    <s v="Store B"/>
    <s v="Retail"/>
    <x v="1"/>
    <x v="2"/>
    <x v="1143"/>
    <x v="1"/>
    <x v="3"/>
    <x v="0"/>
    <s v="REG101143"/>
    <s v="Cust 9982"/>
    <n v="7.34"/>
    <x v="41"/>
    <x v="27"/>
    <d v="2023-08-02T00:00:00"/>
    <s v="Eric"/>
  </r>
  <r>
    <d v="2025-02-09T00:00:00"/>
    <x v="2"/>
    <x v="2"/>
    <n v="13"/>
    <n v="492.66"/>
    <s v="Store B"/>
    <s v="Retail"/>
    <x v="1"/>
    <x v="2"/>
    <x v="1144"/>
    <x v="1"/>
    <x v="0"/>
    <x v="0"/>
    <s v="REG101144"/>
    <s v="Cust 4068"/>
    <n v="46.21"/>
    <x v="663"/>
    <x v="22"/>
    <d v="2025-02-14T00:00:00"/>
    <s v="Ryan"/>
  </r>
  <r>
    <d v="2023-01-17T00:00:00"/>
    <x v="1"/>
    <x v="3"/>
    <n v="3"/>
    <n v="348.38"/>
    <s v="Store B"/>
    <s v="Wholesale"/>
    <x v="0"/>
    <x v="3"/>
    <x v="1145"/>
    <x v="1"/>
    <x v="0"/>
    <x v="0"/>
    <s v="REG101145"/>
    <s v="Cust 3523"/>
    <n v="26.25"/>
    <x v="585"/>
    <x v="11"/>
    <d v="2023-01-23T00:00:00"/>
    <s v="Sophie"/>
  </r>
  <r>
    <d v="2023-09-17T00:00:00"/>
    <x v="2"/>
    <x v="1"/>
    <n v="6"/>
    <n v="437.59"/>
    <s v="Store D"/>
    <s v="Wholesale"/>
    <x v="3"/>
    <x v="4"/>
    <x v="1146"/>
    <x v="1"/>
    <x v="2"/>
    <x v="1"/>
    <s v="REG101146"/>
    <s v="Cust 3377"/>
    <n v="39.4"/>
    <x v="121"/>
    <x v="46"/>
    <d v="2023-09-26T00:00:00"/>
    <s v="Ryan"/>
  </r>
  <r>
    <d v="2025-02-15T00:00:00"/>
    <x v="2"/>
    <x v="6"/>
    <n v="19"/>
    <n v="118.09"/>
    <s v="Store D"/>
    <s v="Wholesale"/>
    <x v="1"/>
    <x v="1"/>
    <x v="1147"/>
    <x v="0"/>
    <x v="1"/>
    <x v="0"/>
    <s v="REG101147"/>
    <s v="Cust 3125"/>
    <n v="10.77"/>
    <x v="664"/>
    <x v="22"/>
    <d v="2025-02-23T00:00:00"/>
    <s v="Ryan"/>
  </r>
  <r>
    <d v="2023-10-07T00:00:00"/>
    <x v="4"/>
    <x v="5"/>
    <n v="15"/>
    <n v="188.57"/>
    <s v="Store C"/>
    <s v="Wholesale"/>
    <x v="3"/>
    <x v="5"/>
    <x v="1148"/>
    <x v="2"/>
    <x v="0"/>
    <x v="1"/>
    <s v="REG101148"/>
    <s v="Cust 4623"/>
    <n v="38.61"/>
    <x v="444"/>
    <x v="35"/>
    <d v="2023-10-09T00:00:00"/>
    <s v="Wendy"/>
  </r>
  <r>
    <d v="2023-08-08T00:00:00"/>
    <x v="4"/>
    <x v="1"/>
    <n v="8"/>
    <n v="200.74"/>
    <s v="Store A"/>
    <s v="Wholesale"/>
    <x v="0"/>
    <x v="4"/>
    <x v="1149"/>
    <x v="1"/>
    <x v="1"/>
    <x v="1"/>
    <s v="REG101149"/>
    <s v="Cust 4571"/>
    <n v="30.7"/>
    <x v="665"/>
    <x v="17"/>
    <d v="2023-08-10T00:00:00"/>
    <s v="Wendy"/>
  </r>
  <r>
    <d v="2023-08-21T00:00:00"/>
    <x v="0"/>
    <x v="0"/>
    <n v="3"/>
    <n v="142.09"/>
    <s v="Store C"/>
    <s v="Wholesale"/>
    <x v="2"/>
    <x v="2"/>
    <x v="1150"/>
    <x v="1"/>
    <x v="2"/>
    <x v="0"/>
    <s v="REG101150"/>
    <s v="Cust 6453"/>
    <n v="26.04"/>
    <x v="666"/>
    <x v="48"/>
    <d v="2023-08-27T00:00:00"/>
    <s v="Eric"/>
  </r>
  <r>
    <d v="2024-07-07T00:00:00"/>
    <x v="2"/>
    <x v="5"/>
    <n v="15"/>
    <n v="576.12"/>
    <s v="Store D"/>
    <s v="Retail"/>
    <x v="1"/>
    <x v="1"/>
    <x v="1151"/>
    <x v="0"/>
    <x v="2"/>
    <x v="0"/>
    <s v="REG101151"/>
    <s v="Cust 6982"/>
    <n v="29.31"/>
    <x v="99"/>
    <x v="9"/>
    <d v="2024-07-11T00:00:00"/>
    <s v="Ryan"/>
  </r>
  <r>
    <d v="2025-01-17T00:00:00"/>
    <x v="1"/>
    <x v="2"/>
    <n v="9"/>
    <n v="96.97"/>
    <s v="Store D"/>
    <s v="Retail"/>
    <x v="2"/>
    <x v="5"/>
    <x v="1152"/>
    <x v="2"/>
    <x v="2"/>
    <x v="1"/>
    <s v="REG101152"/>
    <s v="Cust 6824"/>
    <n v="30.87"/>
    <x v="50"/>
    <x v="11"/>
    <d v="2025-01-24T00:00:00"/>
    <s v="Sophie"/>
  </r>
  <r>
    <d v="2023-12-06T00:00:00"/>
    <x v="2"/>
    <x v="5"/>
    <n v="17"/>
    <n v="218.04"/>
    <s v="Store D"/>
    <s v="Wholesale"/>
    <x v="2"/>
    <x v="5"/>
    <x v="1153"/>
    <x v="4"/>
    <x v="3"/>
    <x v="0"/>
    <s v="REG101153"/>
    <s v="Cust 3172"/>
    <n v="16"/>
    <x v="667"/>
    <x v="21"/>
    <d v="2023-12-16T00:00:00"/>
    <s v="Ryan"/>
  </r>
  <r>
    <d v="2023-03-01T00:00:00"/>
    <x v="1"/>
    <x v="2"/>
    <n v="2"/>
    <n v="153.33000000000001"/>
    <s v="Store C"/>
    <s v="Wholesale"/>
    <x v="3"/>
    <x v="3"/>
    <x v="1154"/>
    <x v="4"/>
    <x v="3"/>
    <x v="0"/>
    <s v="REG101154"/>
    <s v="Cust 8146"/>
    <n v="31.55"/>
    <x v="565"/>
    <x v="3"/>
    <d v="2023-03-04T00:00:00"/>
    <s v="Sophie"/>
  </r>
  <r>
    <d v="2025-02-11T00:00:00"/>
    <x v="2"/>
    <x v="6"/>
    <n v="8"/>
    <n v="316.12"/>
    <s v="Store B"/>
    <s v="Wholesale"/>
    <x v="1"/>
    <x v="4"/>
    <x v="1155"/>
    <x v="1"/>
    <x v="2"/>
    <x v="0"/>
    <s v="REG101155"/>
    <s v="Cust 3299"/>
    <n v="6.28"/>
    <x v="668"/>
    <x v="22"/>
    <d v="2025-02-15T00:00:00"/>
    <s v="Ryan"/>
  </r>
  <r>
    <d v="2023-06-20T00:00:00"/>
    <x v="3"/>
    <x v="6"/>
    <n v="13"/>
    <n v="153.57"/>
    <s v="Store B"/>
    <s v="Wholesale"/>
    <x v="3"/>
    <x v="3"/>
    <x v="1156"/>
    <x v="1"/>
    <x v="3"/>
    <x v="0"/>
    <s v="REG101156"/>
    <s v="Cust 6476"/>
    <n v="27.98"/>
    <x v="300"/>
    <x v="4"/>
    <d v="2023-06-25T00:00:00"/>
    <s v="Cameron"/>
  </r>
  <r>
    <d v="2024-02-29T00:00:00"/>
    <x v="4"/>
    <x v="6"/>
    <n v="7"/>
    <n v="208.31"/>
    <s v="Store C"/>
    <s v="Wholesale"/>
    <x v="3"/>
    <x v="2"/>
    <x v="1157"/>
    <x v="0"/>
    <x v="1"/>
    <x v="0"/>
    <s v="REG101157"/>
    <s v="Cust 9835"/>
    <n v="26.57"/>
    <x v="459"/>
    <x v="3"/>
    <d v="2024-03-03T00:00:00"/>
    <s v="Wendy"/>
  </r>
  <r>
    <d v="2025-06-30T00:00:00"/>
    <x v="2"/>
    <x v="3"/>
    <n v="2"/>
    <n v="160.96"/>
    <s v="Store C"/>
    <s v="Wholesale"/>
    <x v="1"/>
    <x v="0"/>
    <x v="1158"/>
    <x v="1"/>
    <x v="2"/>
    <x v="0"/>
    <s v="REG101158"/>
    <s v="Cust 1003"/>
    <n v="44.97"/>
    <x v="148"/>
    <x v="49"/>
    <d v="2025-07-05T00:00:00"/>
    <s v="Ryan"/>
  </r>
  <r>
    <d v="2024-08-19T00:00:00"/>
    <x v="2"/>
    <x v="4"/>
    <n v="3"/>
    <n v="373.77"/>
    <s v="Store B"/>
    <s v="Retail"/>
    <x v="1"/>
    <x v="0"/>
    <x v="1159"/>
    <x v="4"/>
    <x v="2"/>
    <x v="1"/>
    <s v="REG101159"/>
    <s v="Cust 9705"/>
    <n v="17.62"/>
    <x v="363"/>
    <x v="48"/>
    <d v="2024-08-25T00:00:00"/>
    <s v="Ryan"/>
  </r>
  <r>
    <d v="2024-01-15T00:00:00"/>
    <x v="3"/>
    <x v="6"/>
    <n v="20"/>
    <n v="200.7"/>
    <s v="Store D"/>
    <s v="Retail"/>
    <x v="1"/>
    <x v="1"/>
    <x v="1160"/>
    <x v="0"/>
    <x v="0"/>
    <x v="0"/>
    <s v="REG101160"/>
    <s v="Cust 3421"/>
    <n v="29.6"/>
    <x v="481"/>
    <x v="11"/>
    <d v="2024-01-19T00:00:00"/>
    <s v="Cameron"/>
  </r>
  <r>
    <d v="2024-08-08T00:00:00"/>
    <x v="3"/>
    <x v="2"/>
    <n v="14"/>
    <n v="115.77"/>
    <s v="Store B"/>
    <s v="Wholesale"/>
    <x v="2"/>
    <x v="2"/>
    <x v="1161"/>
    <x v="2"/>
    <x v="1"/>
    <x v="1"/>
    <s v="REG101161"/>
    <s v="Cust 1690"/>
    <n v="20.12"/>
    <x v="669"/>
    <x v="17"/>
    <d v="2024-08-11T00:00:00"/>
    <s v="Cameron"/>
  </r>
  <r>
    <d v="2024-10-05T00:00:00"/>
    <x v="4"/>
    <x v="1"/>
    <n v="12"/>
    <n v="535.41"/>
    <s v="Store C"/>
    <s v="Retail"/>
    <x v="1"/>
    <x v="2"/>
    <x v="1162"/>
    <x v="1"/>
    <x v="3"/>
    <x v="0"/>
    <s v="REG101162"/>
    <s v="Cust 2507"/>
    <n v="27.82"/>
    <x v="198"/>
    <x v="35"/>
    <d v="2024-10-07T00:00:00"/>
    <s v="Wendy"/>
  </r>
  <r>
    <d v="2024-01-13T00:00:00"/>
    <x v="1"/>
    <x v="2"/>
    <n v="12"/>
    <n v="103.59"/>
    <s v="Store A"/>
    <s v="Retail"/>
    <x v="1"/>
    <x v="2"/>
    <x v="1163"/>
    <x v="3"/>
    <x v="0"/>
    <x v="0"/>
    <s v="REG101163"/>
    <s v="Cust 9880"/>
    <n v="48.11"/>
    <x v="576"/>
    <x v="5"/>
    <d v="2024-01-21T00:00:00"/>
    <s v="Sophie"/>
  </r>
  <r>
    <d v="2023-03-29T00:00:00"/>
    <x v="4"/>
    <x v="0"/>
    <n v="18"/>
    <n v="176.32"/>
    <s v="Store B"/>
    <s v="Wholesale"/>
    <x v="3"/>
    <x v="4"/>
    <x v="1164"/>
    <x v="3"/>
    <x v="3"/>
    <x v="0"/>
    <s v="REG101164"/>
    <s v="Cust 3972"/>
    <n v="36.35"/>
    <x v="88"/>
    <x v="41"/>
    <d v="2023-04-04T00:00:00"/>
    <s v="Wendy"/>
  </r>
  <r>
    <d v="2023-10-19T00:00:00"/>
    <x v="2"/>
    <x v="6"/>
    <n v="5"/>
    <n v="112.44"/>
    <s v="Store D"/>
    <s v="Retail"/>
    <x v="1"/>
    <x v="5"/>
    <x v="1165"/>
    <x v="2"/>
    <x v="3"/>
    <x v="1"/>
    <s v="REG101165"/>
    <s v="Cust 8280"/>
    <n v="7.46"/>
    <x v="544"/>
    <x v="6"/>
    <d v="2023-10-23T00:00:00"/>
    <s v="Ryan"/>
  </r>
  <r>
    <d v="2023-10-23T00:00:00"/>
    <x v="4"/>
    <x v="3"/>
    <n v="20"/>
    <n v="19.3"/>
    <s v="Store C"/>
    <s v="Wholesale"/>
    <x v="0"/>
    <x v="5"/>
    <x v="1166"/>
    <x v="3"/>
    <x v="1"/>
    <x v="0"/>
    <s v="REG101166"/>
    <s v="Cust 4205"/>
    <n v="47.23"/>
    <x v="25"/>
    <x v="19"/>
    <d v="2023-11-01T00:00:00"/>
    <s v="Wendy"/>
  </r>
  <r>
    <d v="2023-03-24T00:00:00"/>
    <x v="1"/>
    <x v="1"/>
    <n v="9"/>
    <n v="233.11"/>
    <s v="Store B"/>
    <s v="Retail"/>
    <x v="3"/>
    <x v="0"/>
    <x v="1167"/>
    <x v="3"/>
    <x v="2"/>
    <x v="0"/>
    <s v="REG101167"/>
    <s v="Cust 2579"/>
    <n v="31.43"/>
    <x v="601"/>
    <x v="26"/>
    <d v="2023-03-28T00:00:00"/>
    <s v="Sophie"/>
  </r>
  <r>
    <d v="2024-08-09T00:00:00"/>
    <x v="4"/>
    <x v="6"/>
    <n v="17"/>
    <n v="66.48"/>
    <s v="Store C"/>
    <s v="Wholesale"/>
    <x v="2"/>
    <x v="0"/>
    <x v="1168"/>
    <x v="1"/>
    <x v="2"/>
    <x v="1"/>
    <s v="REG101168"/>
    <s v="Cust 7265"/>
    <n v="10.79"/>
    <x v="649"/>
    <x v="17"/>
    <d v="2024-08-14T00:00:00"/>
    <s v="Wendy"/>
  </r>
  <r>
    <d v="2023-04-26T00:00:00"/>
    <x v="1"/>
    <x v="0"/>
    <n v="17"/>
    <n v="504.63"/>
    <s v="Store A"/>
    <s v="Wholesale"/>
    <x v="1"/>
    <x v="3"/>
    <x v="1169"/>
    <x v="0"/>
    <x v="2"/>
    <x v="1"/>
    <s v="REG101169"/>
    <s v="Cust 1199"/>
    <n v="48.33"/>
    <x v="394"/>
    <x v="42"/>
    <d v="2023-05-06T00:00:00"/>
    <s v="Sophie"/>
  </r>
  <r>
    <d v="2024-03-04T00:00:00"/>
    <x v="4"/>
    <x v="5"/>
    <n v="11"/>
    <n v="97.84"/>
    <s v="Store B"/>
    <s v="Retail"/>
    <x v="3"/>
    <x v="1"/>
    <x v="1170"/>
    <x v="3"/>
    <x v="1"/>
    <x v="1"/>
    <s v="REG101170"/>
    <s v="Cust 2928"/>
    <n v="45.97"/>
    <x v="615"/>
    <x v="7"/>
    <d v="2024-03-12T00:00:00"/>
    <s v="Wendy"/>
  </r>
  <r>
    <d v="2023-02-14T00:00:00"/>
    <x v="0"/>
    <x v="5"/>
    <n v="7"/>
    <n v="468.14"/>
    <s v="Store A"/>
    <s v="Retail"/>
    <x v="2"/>
    <x v="5"/>
    <x v="1171"/>
    <x v="4"/>
    <x v="1"/>
    <x v="0"/>
    <s v="REG101171"/>
    <s v="Cust 9447"/>
    <n v="47.56"/>
    <x v="169"/>
    <x v="22"/>
    <d v="2023-02-17T00:00:00"/>
    <s v="Eric"/>
  </r>
  <r>
    <d v="2023-04-28T00:00:00"/>
    <x v="4"/>
    <x v="5"/>
    <n v="20"/>
    <n v="476.69"/>
    <s v="Store B"/>
    <s v="Wholesale"/>
    <x v="3"/>
    <x v="5"/>
    <x v="1172"/>
    <x v="0"/>
    <x v="2"/>
    <x v="0"/>
    <s v="REG101172"/>
    <s v="Cust 9095"/>
    <n v="10.199999999999999"/>
    <x v="266"/>
    <x v="42"/>
    <d v="2023-05-03T00:00:00"/>
    <s v="Wendy"/>
  </r>
  <r>
    <d v="2024-03-03T00:00:00"/>
    <x v="2"/>
    <x v="1"/>
    <n v="2"/>
    <n v="160.72999999999999"/>
    <s v="Store A"/>
    <s v="Wholesale"/>
    <x v="2"/>
    <x v="2"/>
    <x v="1173"/>
    <x v="4"/>
    <x v="0"/>
    <x v="0"/>
    <s v="REG101173"/>
    <s v="Cust 7587"/>
    <n v="20.18"/>
    <x v="69"/>
    <x v="7"/>
    <d v="2024-03-11T00:00:00"/>
    <s v="Ryan"/>
  </r>
  <r>
    <d v="2024-09-04T00:00:00"/>
    <x v="4"/>
    <x v="5"/>
    <n v="9"/>
    <n v="228.98"/>
    <s v="Store D"/>
    <s v="Retail"/>
    <x v="2"/>
    <x v="2"/>
    <x v="1174"/>
    <x v="0"/>
    <x v="2"/>
    <x v="0"/>
    <s v="REG101174"/>
    <s v="Cust 2611"/>
    <n v="45.79"/>
    <x v="670"/>
    <x v="25"/>
    <d v="2024-09-08T00:00:00"/>
    <s v="Wendy"/>
  </r>
  <r>
    <d v="2024-12-30T00:00:00"/>
    <x v="0"/>
    <x v="5"/>
    <n v="19"/>
    <n v="336.5"/>
    <s v="Store B"/>
    <s v="Wholesale"/>
    <x v="0"/>
    <x v="1"/>
    <x v="1175"/>
    <x v="0"/>
    <x v="2"/>
    <x v="0"/>
    <s v="REG101175"/>
    <s v="Cust 8284"/>
    <n v="27.43"/>
    <x v="671"/>
    <x v="52"/>
    <d v="2025-01-07T00:00:00"/>
    <s v="Eric"/>
  </r>
  <r>
    <d v="2024-02-10T00:00:00"/>
    <x v="0"/>
    <x v="6"/>
    <n v="18"/>
    <n v="411.59"/>
    <s v="Store A"/>
    <s v="Wholesale"/>
    <x v="0"/>
    <x v="5"/>
    <x v="1176"/>
    <x v="2"/>
    <x v="2"/>
    <x v="0"/>
    <s v="REG101176"/>
    <s v="Cust 8154"/>
    <n v="9.6199999999999992"/>
    <x v="672"/>
    <x v="29"/>
    <d v="2024-02-16T00:00:00"/>
    <s v="Eric"/>
  </r>
  <r>
    <d v="2023-09-07T00:00:00"/>
    <x v="3"/>
    <x v="6"/>
    <n v="1"/>
    <n v="431.49"/>
    <s v="Store C"/>
    <s v="Wholesale"/>
    <x v="2"/>
    <x v="1"/>
    <x v="1177"/>
    <x v="4"/>
    <x v="1"/>
    <x v="0"/>
    <s v="REG101177"/>
    <s v="Cust 5215"/>
    <n v="17.53"/>
    <x v="288"/>
    <x v="25"/>
    <d v="2023-09-15T00:00:00"/>
    <s v="Cameron"/>
  </r>
  <r>
    <d v="2023-08-11T00:00:00"/>
    <x v="0"/>
    <x v="0"/>
    <n v="18"/>
    <n v="495.39"/>
    <s v="Store A"/>
    <s v="Wholesale"/>
    <x v="0"/>
    <x v="3"/>
    <x v="1178"/>
    <x v="1"/>
    <x v="1"/>
    <x v="0"/>
    <s v="REG101178"/>
    <s v="Cust 5309"/>
    <n v="14.88"/>
    <x v="673"/>
    <x v="17"/>
    <d v="2023-08-15T00:00:00"/>
    <s v="Eric"/>
  </r>
  <r>
    <d v="2023-03-12T00:00:00"/>
    <x v="4"/>
    <x v="1"/>
    <n v="4"/>
    <n v="149.30000000000001"/>
    <s v="Store A"/>
    <s v="Wholesale"/>
    <x v="1"/>
    <x v="4"/>
    <x v="1179"/>
    <x v="3"/>
    <x v="0"/>
    <x v="0"/>
    <s v="REG101179"/>
    <s v="Cust 2016"/>
    <n v="47.84"/>
    <x v="504"/>
    <x v="23"/>
    <d v="2023-03-16T00:00:00"/>
    <s v="Wendy"/>
  </r>
  <r>
    <d v="2023-03-29T00:00:00"/>
    <x v="3"/>
    <x v="2"/>
    <n v="18"/>
    <n v="179.97"/>
    <s v="Store C"/>
    <s v="Wholesale"/>
    <x v="1"/>
    <x v="0"/>
    <x v="1180"/>
    <x v="4"/>
    <x v="1"/>
    <x v="0"/>
    <s v="REG101180"/>
    <s v="Cust 2676"/>
    <n v="22.15"/>
    <x v="88"/>
    <x v="41"/>
    <d v="2023-03-31T00:00:00"/>
    <s v="Cameron"/>
  </r>
  <r>
    <d v="2025-02-17T00:00:00"/>
    <x v="1"/>
    <x v="3"/>
    <n v="11"/>
    <n v="381.14"/>
    <s v="Store B"/>
    <s v="Retail"/>
    <x v="3"/>
    <x v="2"/>
    <x v="1181"/>
    <x v="1"/>
    <x v="0"/>
    <x v="0"/>
    <s v="REG101181"/>
    <s v="Cust 7529"/>
    <n v="32.83"/>
    <x v="130"/>
    <x v="0"/>
    <d v="2025-02-27T00:00:00"/>
    <s v="Sophie"/>
  </r>
  <r>
    <d v="2024-01-07T00:00:00"/>
    <x v="2"/>
    <x v="3"/>
    <n v="5"/>
    <n v="454.62"/>
    <s v="Store C"/>
    <s v="Wholesale"/>
    <x v="3"/>
    <x v="4"/>
    <x v="1182"/>
    <x v="1"/>
    <x v="3"/>
    <x v="0"/>
    <s v="REG101182"/>
    <s v="Cust 6172"/>
    <n v="10.19"/>
    <x v="674"/>
    <x v="5"/>
    <d v="2024-01-15T00:00:00"/>
    <s v="Ryan"/>
  </r>
  <r>
    <d v="2023-01-14T00:00:00"/>
    <x v="0"/>
    <x v="1"/>
    <n v="17"/>
    <n v="226.56"/>
    <s v="Store A"/>
    <s v="Wholesale"/>
    <x v="1"/>
    <x v="4"/>
    <x v="1183"/>
    <x v="1"/>
    <x v="2"/>
    <x v="1"/>
    <s v="REG101183"/>
    <s v="Cust 2527"/>
    <n v="36.89"/>
    <x v="675"/>
    <x v="5"/>
    <d v="2023-01-20T00:00:00"/>
    <s v="Eric"/>
  </r>
  <r>
    <d v="2024-01-03T00:00:00"/>
    <x v="4"/>
    <x v="0"/>
    <n v="2"/>
    <n v="132.91"/>
    <s v="Store A"/>
    <s v="Wholesale"/>
    <x v="0"/>
    <x v="5"/>
    <x v="1184"/>
    <x v="3"/>
    <x v="2"/>
    <x v="0"/>
    <s v="REG101184"/>
    <s v="Cust 1970"/>
    <n v="7.76"/>
    <x v="150"/>
    <x v="31"/>
    <d v="2024-01-12T00:00:00"/>
    <s v="Wendy"/>
  </r>
  <r>
    <d v="2023-08-25T00:00:00"/>
    <x v="1"/>
    <x v="2"/>
    <n v="2"/>
    <n v="35.69"/>
    <s v="Store C"/>
    <s v="Retail"/>
    <x v="0"/>
    <x v="0"/>
    <x v="1185"/>
    <x v="3"/>
    <x v="0"/>
    <x v="0"/>
    <s v="REG101185"/>
    <s v="Cust 9543"/>
    <n v="39.89"/>
    <x v="294"/>
    <x v="48"/>
    <d v="2023-08-28T00:00:00"/>
    <s v="Sophie"/>
  </r>
  <r>
    <d v="2025-05-16T00:00:00"/>
    <x v="2"/>
    <x v="2"/>
    <n v="6"/>
    <n v="451.93"/>
    <s v="Store A"/>
    <s v="Wholesale"/>
    <x v="2"/>
    <x v="0"/>
    <x v="1186"/>
    <x v="4"/>
    <x v="2"/>
    <x v="1"/>
    <s v="REG101186"/>
    <s v="Cust 2957"/>
    <n v="49.37"/>
    <x v="120"/>
    <x v="13"/>
    <d v="2025-05-25T00:00:00"/>
    <s v="Ryan"/>
  </r>
  <r>
    <d v="2023-12-30T00:00:00"/>
    <x v="1"/>
    <x v="0"/>
    <n v="7"/>
    <n v="270.47000000000003"/>
    <s v="Store D"/>
    <s v="Wholesale"/>
    <x v="3"/>
    <x v="4"/>
    <x v="1187"/>
    <x v="2"/>
    <x v="2"/>
    <x v="1"/>
    <s v="REG101187"/>
    <s v="Cust 2852"/>
    <n v="41.56"/>
    <x v="479"/>
    <x v="37"/>
    <d v="2024-01-03T00:00:00"/>
    <s v="Sophie"/>
  </r>
  <r>
    <d v="2024-10-06T00:00:00"/>
    <x v="1"/>
    <x v="1"/>
    <n v="13"/>
    <n v="55.46"/>
    <s v="Store A"/>
    <s v="Retail"/>
    <x v="3"/>
    <x v="5"/>
    <x v="1188"/>
    <x v="2"/>
    <x v="0"/>
    <x v="1"/>
    <s v="REG101188"/>
    <s v="Cust 6365"/>
    <n v="18.010000000000002"/>
    <x v="676"/>
    <x v="51"/>
    <d v="2024-10-09T00:00:00"/>
    <s v="Sophie"/>
  </r>
  <r>
    <d v="2023-03-12T00:00:00"/>
    <x v="3"/>
    <x v="5"/>
    <n v="17"/>
    <n v="515.12"/>
    <s v="Store D"/>
    <s v="Wholesale"/>
    <x v="2"/>
    <x v="5"/>
    <x v="1189"/>
    <x v="2"/>
    <x v="1"/>
    <x v="1"/>
    <s v="REG101189"/>
    <s v="Cust 9159"/>
    <n v="32.74"/>
    <x v="504"/>
    <x v="23"/>
    <d v="2023-03-22T00:00:00"/>
    <s v="Cameron"/>
  </r>
  <r>
    <d v="2024-04-06T00:00:00"/>
    <x v="2"/>
    <x v="1"/>
    <n v="1"/>
    <n v="256.63"/>
    <s v="Store D"/>
    <s v="Wholesale"/>
    <x v="0"/>
    <x v="3"/>
    <x v="1190"/>
    <x v="1"/>
    <x v="0"/>
    <x v="0"/>
    <s v="REG101190"/>
    <s v="Cust 3252"/>
    <n v="12.97"/>
    <x v="419"/>
    <x v="24"/>
    <d v="2024-04-08T00:00:00"/>
    <s v="Ryan"/>
  </r>
  <r>
    <d v="2023-01-20T00:00:00"/>
    <x v="2"/>
    <x v="5"/>
    <n v="4"/>
    <n v="423.99"/>
    <s v="Store B"/>
    <s v="Retail"/>
    <x v="3"/>
    <x v="2"/>
    <x v="1191"/>
    <x v="0"/>
    <x v="0"/>
    <x v="0"/>
    <s v="REG101191"/>
    <s v="Cust 8679"/>
    <n v="20.05"/>
    <x v="411"/>
    <x v="11"/>
    <d v="2023-01-25T00:00:00"/>
    <s v="Ryan"/>
  </r>
  <r>
    <d v="2024-07-08T00:00:00"/>
    <x v="4"/>
    <x v="0"/>
    <n v="15"/>
    <n v="77.89"/>
    <s v="Store B"/>
    <s v="Wholesale"/>
    <x v="3"/>
    <x v="4"/>
    <x v="1192"/>
    <x v="2"/>
    <x v="3"/>
    <x v="0"/>
    <s v="REG101192"/>
    <s v="Cust 5547"/>
    <n v="20.87"/>
    <x v="172"/>
    <x v="9"/>
    <d v="2024-07-12T00:00:00"/>
    <s v="Wendy"/>
  </r>
  <r>
    <d v="2023-10-06T00:00:00"/>
    <x v="2"/>
    <x v="1"/>
    <n v="12"/>
    <n v="11.95"/>
    <s v="Store A"/>
    <s v="Retail"/>
    <x v="3"/>
    <x v="3"/>
    <x v="1193"/>
    <x v="0"/>
    <x v="3"/>
    <x v="0"/>
    <s v="REG101193"/>
    <s v="Cust 9438"/>
    <n v="26.66"/>
    <x v="677"/>
    <x v="35"/>
    <d v="2023-10-16T00:00:00"/>
    <s v="Ryan"/>
  </r>
  <r>
    <d v="2023-09-11T00:00:00"/>
    <x v="0"/>
    <x v="2"/>
    <n v="7"/>
    <n v="67.05"/>
    <s v="Store D"/>
    <s v="Wholesale"/>
    <x v="1"/>
    <x v="3"/>
    <x v="1194"/>
    <x v="4"/>
    <x v="0"/>
    <x v="0"/>
    <s v="REG101194"/>
    <s v="Cust 9092"/>
    <n v="36.67"/>
    <x v="471"/>
    <x v="30"/>
    <d v="2023-09-18T00:00:00"/>
    <s v="Eric"/>
  </r>
  <r>
    <d v="2023-09-14T00:00:00"/>
    <x v="2"/>
    <x v="1"/>
    <n v="19"/>
    <n v="118.15"/>
    <s v="Store C"/>
    <s v="Retail"/>
    <x v="2"/>
    <x v="2"/>
    <x v="1195"/>
    <x v="4"/>
    <x v="1"/>
    <x v="0"/>
    <s v="REG101195"/>
    <s v="Cust 7007"/>
    <n v="12.95"/>
    <x v="242"/>
    <x v="30"/>
    <d v="2023-09-19T00:00:00"/>
    <s v="Ryan"/>
  </r>
  <r>
    <d v="2023-11-06T00:00:00"/>
    <x v="2"/>
    <x v="6"/>
    <n v="16"/>
    <n v="114.47"/>
    <s v="Store B"/>
    <s v="Wholesale"/>
    <x v="2"/>
    <x v="3"/>
    <x v="1196"/>
    <x v="0"/>
    <x v="3"/>
    <x v="0"/>
    <s v="REG101196"/>
    <s v="Cust 3001"/>
    <n v="43.85"/>
    <x v="265"/>
    <x v="47"/>
    <d v="2023-11-11T00:00:00"/>
    <s v="Ryan"/>
  </r>
  <r>
    <d v="2024-06-23T00:00:00"/>
    <x v="2"/>
    <x v="4"/>
    <n v="9"/>
    <n v="36.21"/>
    <s v="Store C"/>
    <s v="Wholesale"/>
    <x v="2"/>
    <x v="5"/>
    <x v="1197"/>
    <x v="2"/>
    <x v="0"/>
    <x v="0"/>
    <s v="REG101197"/>
    <s v="Cust 5771"/>
    <n v="6.71"/>
    <x v="678"/>
    <x v="28"/>
    <d v="2024-06-30T00:00:00"/>
    <s v="Ryan"/>
  </r>
  <r>
    <d v="2023-03-30T00:00:00"/>
    <x v="4"/>
    <x v="6"/>
    <n v="10"/>
    <n v="52.58"/>
    <s v="Store B"/>
    <s v="Wholesale"/>
    <x v="1"/>
    <x v="0"/>
    <x v="1198"/>
    <x v="4"/>
    <x v="2"/>
    <x v="0"/>
    <s v="REG101198"/>
    <s v="Cust 4317"/>
    <n v="14.01"/>
    <x v="306"/>
    <x v="41"/>
    <d v="2023-04-09T00:00:00"/>
    <s v="Wendy"/>
  </r>
  <r>
    <d v="2024-10-05T00:00:00"/>
    <x v="0"/>
    <x v="1"/>
    <n v="6"/>
    <n v="272.26"/>
    <s v="Store A"/>
    <s v="Retail"/>
    <x v="1"/>
    <x v="3"/>
    <x v="1199"/>
    <x v="3"/>
    <x v="1"/>
    <x v="0"/>
    <s v="REG101199"/>
    <s v="Cust 3627"/>
    <n v="43.67"/>
    <x v="198"/>
    <x v="35"/>
    <d v="2024-10-15T00:00:00"/>
    <s v="Eric"/>
  </r>
  <r>
    <d v="2023-03-19T00:00:00"/>
    <x v="3"/>
    <x v="3"/>
    <n v="10"/>
    <n v="124.97"/>
    <s v="Store D"/>
    <s v="Retail"/>
    <x v="2"/>
    <x v="0"/>
    <x v="1200"/>
    <x v="1"/>
    <x v="2"/>
    <x v="1"/>
    <s v="REG101200"/>
    <s v="Cust 4433"/>
    <n v="40.229999999999997"/>
    <x v="127"/>
    <x v="26"/>
    <d v="2023-03-29T00:00:00"/>
    <s v="Cameron"/>
  </r>
  <r>
    <d v="2025-03-17T00:00:00"/>
    <x v="2"/>
    <x v="1"/>
    <n v="9"/>
    <n v="228.62"/>
    <s v="Store C"/>
    <s v="Retail"/>
    <x v="3"/>
    <x v="0"/>
    <x v="1201"/>
    <x v="1"/>
    <x v="1"/>
    <x v="0"/>
    <s v="REG101201"/>
    <s v="Cust 6231"/>
    <n v="31.43"/>
    <x v="253"/>
    <x v="26"/>
    <d v="2025-03-21T00:00:00"/>
    <s v="Ryan"/>
  </r>
  <r>
    <d v="2024-12-18T00:00:00"/>
    <x v="3"/>
    <x v="0"/>
    <n v="20"/>
    <n v="282.91000000000003"/>
    <s v="Store A"/>
    <s v="Wholesale"/>
    <x v="2"/>
    <x v="2"/>
    <x v="1202"/>
    <x v="3"/>
    <x v="0"/>
    <x v="0"/>
    <s v="REG101202"/>
    <s v="Cust 8987"/>
    <n v="8.19"/>
    <x v="227"/>
    <x v="1"/>
    <d v="2024-12-28T00:00:00"/>
    <s v="Cameron"/>
  </r>
  <r>
    <d v="2025-01-06T00:00:00"/>
    <x v="4"/>
    <x v="5"/>
    <n v="17"/>
    <n v="129.62"/>
    <s v="Store D"/>
    <s v="Retail"/>
    <x v="2"/>
    <x v="0"/>
    <x v="1203"/>
    <x v="0"/>
    <x v="0"/>
    <x v="0"/>
    <s v="REG101203"/>
    <s v="Cust 4510"/>
    <n v="24.28"/>
    <x v="428"/>
    <x v="5"/>
    <d v="2025-01-08T00:00:00"/>
    <s v="Wendy"/>
  </r>
  <r>
    <d v="2025-01-14T00:00:00"/>
    <x v="3"/>
    <x v="4"/>
    <n v="6"/>
    <n v="162.35"/>
    <s v="Store B"/>
    <s v="Wholesale"/>
    <x v="3"/>
    <x v="0"/>
    <x v="1204"/>
    <x v="2"/>
    <x v="1"/>
    <x v="1"/>
    <s v="REG101204"/>
    <s v="Cust 7003"/>
    <n v="19.18"/>
    <x v="679"/>
    <x v="11"/>
    <d v="2025-01-20T00:00:00"/>
    <s v="Cameron"/>
  </r>
  <r>
    <d v="2023-01-26T00:00:00"/>
    <x v="1"/>
    <x v="6"/>
    <n v="14"/>
    <n v="209.82"/>
    <s v="Store B"/>
    <s v="Wholesale"/>
    <x v="0"/>
    <x v="0"/>
    <x v="1205"/>
    <x v="4"/>
    <x v="1"/>
    <x v="0"/>
    <s v="REG101205"/>
    <s v="Cust 6546"/>
    <n v="36.11"/>
    <x v="592"/>
    <x v="34"/>
    <d v="2023-01-30T00:00:00"/>
    <s v="Sophie"/>
  </r>
  <r>
    <d v="2024-08-04T00:00:00"/>
    <x v="2"/>
    <x v="0"/>
    <n v="16"/>
    <n v="293.44"/>
    <s v="Store D"/>
    <s v="Wholesale"/>
    <x v="3"/>
    <x v="4"/>
    <x v="1206"/>
    <x v="1"/>
    <x v="1"/>
    <x v="0"/>
    <s v="REG101206"/>
    <s v="Cust 2951"/>
    <n v="42.56"/>
    <x v="270"/>
    <x v="17"/>
    <d v="2024-08-14T00:00:00"/>
    <s v="Ryan"/>
  </r>
  <r>
    <d v="2024-02-13T00:00:00"/>
    <x v="2"/>
    <x v="1"/>
    <n v="11"/>
    <n v="185.52"/>
    <s v="Store D"/>
    <s v="Wholesale"/>
    <x v="2"/>
    <x v="4"/>
    <x v="1207"/>
    <x v="2"/>
    <x v="2"/>
    <x v="0"/>
    <s v="REG101207"/>
    <s v="Cust 4673"/>
    <n v="38.53"/>
    <x v="30"/>
    <x v="22"/>
    <d v="2024-02-16T00:00:00"/>
    <s v="Ryan"/>
  </r>
  <r>
    <d v="2023-02-11T00:00:00"/>
    <x v="3"/>
    <x v="2"/>
    <n v="18"/>
    <n v="268.38"/>
    <s v="Store D"/>
    <s v="Wholesale"/>
    <x v="2"/>
    <x v="1"/>
    <x v="1208"/>
    <x v="4"/>
    <x v="0"/>
    <x v="0"/>
    <s v="REG101208"/>
    <s v="Cust 5988"/>
    <n v="48.38"/>
    <x v="70"/>
    <x v="29"/>
    <d v="2023-02-14T00:00:00"/>
    <s v="Cameron"/>
  </r>
  <r>
    <d v="2024-06-17T00:00:00"/>
    <x v="0"/>
    <x v="6"/>
    <n v="18"/>
    <n v="547.04999999999995"/>
    <s v="Store C"/>
    <s v="Wholesale"/>
    <x v="1"/>
    <x v="3"/>
    <x v="1209"/>
    <x v="4"/>
    <x v="0"/>
    <x v="0"/>
    <s v="REG101209"/>
    <s v="Cust 3922"/>
    <n v="10.99"/>
    <x v="545"/>
    <x v="4"/>
    <d v="2024-06-22T00:00:00"/>
    <s v="Eric"/>
  </r>
  <r>
    <d v="2024-06-06T00:00:00"/>
    <x v="1"/>
    <x v="0"/>
    <n v="1"/>
    <n v="354.21"/>
    <s v="Store A"/>
    <s v="Wholesale"/>
    <x v="2"/>
    <x v="3"/>
    <x v="1210"/>
    <x v="0"/>
    <x v="3"/>
    <x v="0"/>
    <s v="REG101210"/>
    <s v="Cust 9853"/>
    <n v="26.16"/>
    <x v="566"/>
    <x v="16"/>
    <d v="2024-06-12T00:00:00"/>
    <s v="Sophie"/>
  </r>
  <r>
    <d v="2023-11-26T00:00:00"/>
    <x v="1"/>
    <x v="3"/>
    <n v="18"/>
    <n v="250.93"/>
    <s v="Store C"/>
    <s v="Wholesale"/>
    <x v="3"/>
    <x v="5"/>
    <x v="1211"/>
    <x v="1"/>
    <x v="3"/>
    <x v="0"/>
    <s v="REG101211"/>
    <s v="Cust 6168"/>
    <n v="47.67"/>
    <x v="168"/>
    <x v="15"/>
    <d v="2023-12-02T00:00:00"/>
    <s v="Sophie"/>
  </r>
  <r>
    <d v="2024-04-07T00:00:00"/>
    <x v="4"/>
    <x v="6"/>
    <n v="18"/>
    <n v="587.25"/>
    <s v="Store C"/>
    <s v="Wholesale"/>
    <x v="2"/>
    <x v="3"/>
    <x v="1212"/>
    <x v="0"/>
    <x v="3"/>
    <x v="0"/>
    <s v="REG101212"/>
    <s v="Cust 3175"/>
    <n v="42.15"/>
    <x v="680"/>
    <x v="8"/>
    <d v="2024-04-09T00:00:00"/>
    <s v="Wendy"/>
  </r>
  <r>
    <d v="2023-02-03T00:00:00"/>
    <x v="4"/>
    <x v="2"/>
    <n v="2"/>
    <n v="438.06"/>
    <s v="Store B"/>
    <s v="Retail"/>
    <x v="0"/>
    <x v="2"/>
    <x v="1213"/>
    <x v="0"/>
    <x v="0"/>
    <x v="1"/>
    <s v="REG101213"/>
    <s v="Cust 1813"/>
    <n v="12.9"/>
    <x v="151"/>
    <x v="43"/>
    <d v="2023-02-09T00:00:00"/>
    <s v="Wendy"/>
  </r>
  <r>
    <d v="2024-11-25T00:00:00"/>
    <x v="0"/>
    <x v="3"/>
    <n v="14"/>
    <n v="6.1"/>
    <s v="Store C"/>
    <s v="Wholesale"/>
    <x v="2"/>
    <x v="3"/>
    <x v="1214"/>
    <x v="0"/>
    <x v="0"/>
    <x v="1"/>
    <s v="REG101214"/>
    <s v="Cust 7749"/>
    <n v="10.18"/>
    <x v="681"/>
    <x v="15"/>
    <d v="2024-11-30T00:00:00"/>
    <s v="Eric"/>
  </r>
  <r>
    <d v="2024-06-30T00:00:00"/>
    <x v="2"/>
    <x v="0"/>
    <n v="2"/>
    <n v="80.14"/>
    <s v="Store D"/>
    <s v="Wholesale"/>
    <x v="0"/>
    <x v="3"/>
    <x v="1215"/>
    <x v="0"/>
    <x v="0"/>
    <x v="1"/>
    <s v="REG101215"/>
    <s v="Cust 3416"/>
    <n v="13.41"/>
    <x v="261"/>
    <x v="49"/>
    <d v="2024-07-03T00:00:00"/>
    <s v="Ryan"/>
  </r>
  <r>
    <d v="2023-08-02T00:00:00"/>
    <x v="1"/>
    <x v="0"/>
    <n v="11"/>
    <n v="66.97"/>
    <s v="Store A"/>
    <s v="Retail"/>
    <x v="2"/>
    <x v="5"/>
    <x v="1216"/>
    <x v="1"/>
    <x v="0"/>
    <x v="1"/>
    <s v="REG101216"/>
    <s v="Cust 7066"/>
    <n v="20.350000000000001"/>
    <x v="562"/>
    <x v="36"/>
    <d v="2023-08-11T00:00:00"/>
    <s v="Sophie"/>
  </r>
  <r>
    <d v="2024-02-22T00:00:00"/>
    <x v="1"/>
    <x v="3"/>
    <n v="6"/>
    <n v="181.34"/>
    <s v="Store A"/>
    <s v="Wholesale"/>
    <x v="0"/>
    <x v="1"/>
    <x v="1217"/>
    <x v="4"/>
    <x v="0"/>
    <x v="0"/>
    <s v="REG101217"/>
    <s v="Cust 5180"/>
    <n v="27.65"/>
    <x v="193"/>
    <x v="0"/>
    <d v="2024-02-27T00:00:00"/>
    <s v="Sophie"/>
  </r>
  <r>
    <d v="2024-11-29T00:00:00"/>
    <x v="2"/>
    <x v="4"/>
    <n v="15"/>
    <n v="570"/>
    <s v="Store D"/>
    <s v="Wholesale"/>
    <x v="3"/>
    <x v="2"/>
    <x v="1218"/>
    <x v="1"/>
    <x v="3"/>
    <x v="0"/>
    <s v="REG101218"/>
    <s v="Cust 6246"/>
    <n v="7.62"/>
    <x v="682"/>
    <x v="15"/>
    <d v="2024-12-09T00:00:00"/>
    <s v="Ryan"/>
  </r>
  <r>
    <d v="2023-07-21T00:00:00"/>
    <x v="2"/>
    <x v="4"/>
    <n v="9"/>
    <n v="587.79"/>
    <s v="Store D"/>
    <s v="Wholesale"/>
    <x v="2"/>
    <x v="5"/>
    <x v="1219"/>
    <x v="0"/>
    <x v="3"/>
    <x v="0"/>
    <s v="REG101219"/>
    <s v="Cust 4182"/>
    <n v="24.64"/>
    <x v="12"/>
    <x v="10"/>
    <d v="2023-07-31T00:00:00"/>
    <s v="Ryan"/>
  </r>
  <r>
    <d v="2023-04-14T00:00:00"/>
    <x v="3"/>
    <x v="1"/>
    <n v="6"/>
    <n v="196.31"/>
    <s v="Store C"/>
    <s v="Retail"/>
    <x v="1"/>
    <x v="3"/>
    <x v="1220"/>
    <x v="0"/>
    <x v="2"/>
    <x v="0"/>
    <s v="REG101220"/>
    <s v="Cust 6843"/>
    <n v="38.65"/>
    <x v="271"/>
    <x v="8"/>
    <d v="2023-04-17T00:00:00"/>
    <s v="Cameron"/>
  </r>
  <r>
    <d v="2023-02-01T00:00:00"/>
    <x v="2"/>
    <x v="1"/>
    <n v="8"/>
    <n v="430.06"/>
    <s v="Store B"/>
    <s v="Wholesale"/>
    <x v="3"/>
    <x v="5"/>
    <x v="1221"/>
    <x v="3"/>
    <x v="1"/>
    <x v="0"/>
    <s v="REG101221"/>
    <s v="Cust 6844"/>
    <n v="38.450000000000003"/>
    <x v="307"/>
    <x v="43"/>
    <d v="2023-02-05T00:00:00"/>
    <s v="Ryan"/>
  </r>
  <r>
    <d v="2024-06-30T00:00:00"/>
    <x v="0"/>
    <x v="4"/>
    <n v="14"/>
    <n v="429.72"/>
    <s v="Store A"/>
    <s v="Retail"/>
    <x v="1"/>
    <x v="0"/>
    <x v="1222"/>
    <x v="4"/>
    <x v="1"/>
    <x v="0"/>
    <s v="REG101222"/>
    <s v="Cust 3248"/>
    <n v="45.78"/>
    <x v="261"/>
    <x v="49"/>
    <d v="2024-07-05T00:00:00"/>
    <s v="Eric"/>
  </r>
  <r>
    <d v="2023-10-18T00:00:00"/>
    <x v="3"/>
    <x v="1"/>
    <n v="13"/>
    <n v="127.34"/>
    <s v="Store D"/>
    <s v="Wholesale"/>
    <x v="0"/>
    <x v="1"/>
    <x v="1223"/>
    <x v="2"/>
    <x v="2"/>
    <x v="0"/>
    <s v="REG101223"/>
    <s v="Cust 5226"/>
    <n v="6.15"/>
    <x v="90"/>
    <x v="6"/>
    <d v="2023-10-21T00:00:00"/>
    <s v="Cameron"/>
  </r>
  <r>
    <d v="2024-07-04T00:00:00"/>
    <x v="0"/>
    <x v="4"/>
    <n v="6"/>
    <n v="421.97"/>
    <s v="Store B"/>
    <s v="Wholesale"/>
    <x v="3"/>
    <x v="5"/>
    <x v="1224"/>
    <x v="4"/>
    <x v="2"/>
    <x v="0"/>
    <s v="REG101224"/>
    <s v="Cust 9804"/>
    <n v="41.31"/>
    <x v="532"/>
    <x v="49"/>
    <d v="2024-07-13T00:00:00"/>
    <s v="Eric"/>
  </r>
  <r>
    <d v="2024-07-04T00:00:00"/>
    <x v="0"/>
    <x v="5"/>
    <n v="5"/>
    <n v="225.69"/>
    <s v="Store A"/>
    <s v="Wholesale"/>
    <x v="2"/>
    <x v="3"/>
    <x v="1225"/>
    <x v="1"/>
    <x v="2"/>
    <x v="0"/>
    <s v="REG101225"/>
    <s v="Cust 3990"/>
    <n v="47.6"/>
    <x v="532"/>
    <x v="49"/>
    <d v="2024-07-12T00:00:00"/>
    <s v="Eric"/>
  </r>
  <r>
    <d v="2023-07-27T00:00:00"/>
    <x v="2"/>
    <x v="4"/>
    <n v="10"/>
    <n v="322.11"/>
    <s v="Store A"/>
    <s v="Retail"/>
    <x v="2"/>
    <x v="4"/>
    <x v="1226"/>
    <x v="3"/>
    <x v="2"/>
    <x v="0"/>
    <s v="REG101226"/>
    <s v="Cust 5106"/>
    <n v="28.72"/>
    <x v="74"/>
    <x v="27"/>
    <d v="2023-08-02T00:00:00"/>
    <s v="Ryan"/>
  </r>
  <r>
    <d v="2025-03-01T00:00:00"/>
    <x v="4"/>
    <x v="2"/>
    <n v="4"/>
    <n v="209.3"/>
    <s v="Store B"/>
    <s v="Retail"/>
    <x v="3"/>
    <x v="1"/>
    <x v="1227"/>
    <x v="1"/>
    <x v="3"/>
    <x v="0"/>
    <s v="REG101227"/>
    <s v="Cust 3448"/>
    <n v="6.89"/>
    <x v="89"/>
    <x v="3"/>
    <d v="2025-03-06T00:00:00"/>
    <s v="Wendy"/>
  </r>
  <r>
    <d v="2023-02-23T00:00:00"/>
    <x v="3"/>
    <x v="2"/>
    <n v="16"/>
    <n v="326.16000000000003"/>
    <s v="Store C"/>
    <s v="Wholesale"/>
    <x v="1"/>
    <x v="2"/>
    <x v="1228"/>
    <x v="2"/>
    <x v="3"/>
    <x v="0"/>
    <s v="REG101228"/>
    <s v="Cust 1439"/>
    <n v="44.3"/>
    <x v="0"/>
    <x v="0"/>
    <d v="2023-02-25T00:00:00"/>
    <s v="Cameron"/>
  </r>
  <r>
    <d v="2023-01-11T00:00:00"/>
    <x v="0"/>
    <x v="4"/>
    <n v="13"/>
    <n v="515.41999999999996"/>
    <s v="Store D"/>
    <s v="Retail"/>
    <x v="0"/>
    <x v="5"/>
    <x v="1229"/>
    <x v="0"/>
    <x v="0"/>
    <x v="0"/>
    <s v="REG101229"/>
    <s v="Cust 5342"/>
    <n v="43.37"/>
    <x v="6"/>
    <x v="5"/>
    <d v="2023-01-20T00:00:00"/>
    <s v="Eric"/>
  </r>
  <r>
    <d v="2024-04-16T00:00:00"/>
    <x v="4"/>
    <x v="5"/>
    <n v="7"/>
    <n v="129.83000000000001"/>
    <s v="Store A"/>
    <s v="Wholesale"/>
    <x v="0"/>
    <x v="3"/>
    <x v="1230"/>
    <x v="1"/>
    <x v="2"/>
    <x v="0"/>
    <s v="REG101230"/>
    <s v="Cust 4564"/>
    <n v="13.12"/>
    <x v="683"/>
    <x v="32"/>
    <d v="2024-04-20T00:00:00"/>
    <s v="Wendy"/>
  </r>
  <r>
    <d v="2024-03-09T00:00:00"/>
    <x v="3"/>
    <x v="4"/>
    <n v="17"/>
    <n v="376.15"/>
    <s v="Store C"/>
    <s v="Retail"/>
    <x v="3"/>
    <x v="4"/>
    <x v="1231"/>
    <x v="1"/>
    <x v="2"/>
    <x v="1"/>
    <s v="REG101231"/>
    <s v="Cust 6441"/>
    <n v="31.96"/>
    <x v="542"/>
    <x v="7"/>
    <d v="2024-03-12T00:00:00"/>
    <s v="Cameron"/>
  </r>
  <r>
    <d v="2024-10-07T00:00:00"/>
    <x v="1"/>
    <x v="3"/>
    <n v="8"/>
    <n v="385.46"/>
    <s v="Store A"/>
    <s v="Wholesale"/>
    <x v="0"/>
    <x v="5"/>
    <x v="1232"/>
    <x v="4"/>
    <x v="1"/>
    <x v="0"/>
    <s v="REG101232"/>
    <s v="Cust 7591"/>
    <n v="8.89"/>
    <x v="263"/>
    <x v="51"/>
    <d v="2024-10-11T00:00:00"/>
    <s v="Sophie"/>
  </r>
  <r>
    <d v="2023-10-06T00:00:00"/>
    <x v="4"/>
    <x v="6"/>
    <n v="2"/>
    <n v="474.13"/>
    <s v="Store D"/>
    <s v="Wholesale"/>
    <x v="0"/>
    <x v="3"/>
    <x v="1233"/>
    <x v="1"/>
    <x v="0"/>
    <x v="1"/>
    <s v="REG101233"/>
    <s v="Cust 9778"/>
    <n v="14.41"/>
    <x v="677"/>
    <x v="35"/>
    <d v="2023-10-15T00:00:00"/>
    <s v="Wendy"/>
  </r>
  <r>
    <d v="2023-04-08T00:00:00"/>
    <x v="4"/>
    <x v="4"/>
    <n v="15"/>
    <n v="506.17"/>
    <s v="Store B"/>
    <s v="Wholesale"/>
    <x v="3"/>
    <x v="1"/>
    <x v="1234"/>
    <x v="0"/>
    <x v="3"/>
    <x v="0"/>
    <s v="REG101234"/>
    <s v="Cust 1195"/>
    <n v="41.73"/>
    <x v="684"/>
    <x v="24"/>
    <d v="2023-04-13T00:00:00"/>
    <s v="Wendy"/>
  </r>
  <r>
    <d v="2024-02-20T00:00:00"/>
    <x v="1"/>
    <x v="1"/>
    <n v="1"/>
    <n v="67.38"/>
    <s v="Store D"/>
    <s v="Retail"/>
    <x v="2"/>
    <x v="1"/>
    <x v="1235"/>
    <x v="2"/>
    <x v="2"/>
    <x v="0"/>
    <s v="REG101235"/>
    <s v="Cust 8126"/>
    <n v="6.14"/>
    <x v="5"/>
    <x v="0"/>
    <d v="2024-02-27T00:00:00"/>
    <s v="Sophie"/>
  </r>
  <r>
    <d v="2023-01-30T00:00:00"/>
    <x v="4"/>
    <x v="3"/>
    <n v="15"/>
    <n v="274.3"/>
    <s v="Store B"/>
    <s v="Retail"/>
    <x v="2"/>
    <x v="2"/>
    <x v="1236"/>
    <x v="2"/>
    <x v="3"/>
    <x v="0"/>
    <s v="REG101236"/>
    <s v="Cust 4609"/>
    <n v="21.56"/>
    <x v="685"/>
    <x v="43"/>
    <d v="2023-02-08T00:00:00"/>
    <s v="Wendy"/>
  </r>
  <r>
    <d v="2023-05-12T00:00:00"/>
    <x v="1"/>
    <x v="4"/>
    <n v="2"/>
    <n v="334.48"/>
    <s v="Store B"/>
    <s v="Wholesale"/>
    <x v="0"/>
    <x v="1"/>
    <x v="1237"/>
    <x v="3"/>
    <x v="3"/>
    <x v="0"/>
    <s v="REG101237"/>
    <s v="Cust 1449"/>
    <n v="31.53"/>
    <x v="551"/>
    <x v="2"/>
    <d v="2023-05-20T00:00:00"/>
    <s v="Sophie"/>
  </r>
  <r>
    <d v="2024-01-08T00:00:00"/>
    <x v="1"/>
    <x v="3"/>
    <n v="7"/>
    <n v="562.6"/>
    <s v="Store A"/>
    <s v="Retail"/>
    <x v="2"/>
    <x v="0"/>
    <x v="1238"/>
    <x v="0"/>
    <x v="2"/>
    <x v="0"/>
    <s v="REG101238"/>
    <s v="Cust 3508"/>
    <n v="19.95"/>
    <x v="590"/>
    <x v="5"/>
    <d v="2024-01-12T00:00:00"/>
    <s v="Sophie"/>
  </r>
  <r>
    <d v="2024-06-05T00:00:00"/>
    <x v="2"/>
    <x v="4"/>
    <n v="7"/>
    <n v="14.34"/>
    <s v="Store D"/>
    <s v="Retail"/>
    <x v="3"/>
    <x v="1"/>
    <x v="1239"/>
    <x v="3"/>
    <x v="2"/>
    <x v="0"/>
    <s v="REG101239"/>
    <s v="Cust 4826"/>
    <n v="19.45"/>
    <x v="410"/>
    <x v="16"/>
    <d v="2024-06-08T00:00:00"/>
    <s v="Ryan"/>
  </r>
  <r>
    <d v="2025-05-21T00:00:00"/>
    <x v="0"/>
    <x v="1"/>
    <n v="11"/>
    <n v="34.72"/>
    <s v="Store B"/>
    <s v="Wholesale"/>
    <x v="1"/>
    <x v="4"/>
    <x v="1240"/>
    <x v="1"/>
    <x v="0"/>
    <x v="0"/>
    <s v="REG101240"/>
    <s v="Cust 1232"/>
    <n v="9.31"/>
    <x v="83"/>
    <x v="18"/>
    <d v="2025-05-23T00:00:00"/>
    <s v="Eric"/>
  </r>
  <r>
    <d v="2025-05-21T00:00:00"/>
    <x v="0"/>
    <x v="3"/>
    <n v="7"/>
    <n v="15.06"/>
    <s v="Store A"/>
    <s v="Retail"/>
    <x v="0"/>
    <x v="1"/>
    <x v="1241"/>
    <x v="4"/>
    <x v="3"/>
    <x v="1"/>
    <s v="REG101241"/>
    <s v="Cust 9675"/>
    <n v="46.57"/>
    <x v="83"/>
    <x v="18"/>
    <d v="2025-05-26T00:00:00"/>
    <s v="Eric"/>
  </r>
  <r>
    <d v="2023-03-05T00:00:00"/>
    <x v="0"/>
    <x v="6"/>
    <n v="11"/>
    <n v="488.17"/>
    <s v="Store B"/>
    <s v="Wholesale"/>
    <x v="3"/>
    <x v="5"/>
    <x v="1242"/>
    <x v="4"/>
    <x v="2"/>
    <x v="1"/>
    <s v="REG101242"/>
    <s v="Cust 5153"/>
    <n v="37.47"/>
    <x v="509"/>
    <x v="7"/>
    <d v="2023-03-11T00:00:00"/>
    <s v="Eric"/>
  </r>
  <r>
    <d v="2024-10-27T00:00:00"/>
    <x v="1"/>
    <x v="5"/>
    <n v="10"/>
    <n v="268.39"/>
    <s v="Store B"/>
    <s v="Retail"/>
    <x v="3"/>
    <x v="1"/>
    <x v="1243"/>
    <x v="2"/>
    <x v="1"/>
    <x v="0"/>
    <s v="REG101243"/>
    <s v="Cust 6330"/>
    <n v="25.86"/>
    <x v="686"/>
    <x v="50"/>
    <d v="2024-11-02T00:00:00"/>
    <s v="Sophie"/>
  </r>
  <r>
    <d v="2025-03-24T00:00:00"/>
    <x v="2"/>
    <x v="5"/>
    <n v="5"/>
    <n v="64.180000000000007"/>
    <s v="Store C"/>
    <s v="Retail"/>
    <x v="1"/>
    <x v="0"/>
    <x v="1244"/>
    <x v="1"/>
    <x v="1"/>
    <x v="0"/>
    <s v="REG101244"/>
    <s v="Cust 8277"/>
    <n v="21.17"/>
    <x v="687"/>
    <x v="41"/>
    <d v="2025-03-29T00:00:00"/>
    <s v="Ryan"/>
  </r>
  <r>
    <d v="2024-09-21T00:00:00"/>
    <x v="4"/>
    <x v="1"/>
    <n v="15"/>
    <n v="466.55"/>
    <s v="Store A"/>
    <s v="Retail"/>
    <x v="3"/>
    <x v="1"/>
    <x v="1245"/>
    <x v="4"/>
    <x v="1"/>
    <x v="1"/>
    <s v="REG101245"/>
    <s v="Cust 5884"/>
    <n v="36.68"/>
    <x v="367"/>
    <x v="46"/>
    <d v="2024-09-27T00:00:00"/>
    <s v="Wendy"/>
  </r>
  <r>
    <d v="2025-05-18T00:00:00"/>
    <x v="2"/>
    <x v="2"/>
    <n v="8"/>
    <n v="505.34"/>
    <s v="Store B"/>
    <s v="Retail"/>
    <x v="3"/>
    <x v="5"/>
    <x v="1246"/>
    <x v="3"/>
    <x v="3"/>
    <x v="0"/>
    <s v="REG101246"/>
    <s v="Cust 4061"/>
    <n v="22.88"/>
    <x v="662"/>
    <x v="18"/>
    <d v="2025-05-27T00:00:00"/>
    <s v="Ryan"/>
  </r>
  <r>
    <d v="2024-07-11T00:00:00"/>
    <x v="0"/>
    <x v="4"/>
    <n v="6"/>
    <n v="100.75"/>
    <s v="Store A"/>
    <s v="Wholesale"/>
    <x v="1"/>
    <x v="2"/>
    <x v="1247"/>
    <x v="2"/>
    <x v="0"/>
    <x v="0"/>
    <s v="REG101247"/>
    <s v="Cust 8095"/>
    <n v="12.98"/>
    <x v="156"/>
    <x v="9"/>
    <d v="2024-07-14T00:00:00"/>
    <s v="Eric"/>
  </r>
  <r>
    <d v="2025-01-27T00:00:00"/>
    <x v="2"/>
    <x v="5"/>
    <n v="8"/>
    <n v="352.72"/>
    <s v="Store C"/>
    <s v="Retail"/>
    <x v="3"/>
    <x v="3"/>
    <x v="1248"/>
    <x v="4"/>
    <x v="3"/>
    <x v="0"/>
    <s v="REG101248"/>
    <s v="Cust 2435"/>
    <n v="30.8"/>
    <x v="614"/>
    <x v="43"/>
    <d v="2025-02-04T00:00:00"/>
    <s v="Ryan"/>
  </r>
  <r>
    <d v="2023-11-26T00:00:00"/>
    <x v="0"/>
    <x v="0"/>
    <n v="9"/>
    <n v="526.26"/>
    <s v="Store B"/>
    <s v="Retail"/>
    <x v="0"/>
    <x v="5"/>
    <x v="1249"/>
    <x v="4"/>
    <x v="0"/>
    <x v="0"/>
    <s v="REG101249"/>
    <s v="Cust 6785"/>
    <n v="15.47"/>
    <x v="168"/>
    <x v="15"/>
    <d v="2023-12-06T00:00:00"/>
    <s v="Eric"/>
  </r>
  <r>
    <d v="2024-06-02T00:00:00"/>
    <x v="3"/>
    <x v="6"/>
    <n v="18"/>
    <n v="519.41999999999996"/>
    <s v="Store C"/>
    <s v="Retail"/>
    <x v="2"/>
    <x v="0"/>
    <x v="1250"/>
    <x v="4"/>
    <x v="2"/>
    <x v="0"/>
    <s v="REG101250"/>
    <s v="Cust 6485"/>
    <n v="32.96"/>
    <x v="403"/>
    <x v="16"/>
    <d v="2024-06-04T00:00:00"/>
    <s v="Cameron"/>
  </r>
  <r>
    <d v="2023-01-17T00:00:00"/>
    <x v="2"/>
    <x v="3"/>
    <n v="18"/>
    <n v="108.46"/>
    <s v="Store D"/>
    <s v="Wholesale"/>
    <x v="3"/>
    <x v="2"/>
    <x v="1251"/>
    <x v="0"/>
    <x v="1"/>
    <x v="0"/>
    <s v="REG101251"/>
    <s v="Cust 6960"/>
    <n v="10.72"/>
    <x v="585"/>
    <x v="11"/>
    <d v="2023-01-24T00:00:00"/>
    <s v="Ryan"/>
  </r>
  <r>
    <d v="2025-05-03T00:00:00"/>
    <x v="2"/>
    <x v="2"/>
    <n v="13"/>
    <n v="420.68"/>
    <s v="Store D"/>
    <s v="Wholesale"/>
    <x v="3"/>
    <x v="2"/>
    <x v="1252"/>
    <x v="0"/>
    <x v="3"/>
    <x v="0"/>
    <s v="REG101252"/>
    <s v="Cust 1135"/>
    <n v="24.51"/>
    <x v="688"/>
    <x v="40"/>
    <d v="2025-05-11T00:00:00"/>
    <s v="Ryan"/>
  </r>
  <r>
    <d v="2025-01-05T00:00:00"/>
    <x v="2"/>
    <x v="6"/>
    <n v="17"/>
    <n v="5.91"/>
    <s v="Store A"/>
    <s v="Wholesale"/>
    <x v="2"/>
    <x v="0"/>
    <x v="1253"/>
    <x v="0"/>
    <x v="1"/>
    <x v="0"/>
    <s v="REG101253"/>
    <s v="Cust 6186"/>
    <n v="44.85"/>
    <x v="689"/>
    <x v="5"/>
    <d v="2025-01-13T00:00:00"/>
    <s v="Ryan"/>
  </r>
  <r>
    <d v="2024-02-20T00:00:00"/>
    <x v="0"/>
    <x v="1"/>
    <n v="4"/>
    <n v="452.77"/>
    <s v="Store B"/>
    <s v="Retail"/>
    <x v="0"/>
    <x v="4"/>
    <x v="1254"/>
    <x v="3"/>
    <x v="1"/>
    <x v="0"/>
    <s v="REG101254"/>
    <s v="Cust 8828"/>
    <n v="32.01"/>
    <x v="5"/>
    <x v="0"/>
    <d v="2024-03-01T00:00:00"/>
    <s v="Eric"/>
  </r>
  <r>
    <d v="2023-12-26T00:00:00"/>
    <x v="2"/>
    <x v="4"/>
    <n v="7"/>
    <n v="157"/>
    <s v="Store A"/>
    <s v="Wholesale"/>
    <x v="2"/>
    <x v="1"/>
    <x v="1255"/>
    <x v="0"/>
    <x v="1"/>
    <x v="1"/>
    <s v="REG101255"/>
    <s v="Cust 9097"/>
    <n v="39.72"/>
    <x v="442"/>
    <x v="37"/>
    <d v="2024-01-04T00:00:00"/>
    <s v="Ryan"/>
  </r>
  <r>
    <d v="2023-03-07T00:00:00"/>
    <x v="2"/>
    <x v="6"/>
    <n v="11"/>
    <n v="550.86"/>
    <s v="Store C"/>
    <s v="Retail"/>
    <x v="1"/>
    <x v="5"/>
    <x v="1256"/>
    <x v="0"/>
    <x v="0"/>
    <x v="0"/>
    <s v="REG101256"/>
    <s v="Cust 4744"/>
    <n v="21.82"/>
    <x v="334"/>
    <x v="7"/>
    <d v="2023-03-12T00:00:00"/>
    <s v="Ryan"/>
  </r>
  <r>
    <d v="2024-09-13T00:00:00"/>
    <x v="2"/>
    <x v="3"/>
    <n v="5"/>
    <n v="172.65"/>
    <s v="Store C"/>
    <s v="Wholesale"/>
    <x v="2"/>
    <x v="1"/>
    <x v="1257"/>
    <x v="4"/>
    <x v="1"/>
    <x v="0"/>
    <s v="REG101257"/>
    <s v="Cust 4287"/>
    <n v="28.3"/>
    <x v="277"/>
    <x v="30"/>
    <d v="2024-09-22T00:00:00"/>
    <s v="Ryan"/>
  </r>
  <r>
    <d v="2024-01-02T00:00:00"/>
    <x v="0"/>
    <x v="5"/>
    <n v="16"/>
    <n v="145.30000000000001"/>
    <s v="Store B"/>
    <s v="Wholesale"/>
    <x v="0"/>
    <x v="0"/>
    <x v="1258"/>
    <x v="2"/>
    <x v="0"/>
    <x v="1"/>
    <s v="REG101258"/>
    <s v="Cust 2236"/>
    <n v="29.64"/>
    <x v="78"/>
    <x v="31"/>
    <d v="2024-01-12T00:00:00"/>
    <s v="Eric"/>
  </r>
  <r>
    <d v="2025-02-08T00:00:00"/>
    <x v="1"/>
    <x v="6"/>
    <n v="10"/>
    <n v="67.38"/>
    <s v="Store C"/>
    <s v="Retail"/>
    <x v="1"/>
    <x v="4"/>
    <x v="1259"/>
    <x v="1"/>
    <x v="0"/>
    <x v="1"/>
    <s v="REG101259"/>
    <s v="Cust 5312"/>
    <n v="20.58"/>
    <x v="658"/>
    <x v="29"/>
    <d v="2025-02-18T00:00:00"/>
    <s v="Sophie"/>
  </r>
  <r>
    <d v="2025-03-04T00:00:00"/>
    <x v="1"/>
    <x v="6"/>
    <n v="15"/>
    <n v="141.13"/>
    <s v="Store D"/>
    <s v="Wholesale"/>
    <x v="0"/>
    <x v="3"/>
    <x v="1260"/>
    <x v="4"/>
    <x v="1"/>
    <x v="0"/>
    <s v="REG101260"/>
    <s v="Cust 5096"/>
    <n v="19.63"/>
    <x v="155"/>
    <x v="7"/>
    <d v="2025-03-12T00:00:00"/>
    <s v="Sophie"/>
  </r>
  <r>
    <d v="2024-03-12T00:00:00"/>
    <x v="3"/>
    <x v="5"/>
    <n v="1"/>
    <n v="534.61"/>
    <s v="Store D"/>
    <s v="Retail"/>
    <x v="3"/>
    <x v="2"/>
    <x v="1261"/>
    <x v="0"/>
    <x v="1"/>
    <x v="0"/>
    <s v="REG101261"/>
    <s v="Cust 1162"/>
    <n v="22.68"/>
    <x v="690"/>
    <x v="23"/>
    <d v="2024-03-21T00:00:00"/>
    <s v="Cameron"/>
  </r>
  <r>
    <d v="2024-07-03T00:00:00"/>
    <x v="0"/>
    <x v="1"/>
    <n v="9"/>
    <n v="560.04"/>
    <s v="Store D"/>
    <s v="Retail"/>
    <x v="3"/>
    <x v="3"/>
    <x v="1262"/>
    <x v="1"/>
    <x v="2"/>
    <x v="0"/>
    <s v="REG101262"/>
    <s v="Cust 1669"/>
    <n v="22.81"/>
    <x v="691"/>
    <x v="49"/>
    <d v="2024-07-07T00:00:00"/>
    <s v="Eric"/>
  </r>
  <r>
    <d v="2025-01-05T00:00:00"/>
    <x v="2"/>
    <x v="0"/>
    <n v="8"/>
    <n v="275.32"/>
    <s v="Store D"/>
    <s v="Retail"/>
    <x v="1"/>
    <x v="4"/>
    <x v="1263"/>
    <x v="4"/>
    <x v="1"/>
    <x v="0"/>
    <s v="REG101263"/>
    <s v="Cust 6213"/>
    <n v="18.260000000000002"/>
    <x v="689"/>
    <x v="5"/>
    <d v="2025-01-13T00:00:00"/>
    <s v="Ryan"/>
  </r>
  <r>
    <d v="2024-03-21T00:00:00"/>
    <x v="0"/>
    <x v="1"/>
    <n v="3"/>
    <n v="105.73"/>
    <s v="Store D"/>
    <s v="Retail"/>
    <x v="3"/>
    <x v="5"/>
    <x v="1264"/>
    <x v="3"/>
    <x v="0"/>
    <x v="1"/>
    <s v="REG101264"/>
    <s v="Cust 7659"/>
    <n v="12.12"/>
    <x v="58"/>
    <x v="26"/>
    <d v="2024-03-28T00:00:00"/>
    <s v="Eric"/>
  </r>
  <r>
    <d v="2025-03-28T00:00:00"/>
    <x v="3"/>
    <x v="4"/>
    <n v="15"/>
    <n v="568.80999999999995"/>
    <s v="Store D"/>
    <s v="Retail"/>
    <x v="1"/>
    <x v="2"/>
    <x v="1265"/>
    <x v="1"/>
    <x v="3"/>
    <x v="0"/>
    <s v="REG101265"/>
    <s v="Cust 2894"/>
    <n v="8.5399999999999991"/>
    <x v="136"/>
    <x v="41"/>
    <d v="2025-04-03T00:00:00"/>
    <s v="Cameron"/>
  </r>
  <r>
    <d v="2025-04-13T00:00:00"/>
    <x v="3"/>
    <x v="0"/>
    <n v="20"/>
    <n v="190.39"/>
    <s v="Store B"/>
    <s v="Retail"/>
    <x v="1"/>
    <x v="5"/>
    <x v="1266"/>
    <x v="1"/>
    <x v="1"/>
    <x v="0"/>
    <s v="REG101266"/>
    <s v="Cust 1457"/>
    <n v="49.93"/>
    <x v="91"/>
    <x v="32"/>
    <d v="2025-04-18T00:00:00"/>
    <s v="Cameron"/>
  </r>
  <r>
    <d v="2024-04-30T00:00:00"/>
    <x v="4"/>
    <x v="3"/>
    <n v="19"/>
    <n v="433.39"/>
    <s v="Store C"/>
    <s v="Retail"/>
    <x v="3"/>
    <x v="5"/>
    <x v="1267"/>
    <x v="0"/>
    <x v="2"/>
    <x v="0"/>
    <s v="REG101267"/>
    <s v="Cust 2410"/>
    <n v="7.59"/>
    <x v="401"/>
    <x v="40"/>
    <d v="2024-05-09T00:00:00"/>
    <s v="Wendy"/>
  </r>
  <r>
    <d v="2025-02-15T00:00:00"/>
    <x v="1"/>
    <x v="1"/>
    <n v="1"/>
    <n v="92.72"/>
    <s v="Store C"/>
    <s v="Wholesale"/>
    <x v="2"/>
    <x v="0"/>
    <x v="1268"/>
    <x v="3"/>
    <x v="2"/>
    <x v="0"/>
    <s v="REG101268"/>
    <s v="Cust 4723"/>
    <n v="48.46"/>
    <x v="664"/>
    <x v="22"/>
    <d v="2025-02-19T00:00:00"/>
    <s v="Sophie"/>
  </r>
  <r>
    <d v="2025-02-18T00:00:00"/>
    <x v="4"/>
    <x v="0"/>
    <n v="1"/>
    <n v="263.27999999999997"/>
    <s v="Store D"/>
    <s v="Wholesale"/>
    <x v="1"/>
    <x v="0"/>
    <x v="1269"/>
    <x v="2"/>
    <x v="1"/>
    <x v="0"/>
    <s v="REG101269"/>
    <s v="Cust 1586"/>
    <n v="36.28"/>
    <x v="616"/>
    <x v="0"/>
    <d v="2025-02-23T00:00:00"/>
    <s v="Wendy"/>
  </r>
  <r>
    <d v="2023-09-08T00:00:00"/>
    <x v="4"/>
    <x v="1"/>
    <n v="11"/>
    <n v="358.59"/>
    <s v="Store B"/>
    <s v="Wholesale"/>
    <x v="0"/>
    <x v="2"/>
    <x v="1270"/>
    <x v="2"/>
    <x v="3"/>
    <x v="0"/>
    <s v="REG101270"/>
    <s v="Cust 5049"/>
    <n v="29.19"/>
    <x v="247"/>
    <x v="25"/>
    <d v="2023-09-10T00:00:00"/>
    <s v="Wendy"/>
  </r>
  <r>
    <d v="2024-02-04T00:00:00"/>
    <x v="3"/>
    <x v="5"/>
    <n v="18"/>
    <n v="595.53"/>
    <s v="Store B"/>
    <s v="Retail"/>
    <x v="0"/>
    <x v="2"/>
    <x v="1271"/>
    <x v="4"/>
    <x v="2"/>
    <x v="0"/>
    <s v="REG101271"/>
    <s v="Cust 9534"/>
    <n v="42.91"/>
    <x v="692"/>
    <x v="29"/>
    <d v="2024-02-06T00:00:00"/>
    <s v="Cameron"/>
  </r>
  <r>
    <d v="2024-11-25T00:00:00"/>
    <x v="2"/>
    <x v="4"/>
    <n v="14"/>
    <n v="574.32000000000005"/>
    <s v="Store D"/>
    <s v="Wholesale"/>
    <x v="2"/>
    <x v="4"/>
    <x v="1272"/>
    <x v="2"/>
    <x v="1"/>
    <x v="0"/>
    <s v="REG101272"/>
    <s v="Cust 5693"/>
    <n v="12.07"/>
    <x v="681"/>
    <x v="15"/>
    <d v="2024-12-05T00:00:00"/>
    <s v="Ryan"/>
  </r>
  <r>
    <d v="2024-12-30T00:00:00"/>
    <x v="2"/>
    <x v="0"/>
    <n v="18"/>
    <n v="444.13"/>
    <s v="Store D"/>
    <s v="Retail"/>
    <x v="0"/>
    <x v="2"/>
    <x v="1273"/>
    <x v="4"/>
    <x v="1"/>
    <x v="0"/>
    <s v="REG101273"/>
    <s v="Cust 6950"/>
    <n v="5.41"/>
    <x v="671"/>
    <x v="52"/>
    <d v="2025-01-02T00:00:00"/>
    <s v="Ryan"/>
  </r>
  <r>
    <d v="2023-09-05T00:00:00"/>
    <x v="4"/>
    <x v="5"/>
    <n v="19"/>
    <n v="431.47"/>
    <s v="Store A"/>
    <s v="Retail"/>
    <x v="1"/>
    <x v="0"/>
    <x v="1274"/>
    <x v="1"/>
    <x v="2"/>
    <x v="0"/>
    <s v="REG101274"/>
    <s v="Cust 7098"/>
    <n v="49.23"/>
    <x v="569"/>
    <x v="25"/>
    <d v="2023-09-10T00:00:00"/>
    <s v="Wendy"/>
  </r>
  <r>
    <d v="2023-08-01T00:00:00"/>
    <x v="4"/>
    <x v="6"/>
    <n v="19"/>
    <n v="67.489999999999995"/>
    <s v="Store C"/>
    <s v="Retail"/>
    <x v="0"/>
    <x v="2"/>
    <x v="1275"/>
    <x v="3"/>
    <x v="1"/>
    <x v="0"/>
    <s v="REG101275"/>
    <s v="Cust 8300"/>
    <n v="32.04"/>
    <x v="588"/>
    <x v="36"/>
    <d v="2023-08-11T00:00:00"/>
    <s v="Wendy"/>
  </r>
  <r>
    <d v="2023-01-06T00:00:00"/>
    <x v="3"/>
    <x v="5"/>
    <n v="11"/>
    <n v="25.67"/>
    <s v="Store C"/>
    <s v="Retail"/>
    <x v="2"/>
    <x v="3"/>
    <x v="1276"/>
    <x v="2"/>
    <x v="1"/>
    <x v="0"/>
    <s v="REG101276"/>
    <s v="Cust 9557"/>
    <n v="30.12"/>
    <x v="463"/>
    <x v="31"/>
    <d v="2023-01-08T00:00:00"/>
    <s v="Cameron"/>
  </r>
  <r>
    <d v="2025-05-02T00:00:00"/>
    <x v="3"/>
    <x v="1"/>
    <n v="4"/>
    <n v="368.69"/>
    <s v="Store D"/>
    <s v="Wholesale"/>
    <x v="0"/>
    <x v="4"/>
    <x v="1277"/>
    <x v="1"/>
    <x v="2"/>
    <x v="0"/>
    <s v="REG101277"/>
    <s v="Cust 8787"/>
    <n v="48.57"/>
    <x v="693"/>
    <x v="40"/>
    <d v="2025-05-06T00:00:00"/>
    <s v="Cameron"/>
  </r>
  <r>
    <d v="2023-12-21T00:00:00"/>
    <x v="4"/>
    <x v="4"/>
    <n v="7"/>
    <n v="257.01"/>
    <s v="Store D"/>
    <s v="Retail"/>
    <x v="3"/>
    <x v="0"/>
    <x v="1278"/>
    <x v="2"/>
    <x v="3"/>
    <x v="0"/>
    <s v="REG101278"/>
    <s v="Cust 9717"/>
    <n v="35.520000000000003"/>
    <x v="146"/>
    <x v="1"/>
    <d v="2023-12-28T00:00:00"/>
    <s v="Wendy"/>
  </r>
  <r>
    <d v="2024-09-10T00:00:00"/>
    <x v="0"/>
    <x v="0"/>
    <n v="14"/>
    <n v="85.54"/>
    <s v="Store B"/>
    <s v="Wholesale"/>
    <x v="0"/>
    <x v="2"/>
    <x v="1279"/>
    <x v="1"/>
    <x v="0"/>
    <x v="0"/>
    <s v="REG101279"/>
    <s v="Cust 2719"/>
    <n v="16.079999999999998"/>
    <x v="328"/>
    <x v="30"/>
    <d v="2024-09-14T00:00:00"/>
    <s v="Eric"/>
  </r>
  <r>
    <d v="2024-04-05T00:00:00"/>
    <x v="3"/>
    <x v="3"/>
    <n v="9"/>
    <n v="267.60000000000002"/>
    <s v="Store D"/>
    <s v="Retail"/>
    <x v="2"/>
    <x v="0"/>
    <x v="1280"/>
    <x v="2"/>
    <x v="0"/>
    <x v="0"/>
    <s v="REG101280"/>
    <s v="Cust 6203"/>
    <n v="8.48"/>
    <x v="393"/>
    <x v="24"/>
    <d v="2024-04-10T00:00:00"/>
    <s v="Cameron"/>
  </r>
  <r>
    <d v="2023-07-26T00:00:00"/>
    <x v="0"/>
    <x v="2"/>
    <n v="15"/>
    <n v="261.85000000000002"/>
    <s v="Store D"/>
    <s v="Wholesale"/>
    <x v="2"/>
    <x v="4"/>
    <x v="1281"/>
    <x v="0"/>
    <x v="1"/>
    <x v="0"/>
    <s v="REG101281"/>
    <s v="Cust 9151"/>
    <n v="40.68"/>
    <x v="238"/>
    <x v="27"/>
    <d v="2023-07-31T00:00:00"/>
    <s v="Eric"/>
  </r>
  <r>
    <d v="2023-11-12T00:00:00"/>
    <x v="0"/>
    <x v="6"/>
    <n v="11"/>
    <n v="199.57"/>
    <s v="Store A"/>
    <s v="Retail"/>
    <x v="3"/>
    <x v="5"/>
    <x v="1282"/>
    <x v="3"/>
    <x v="1"/>
    <x v="0"/>
    <s v="REG101282"/>
    <s v="Cust 5096"/>
    <n v="48.94"/>
    <x v="694"/>
    <x v="38"/>
    <d v="2023-11-14T00:00:00"/>
    <s v="Eric"/>
  </r>
  <r>
    <d v="2025-04-18T00:00:00"/>
    <x v="3"/>
    <x v="1"/>
    <n v="5"/>
    <n v="504.96"/>
    <s v="Store C"/>
    <s v="Retail"/>
    <x v="3"/>
    <x v="4"/>
    <x v="1283"/>
    <x v="1"/>
    <x v="0"/>
    <x v="0"/>
    <s v="REG101283"/>
    <s v="Cust 4250"/>
    <n v="22.12"/>
    <x v="308"/>
    <x v="32"/>
    <d v="2025-04-20T00:00:00"/>
    <s v="Cameron"/>
  </r>
  <r>
    <d v="2023-08-12T00:00:00"/>
    <x v="1"/>
    <x v="3"/>
    <n v="8"/>
    <n v="28.34"/>
    <s v="Store C"/>
    <s v="Wholesale"/>
    <x v="3"/>
    <x v="1"/>
    <x v="1284"/>
    <x v="4"/>
    <x v="3"/>
    <x v="1"/>
    <s v="REG101284"/>
    <s v="Cust 1276"/>
    <n v="23.19"/>
    <x v="181"/>
    <x v="17"/>
    <d v="2023-08-19T00:00:00"/>
    <s v="Sophie"/>
  </r>
  <r>
    <d v="2024-12-12T00:00:00"/>
    <x v="4"/>
    <x v="6"/>
    <n v="17"/>
    <n v="495.13"/>
    <s v="Store D"/>
    <s v="Wholesale"/>
    <x v="1"/>
    <x v="1"/>
    <x v="1285"/>
    <x v="0"/>
    <x v="0"/>
    <x v="1"/>
    <s v="REG101285"/>
    <s v="Cust 6063"/>
    <n v="26.37"/>
    <x v="621"/>
    <x v="12"/>
    <d v="2024-12-21T00:00:00"/>
    <s v="Wendy"/>
  </r>
  <r>
    <d v="2025-05-07T00:00:00"/>
    <x v="4"/>
    <x v="1"/>
    <n v="14"/>
    <n v="142.05000000000001"/>
    <s v="Store D"/>
    <s v="Retail"/>
    <x v="3"/>
    <x v="2"/>
    <x v="1286"/>
    <x v="1"/>
    <x v="1"/>
    <x v="0"/>
    <s v="REG101286"/>
    <s v="Cust 7604"/>
    <n v="33.65"/>
    <x v="695"/>
    <x v="2"/>
    <d v="2025-05-13T00:00:00"/>
    <s v="Wendy"/>
  </r>
  <r>
    <d v="2025-03-10T00:00:00"/>
    <x v="0"/>
    <x v="3"/>
    <n v="16"/>
    <n v="504.36"/>
    <s v="Store D"/>
    <s v="Wholesale"/>
    <x v="0"/>
    <x v="5"/>
    <x v="1287"/>
    <x v="3"/>
    <x v="3"/>
    <x v="1"/>
    <s v="REG101287"/>
    <s v="Cust 9402"/>
    <n v="11.67"/>
    <x v="506"/>
    <x v="23"/>
    <d v="2025-03-13T00:00:00"/>
    <s v="Eric"/>
  </r>
  <r>
    <d v="2025-06-01T00:00:00"/>
    <x v="0"/>
    <x v="2"/>
    <n v="7"/>
    <n v="122.2"/>
    <s v="Store B"/>
    <s v="Retail"/>
    <x v="0"/>
    <x v="3"/>
    <x v="1288"/>
    <x v="2"/>
    <x v="3"/>
    <x v="0"/>
    <s v="REG101288"/>
    <s v="Cust 4398"/>
    <n v="30.21"/>
    <x v="216"/>
    <x v="16"/>
    <d v="2025-06-10T00:00:00"/>
    <s v="Eric"/>
  </r>
  <r>
    <d v="2025-05-19T00:00:00"/>
    <x v="4"/>
    <x v="3"/>
    <n v="7"/>
    <n v="338.42"/>
    <s v="Store B"/>
    <s v="Retail"/>
    <x v="2"/>
    <x v="1"/>
    <x v="1289"/>
    <x v="0"/>
    <x v="0"/>
    <x v="0"/>
    <s v="REG101289"/>
    <s v="Cust 8770"/>
    <n v="5.82"/>
    <x v="460"/>
    <x v="18"/>
    <d v="2025-05-21T00:00:00"/>
    <s v="Wendy"/>
  </r>
  <r>
    <d v="2023-02-08T00:00:00"/>
    <x v="0"/>
    <x v="5"/>
    <n v="4"/>
    <n v="224.75"/>
    <s v="Store D"/>
    <s v="Wholesale"/>
    <x v="0"/>
    <x v="2"/>
    <x v="1290"/>
    <x v="3"/>
    <x v="3"/>
    <x v="0"/>
    <s v="REG101290"/>
    <s v="Cust 2148"/>
    <n v="43.86"/>
    <x v="162"/>
    <x v="29"/>
    <d v="2023-02-16T00:00:00"/>
    <s v="Eric"/>
  </r>
  <r>
    <d v="2025-04-24T00:00:00"/>
    <x v="3"/>
    <x v="2"/>
    <n v="16"/>
    <n v="509.71"/>
    <s v="Store C"/>
    <s v="Wholesale"/>
    <x v="1"/>
    <x v="3"/>
    <x v="1291"/>
    <x v="4"/>
    <x v="3"/>
    <x v="0"/>
    <s v="REG101291"/>
    <s v="Cust 4107"/>
    <n v="41.78"/>
    <x v="696"/>
    <x v="42"/>
    <d v="2025-05-03T00:00:00"/>
    <s v="Cameron"/>
  </r>
  <r>
    <d v="2024-09-01T00:00:00"/>
    <x v="2"/>
    <x v="5"/>
    <n v="14"/>
    <n v="297.56"/>
    <s v="Store B"/>
    <s v="Wholesale"/>
    <x v="1"/>
    <x v="4"/>
    <x v="1292"/>
    <x v="3"/>
    <x v="0"/>
    <x v="0"/>
    <s v="REG101292"/>
    <s v="Cust 4450"/>
    <n v="31.44"/>
    <x v="404"/>
    <x v="25"/>
    <d v="2024-09-08T00:00:00"/>
    <s v="Ryan"/>
  </r>
  <r>
    <d v="2024-11-07T00:00:00"/>
    <x v="3"/>
    <x v="6"/>
    <n v="13"/>
    <n v="365.11"/>
    <s v="Store C"/>
    <s v="Retail"/>
    <x v="3"/>
    <x v="4"/>
    <x v="1293"/>
    <x v="0"/>
    <x v="3"/>
    <x v="0"/>
    <s v="REG101293"/>
    <s v="Cust 8233"/>
    <n v="13.97"/>
    <x v="697"/>
    <x v="47"/>
    <d v="2024-11-13T00:00:00"/>
    <s v="Cameron"/>
  </r>
  <r>
    <d v="2024-11-29T00:00:00"/>
    <x v="0"/>
    <x v="3"/>
    <n v="1"/>
    <n v="139.13"/>
    <s v="Store C"/>
    <s v="Wholesale"/>
    <x v="0"/>
    <x v="3"/>
    <x v="1294"/>
    <x v="4"/>
    <x v="3"/>
    <x v="1"/>
    <s v="REG101294"/>
    <s v="Cust 9012"/>
    <n v="35.92"/>
    <x v="682"/>
    <x v="15"/>
    <d v="2024-12-02T00:00:00"/>
    <s v="Eric"/>
  </r>
  <r>
    <d v="2023-04-10T00:00:00"/>
    <x v="4"/>
    <x v="3"/>
    <n v="6"/>
    <n v="543.89"/>
    <s v="Store C"/>
    <s v="Retail"/>
    <x v="0"/>
    <x v="5"/>
    <x v="1295"/>
    <x v="4"/>
    <x v="3"/>
    <x v="1"/>
    <s v="REG101295"/>
    <s v="Cust 1496"/>
    <n v="13.19"/>
    <x v="154"/>
    <x v="8"/>
    <d v="2023-04-20T00:00:00"/>
    <s v="Wendy"/>
  </r>
  <r>
    <d v="2024-01-10T00:00:00"/>
    <x v="2"/>
    <x v="6"/>
    <n v="19"/>
    <n v="219.7"/>
    <s v="Store A"/>
    <s v="Retail"/>
    <x v="0"/>
    <x v="1"/>
    <x v="1296"/>
    <x v="4"/>
    <x v="0"/>
    <x v="0"/>
    <s v="REG101296"/>
    <s v="Cust 9365"/>
    <n v="15.38"/>
    <x v="560"/>
    <x v="5"/>
    <d v="2024-01-16T00:00:00"/>
    <s v="Ryan"/>
  </r>
  <r>
    <d v="2025-05-17T00:00:00"/>
    <x v="1"/>
    <x v="1"/>
    <n v="6"/>
    <n v="94.34"/>
    <s v="Store C"/>
    <s v="Retail"/>
    <x v="3"/>
    <x v="1"/>
    <x v="1297"/>
    <x v="4"/>
    <x v="2"/>
    <x v="1"/>
    <s v="REG101297"/>
    <s v="Cust 1392"/>
    <n v="49.26"/>
    <x v="347"/>
    <x v="13"/>
    <d v="2025-05-23T00:00:00"/>
    <s v="Sophie"/>
  </r>
  <r>
    <d v="2024-07-26T00:00:00"/>
    <x v="3"/>
    <x v="0"/>
    <n v="9"/>
    <n v="486.58"/>
    <s v="Store A"/>
    <s v="Retail"/>
    <x v="2"/>
    <x v="1"/>
    <x v="1298"/>
    <x v="0"/>
    <x v="0"/>
    <x v="0"/>
    <s v="REG101298"/>
    <s v="Cust 3474"/>
    <n v="38.72"/>
    <x v="698"/>
    <x v="27"/>
    <d v="2024-07-30T00:00:00"/>
    <s v="Cameron"/>
  </r>
  <r>
    <d v="2024-12-26T00:00:00"/>
    <x v="1"/>
    <x v="2"/>
    <n v="12"/>
    <n v="578.86"/>
    <s v="Store D"/>
    <s v="Retail"/>
    <x v="2"/>
    <x v="2"/>
    <x v="1299"/>
    <x v="4"/>
    <x v="0"/>
    <x v="0"/>
    <s v="REG101299"/>
    <s v="Cust 2111"/>
    <n v="25.84"/>
    <x v="215"/>
    <x v="37"/>
    <d v="2025-01-03T00:00:00"/>
    <s v="Sophie"/>
  </r>
  <r>
    <d v="2025-01-23T00:00:00"/>
    <x v="0"/>
    <x v="5"/>
    <n v="7"/>
    <n v="196.88"/>
    <s v="Store C"/>
    <s v="Retail"/>
    <x v="0"/>
    <x v="4"/>
    <x v="1300"/>
    <x v="3"/>
    <x v="1"/>
    <x v="0"/>
    <s v="REG101300"/>
    <s v="Cust 9506"/>
    <n v="44.92"/>
    <x v="187"/>
    <x v="34"/>
    <d v="2025-01-31T00:00:00"/>
    <s v="Eric"/>
  </r>
  <r>
    <d v="2024-03-25T00:00:00"/>
    <x v="1"/>
    <x v="1"/>
    <n v="7"/>
    <n v="446.32"/>
    <s v="Store B"/>
    <s v="Wholesale"/>
    <x v="1"/>
    <x v="1"/>
    <x v="1301"/>
    <x v="3"/>
    <x v="3"/>
    <x v="0"/>
    <s v="REG101301"/>
    <s v="Cust 2341"/>
    <n v="47.23"/>
    <x v="699"/>
    <x v="41"/>
    <d v="2024-04-01T00:00:00"/>
    <s v="Sophie"/>
  </r>
  <r>
    <d v="2025-03-04T00:00:00"/>
    <x v="3"/>
    <x v="5"/>
    <n v="11"/>
    <n v="447.38"/>
    <s v="Store D"/>
    <s v="Wholesale"/>
    <x v="0"/>
    <x v="1"/>
    <x v="1302"/>
    <x v="1"/>
    <x v="1"/>
    <x v="0"/>
    <s v="REG101302"/>
    <s v="Cust 7035"/>
    <n v="36.72"/>
    <x v="155"/>
    <x v="7"/>
    <d v="2025-03-11T00:00:00"/>
    <s v="Cameron"/>
  </r>
  <r>
    <d v="2023-10-20T00:00:00"/>
    <x v="1"/>
    <x v="2"/>
    <n v="14"/>
    <n v="275.33999999999997"/>
    <s v="Store B"/>
    <s v="Retail"/>
    <x v="1"/>
    <x v="3"/>
    <x v="1303"/>
    <x v="0"/>
    <x v="3"/>
    <x v="1"/>
    <s v="REG101303"/>
    <s v="Cust 5935"/>
    <n v="32.799999999999997"/>
    <x v="700"/>
    <x v="6"/>
    <d v="2023-10-24T00:00:00"/>
    <s v="Sophie"/>
  </r>
  <r>
    <d v="2024-09-19T00:00:00"/>
    <x v="3"/>
    <x v="2"/>
    <n v="2"/>
    <n v="27.64"/>
    <s v="Store B"/>
    <s v="Retail"/>
    <x v="2"/>
    <x v="2"/>
    <x v="1304"/>
    <x v="2"/>
    <x v="0"/>
    <x v="0"/>
    <s v="REG101304"/>
    <s v="Cust 3291"/>
    <n v="21.73"/>
    <x v="701"/>
    <x v="46"/>
    <d v="2024-09-28T00:00:00"/>
    <s v="Cameron"/>
  </r>
  <r>
    <d v="2023-09-23T00:00:00"/>
    <x v="2"/>
    <x v="4"/>
    <n v="17"/>
    <n v="439.3"/>
    <s v="Store B"/>
    <s v="Retail"/>
    <x v="0"/>
    <x v="2"/>
    <x v="1305"/>
    <x v="0"/>
    <x v="0"/>
    <x v="0"/>
    <s v="REG101305"/>
    <s v="Cust 5258"/>
    <n v="12.87"/>
    <x v="584"/>
    <x v="46"/>
    <d v="2023-09-26T00:00:00"/>
    <s v="Ryan"/>
  </r>
  <r>
    <d v="2024-12-31T00:00:00"/>
    <x v="0"/>
    <x v="6"/>
    <n v="15"/>
    <n v="573.80999999999995"/>
    <s v="Store C"/>
    <s v="Retail"/>
    <x v="0"/>
    <x v="1"/>
    <x v="1306"/>
    <x v="1"/>
    <x v="1"/>
    <x v="0"/>
    <s v="REG101306"/>
    <s v="Cust 4715"/>
    <n v="35.869999999999997"/>
    <x v="702"/>
    <x v="52"/>
    <d v="2025-01-02T00:00:00"/>
    <s v="Eric"/>
  </r>
  <r>
    <d v="2024-01-23T00:00:00"/>
    <x v="2"/>
    <x v="2"/>
    <n v="19"/>
    <n v="360.06"/>
    <s v="Store C"/>
    <s v="Wholesale"/>
    <x v="3"/>
    <x v="0"/>
    <x v="1307"/>
    <x v="3"/>
    <x v="0"/>
    <x v="0"/>
    <s v="REG101307"/>
    <s v="Cust 3106"/>
    <n v="33.19"/>
    <x v="145"/>
    <x v="34"/>
    <d v="2024-01-31T00:00:00"/>
    <s v="Ryan"/>
  </r>
  <r>
    <d v="2023-06-13T00:00:00"/>
    <x v="0"/>
    <x v="0"/>
    <n v="7"/>
    <n v="535.20000000000005"/>
    <s v="Store C"/>
    <s v="Retail"/>
    <x v="1"/>
    <x v="2"/>
    <x v="1308"/>
    <x v="3"/>
    <x v="3"/>
    <x v="0"/>
    <s v="REG101308"/>
    <s v="Cust 9606"/>
    <n v="10.44"/>
    <x v="343"/>
    <x v="33"/>
    <d v="2023-06-23T00:00:00"/>
    <s v="Eric"/>
  </r>
  <r>
    <d v="2023-07-01T00:00:00"/>
    <x v="0"/>
    <x v="3"/>
    <n v="19"/>
    <n v="161.13"/>
    <s v="Store A"/>
    <s v="Wholesale"/>
    <x v="0"/>
    <x v="4"/>
    <x v="1309"/>
    <x v="2"/>
    <x v="0"/>
    <x v="0"/>
    <s v="REG101309"/>
    <s v="Cust 9182"/>
    <n v="5.46"/>
    <x v="430"/>
    <x v="28"/>
    <d v="2023-07-06T00:00:00"/>
    <s v="Eric"/>
  </r>
  <r>
    <d v="2025-03-22T00:00:00"/>
    <x v="1"/>
    <x v="0"/>
    <n v="11"/>
    <n v="29.6"/>
    <s v="Store D"/>
    <s v="Retail"/>
    <x v="2"/>
    <x v="3"/>
    <x v="1310"/>
    <x v="4"/>
    <x v="0"/>
    <x v="1"/>
    <s v="REG101310"/>
    <s v="Cust 6299"/>
    <n v="34.96"/>
    <x v="61"/>
    <x v="26"/>
    <d v="2025-03-25T00:00:00"/>
    <s v="Sophie"/>
  </r>
  <r>
    <d v="2025-02-07T00:00:00"/>
    <x v="1"/>
    <x v="0"/>
    <n v="16"/>
    <n v="172.89"/>
    <s v="Store B"/>
    <s v="Wholesale"/>
    <x v="2"/>
    <x v="4"/>
    <x v="1311"/>
    <x v="2"/>
    <x v="0"/>
    <x v="1"/>
    <s v="REG101311"/>
    <s v="Cust 9628"/>
    <n v="41.87"/>
    <x v="439"/>
    <x v="29"/>
    <d v="2025-02-15T00:00:00"/>
    <s v="Sophie"/>
  </r>
  <r>
    <d v="2023-10-18T00:00:00"/>
    <x v="2"/>
    <x v="1"/>
    <n v="5"/>
    <n v="48.06"/>
    <s v="Store A"/>
    <s v="Wholesale"/>
    <x v="0"/>
    <x v="1"/>
    <x v="1312"/>
    <x v="1"/>
    <x v="0"/>
    <x v="0"/>
    <s v="REG101312"/>
    <s v="Cust 3831"/>
    <n v="19.170000000000002"/>
    <x v="90"/>
    <x v="6"/>
    <d v="2023-10-26T00:00:00"/>
    <s v="Ryan"/>
  </r>
  <r>
    <d v="2024-01-02T00:00:00"/>
    <x v="3"/>
    <x v="2"/>
    <n v="7"/>
    <n v="55.76"/>
    <s v="Store C"/>
    <s v="Wholesale"/>
    <x v="1"/>
    <x v="1"/>
    <x v="1313"/>
    <x v="0"/>
    <x v="3"/>
    <x v="0"/>
    <s v="REG101313"/>
    <s v="Cust 7955"/>
    <n v="38.979999999999997"/>
    <x v="78"/>
    <x v="31"/>
    <d v="2024-01-11T00:00:00"/>
    <s v="Cameron"/>
  </r>
  <r>
    <d v="2025-03-08T00:00:00"/>
    <x v="1"/>
    <x v="0"/>
    <n v="4"/>
    <n v="24.58"/>
    <s v="Store B"/>
    <s v="Wholesale"/>
    <x v="2"/>
    <x v="3"/>
    <x v="1314"/>
    <x v="3"/>
    <x v="2"/>
    <x v="0"/>
    <s v="REG101314"/>
    <s v="Cust 3939"/>
    <n v="39.869999999999997"/>
    <x v="251"/>
    <x v="7"/>
    <d v="2025-03-17T00:00:00"/>
    <s v="Sophie"/>
  </r>
  <r>
    <d v="2023-07-03T00:00:00"/>
    <x v="4"/>
    <x v="2"/>
    <n v="2"/>
    <n v="504.82"/>
    <s v="Store D"/>
    <s v="Retail"/>
    <x v="0"/>
    <x v="3"/>
    <x v="1315"/>
    <x v="3"/>
    <x v="0"/>
    <x v="0"/>
    <s v="REG101315"/>
    <s v="Cust 7916"/>
    <n v="25.54"/>
    <x v="318"/>
    <x v="49"/>
    <d v="2023-07-08T00:00:00"/>
    <s v="Wendy"/>
  </r>
  <r>
    <d v="2023-11-15T00:00:00"/>
    <x v="2"/>
    <x v="5"/>
    <n v="17"/>
    <n v="275.89"/>
    <s v="Store B"/>
    <s v="Wholesale"/>
    <x v="1"/>
    <x v="5"/>
    <x v="1316"/>
    <x v="1"/>
    <x v="0"/>
    <x v="0"/>
    <s v="REG101316"/>
    <s v="Cust 2477"/>
    <n v="15.43"/>
    <x v="703"/>
    <x v="38"/>
    <d v="2023-11-22T00:00:00"/>
    <s v="Ryan"/>
  </r>
  <r>
    <d v="2024-02-10T00:00:00"/>
    <x v="4"/>
    <x v="2"/>
    <n v="9"/>
    <n v="130.57"/>
    <s v="Store C"/>
    <s v="Wholesale"/>
    <x v="1"/>
    <x v="0"/>
    <x v="1317"/>
    <x v="4"/>
    <x v="2"/>
    <x v="0"/>
    <s v="REG101317"/>
    <s v="Cust 3781"/>
    <n v="37.14"/>
    <x v="672"/>
    <x v="29"/>
    <d v="2024-02-17T00:00:00"/>
    <s v="Wendy"/>
  </r>
  <r>
    <d v="2025-04-09T00:00:00"/>
    <x v="4"/>
    <x v="4"/>
    <n v="12"/>
    <n v="312.72000000000003"/>
    <s v="Store C"/>
    <s v="Retail"/>
    <x v="0"/>
    <x v="0"/>
    <x v="1318"/>
    <x v="1"/>
    <x v="3"/>
    <x v="0"/>
    <s v="REG101318"/>
    <s v="Cust 2641"/>
    <n v="18.46"/>
    <x v="320"/>
    <x v="8"/>
    <d v="2025-04-19T00:00:00"/>
    <s v="Wendy"/>
  </r>
  <r>
    <d v="2023-09-09T00:00:00"/>
    <x v="4"/>
    <x v="5"/>
    <n v="18"/>
    <n v="222.66"/>
    <s v="Store C"/>
    <s v="Wholesale"/>
    <x v="3"/>
    <x v="1"/>
    <x v="1319"/>
    <x v="1"/>
    <x v="1"/>
    <x v="0"/>
    <s v="REG101319"/>
    <s v="Cust 1969"/>
    <n v="12.91"/>
    <x v="507"/>
    <x v="25"/>
    <d v="2023-09-12T00:00:00"/>
    <s v="Wendy"/>
  </r>
  <r>
    <d v="2023-03-19T00:00:00"/>
    <x v="0"/>
    <x v="1"/>
    <n v="13"/>
    <n v="374.05"/>
    <s v="Store D"/>
    <s v="Wholesale"/>
    <x v="3"/>
    <x v="4"/>
    <x v="1320"/>
    <x v="3"/>
    <x v="0"/>
    <x v="0"/>
    <s v="REG101320"/>
    <s v="Cust 4494"/>
    <n v="26.32"/>
    <x v="127"/>
    <x v="26"/>
    <d v="2023-03-26T00:00:00"/>
    <s v="Eric"/>
  </r>
  <r>
    <d v="2024-12-31T00:00:00"/>
    <x v="3"/>
    <x v="6"/>
    <n v="11"/>
    <n v="331.29"/>
    <s v="Store B"/>
    <s v="Wholesale"/>
    <x v="1"/>
    <x v="1"/>
    <x v="1321"/>
    <x v="2"/>
    <x v="2"/>
    <x v="0"/>
    <s v="REG101321"/>
    <s v="Cust 8850"/>
    <n v="6.22"/>
    <x v="702"/>
    <x v="52"/>
    <d v="2025-01-02T00:00:00"/>
    <s v="Cameron"/>
  </r>
  <r>
    <d v="2023-11-24T00:00:00"/>
    <x v="3"/>
    <x v="1"/>
    <n v="5"/>
    <n v="533.52"/>
    <s v="Store D"/>
    <s v="Wholesale"/>
    <x v="0"/>
    <x v="3"/>
    <x v="1322"/>
    <x v="2"/>
    <x v="0"/>
    <x v="1"/>
    <s v="REG101322"/>
    <s v="Cust 3061"/>
    <n v="9.08"/>
    <x v="704"/>
    <x v="20"/>
    <d v="2023-11-26T00:00:00"/>
    <s v="Cameron"/>
  </r>
  <r>
    <d v="2025-05-15T00:00:00"/>
    <x v="0"/>
    <x v="3"/>
    <n v="10"/>
    <n v="492.24"/>
    <s v="Store A"/>
    <s v="Retail"/>
    <x v="0"/>
    <x v="1"/>
    <x v="1323"/>
    <x v="1"/>
    <x v="2"/>
    <x v="0"/>
    <s v="REG101323"/>
    <s v="Cust 4732"/>
    <n v="38.89"/>
    <x v="705"/>
    <x v="13"/>
    <d v="2025-05-22T00:00:00"/>
    <s v="Eric"/>
  </r>
  <r>
    <d v="2025-04-06T00:00:00"/>
    <x v="1"/>
    <x v="5"/>
    <n v="9"/>
    <n v="543.57000000000005"/>
    <s v="Store D"/>
    <s v="Retail"/>
    <x v="2"/>
    <x v="4"/>
    <x v="1324"/>
    <x v="3"/>
    <x v="1"/>
    <x v="0"/>
    <s v="REG101324"/>
    <s v="Cust 9889"/>
    <n v="7.54"/>
    <x v="575"/>
    <x v="8"/>
    <d v="2025-04-11T00:00:00"/>
    <s v="Sophie"/>
  </r>
  <r>
    <d v="2024-02-06T00:00:00"/>
    <x v="1"/>
    <x v="2"/>
    <n v="17"/>
    <n v="141.76"/>
    <s v="Store D"/>
    <s v="Wholesale"/>
    <x v="1"/>
    <x v="5"/>
    <x v="1325"/>
    <x v="4"/>
    <x v="2"/>
    <x v="1"/>
    <s v="REG101325"/>
    <s v="Cust 2165"/>
    <n v="9.98"/>
    <x v="706"/>
    <x v="29"/>
    <d v="2024-02-14T00:00:00"/>
    <s v="Sophie"/>
  </r>
  <r>
    <d v="2025-05-14T00:00:00"/>
    <x v="2"/>
    <x v="0"/>
    <n v="12"/>
    <n v="502.7"/>
    <s v="Store D"/>
    <s v="Wholesale"/>
    <x v="1"/>
    <x v="1"/>
    <x v="1326"/>
    <x v="2"/>
    <x v="0"/>
    <x v="0"/>
    <s v="REG101326"/>
    <s v="Cust 6121"/>
    <n v="6.49"/>
    <x v="707"/>
    <x v="13"/>
    <d v="2025-05-20T00:00:00"/>
    <s v="Ryan"/>
  </r>
  <r>
    <d v="2023-01-13T00:00:00"/>
    <x v="0"/>
    <x v="5"/>
    <n v="10"/>
    <n v="155.43"/>
    <s v="Store D"/>
    <s v="Wholesale"/>
    <x v="3"/>
    <x v="2"/>
    <x v="1327"/>
    <x v="1"/>
    <x v="2"/>
    <x v="0"/>
    <s v="REG101327"/>
    <s v="Cust 4071"/>
    <n v="26.49"/>
    <x v="322"/>
    <x v="5"/>
    <d v="2023-01-18T00:00:00"/>
    <s v="Eric"/>
  </r>
  <r>
    <d v="2024-02-19T00:00:00"/>
    <x v="2"/>
    <x v="5"/>
    <n v="18"/>
    <n v="203.73"/>
    <s v="Store B"/>
    <s v="Wholesale"/>
    <x v="0"/>
    <x v="3"/>
    <x v="1328"/>
    <x v="1"/>
    <x v="1"/>
    <x v="1"/>
    <s v="REG101328"/>
    <s v="Cust 5249"/>
    <n v="24.98"/>
    <x v="708"/>
    <x v="0"/>
    <d v="2024-02-28T00:00:00"/>
    <s v="Ryan"/>
  </r>
  <r>
    <d v="2023-10-07T00:00:00"/>
    <x v="1"/>
    <x v="1"/>
    <n v="3"/>
    <n v="464.11"/>
    <s v="Store B"/>
    <s v="Wholesale"/>
    <x v="2"/>
    <x v="1"/>
    <x v="1329"/>
    <x v="1"/>
    <x v="3"/>
    <x v="0"/>
    <s v="REG101329"/>
    <s v="Cust 4262"/>
    <n v="27.45"/>
    <x v="444"/>
    <x v="35"/>
    <d v="2023-10-12T00:00:00"/>
    <s v="Sophie"/>
  </r>
  <r>
    <d v="2024-09-17T00:00:00"/>
    <x v="3"/>
    <x v="3"/>
    <n v="2"/>
    <n v="442.03"/>
    <s v="Store B"/>
    <s v="Retail"/>
    <x v="2"/>
    <x v="3"/>
    <x v="1330"/>
    <x v="3"/>
    <x v="2"/>
    <x v="0"/>
    <s v="REG101330"/>
    <s v="Cust 9314"/>
    <n v="28.71"/>
    <x v="457"/>
    <x v="46"/>
    <d v="2024-09-19T00:00:00"/>
    <s v="Cameron"/>
  </r>
  <r>
    <d v="2023-05-07T00:00:00"/>
    <x v="2"/>
    <x v="1"/>
    <n v="7"/>
    <n v="82.91"/>
    <s v="Store A"/>
    <s v="Retail"/>
    <x v="3"/>
    <x v="0"/>
    <x v="1331"/>
    <x v="3"/>
    <x v="2"/>
    <x v="1"/>
    <s v="REG101331"/>
    <s v="Cust 7703"/>
    <n v="17.03"/>
    <x v="709"/>
    <x v="2"/>
    <d v="2023-05-17T00:00:00"/>
    <s v="Ryan"/>
  </r>
  <r>
    <d v="2023-12-12T00:00:00"/>
    <x v="2"/>
    <x v="1"/>
    <n v="13"/>
    <n v="468.16"/>
    <s v="Store B"/>
    <s v="Retail"/>
    <x v="2"/>
    <x v="1"/>
    <x v="1332"/>
    <x v="4"/>
    <x v="1"/>
    <x v="0"/>
    <s v="REG101332"/>
    <s v="Cust 8367"/>
    <n v="29.11"/>
    <x v="289"/>
    <x v="12"/>
    <d v="2023-12-21T00:00:00"/>
    <s v="Ryan"/>
  </r>
  <r>
    <d v="2025-03-11T00:00:00"/>
    <x v="3"/>
    <x v="5"/>
    <n v="3"/>
    <n v="11.32"/>
    <s v="Store C"/>
    <s v="Retail"/>
    <x v="3"/>
    <x v="0"/>
    <x v="1333"/>
    <x v="0"/>
    <x v="2"/>
    <x v="0"/>
    <s v="REG101333"/>
    <s v="Cust 7872"/>
    <n v="16.39"/>
    <x v="402"/>
    <x v="23"/>
    <d v="2025-03-14T00:00:00"/>
    <s v="Cameron"/>
  </r>
  <r>
    <d v="2024-03-29T00:00:00"/>
    <x v="0"/>
    <x v="3"/>
    <n v="1"/>
    <n v="378.36"/>
    <s v="Store A"/>
    <s v="Retail"/>
    <x v="3"/>
    <x v="0"/>
    <x v="1334"/>
    <x v="4"/>
    <x v="3"/>
    <x v="0"/>
    <s v="REG101334"/>
    <s v="Cust 4732"/>
    <n v="7.59"/>
    <x v="604"/>
    <x v="41"/>
    <d v="2024-04-07T00:00:00"/>
    <s v="Eric"/>
  </r>
  <r>
    <d v="2024-07-28T00:00:00"/>
    <x v="4"/>
    <x v="5"/>
    <n v="6"/>
    <n v="61.06"/>
    <s v="Store D"/>
    <s v="Wholesale"/>
    <x v="0"/>
    <x v="5"/>
    <x v="1335"/>
    <x v="3"/>
    <x v="1"/>
    <x v="1"/>
    <s v="REG101335"/>
    <s v="Cust 1007"/>
    <n v="49.09"/>
    <x v="710"/>
    <x v="36"/>
    <d v="2024-08-05T00:00:00"/>
    <s v="Wendy"/>
  </r>
  <r>
    <d v="2024-07-11T00:00:00"/>
    <x v="1"/>
    <x v="5"/>
    <n v="14"/>
    <n v="98.06"/>
    <s v="Store A"/>
    <s v="Wholesale"/>
    <x v="1"/>
    <x v="1"/>
    <x v="1336"/>
    <x v="3"/>
    <x v="1"/>
    <x v="1"/>
    <s v="REG101336"/>
    <s v="Cust 1946"/>
    <n v="10.34"/>
    <x v="156"/>
    <x v="9"/>
    <d v="2024-07-21T00:00:00"/>
    <s v="Sophie"/>
  </r>
  <r>
    <d v="2024-07-05T00:00:00"/>
    <x v="4"/>
    <x v="0"/>
    <n v="16"/>
    <n v="123.86"/>
    <s v="Store A"/>
    <s v="Wholesale"/>
    <x v="2"/>
    <x v="1"/>
    <x v="1337"/>
    <x v="1"/>
    <x v="3"/>
    <x v="1"/>
    <s v="REG101337"/>
    <s v="Cust 6347"/>
    <n v="18.02"/>
    <x v="711"/>
    <x v="49"/>
    <d v="2024-07-14T00:00:00"/>
    <s v="Wendy"/>
  </r>
  <r>
    <d v="2024-03-19T00:00:00"/>
    <x v="0"/>
    <x v="0"/>
    <n v="16"/>
    <n v="90.3"/>
    <s v="Store C"/>
    <s v="Wholesale"/>
    <x v="3"/>
    <x v="4"/>
    <x v="1338"/>
    <x v="0"/>
    <x v="2"/>
    <x v="0"/>
    <s v="REG101338"/>
    <s v="Cust 6499"/>
    <n v="25.25"/>
    <x v="422"/>
    <x v="26"/>
    <d v="2024-03-24T00:00:00"/>
    <s v="Eric"/>
  </r>
  <r>
    <d v="2023-12-25T00:00:00"/>
    <x v="3"/>
    <x v="5"/>
    <n v="18"/>
    <n v="470.91"/>
    <s v="Store C"/>
    <s v="Wholesale"/>
    <x v="1"/>
    <x v="0"/>
    <x v="1339"/>
    <x v="1"/>
    <x v="0"/>
    <x v="0"/>
    <s v="REG101339"/>
    <s v="Cust 1420"/>
    <n v="14.87"/>
    <x v="486"/>
    <x v="37"/>
    <d v="2023-12-29T00:00:00"/>
    <s v="Cameron"/>
  </r>
  <r>
    <d v="2024-12-03T00:00:00"/>
    <x v="1"/>
    <x v="4"/>
    <n v="12"/>
    <n v="383.45"/>
    <s v="Store C"/>
    <s v="Retail"/>
    <x v="0"/>
    <x v="5"/>
    <x v="1340"/>
    <x v="3"/>
    <x v="0"/>
    <x v="0"/>
    <s v="REG101340"/>
    <s v="Cust 6744"/>
    <n v="11.62"/>
    <x v="581"/>
    <x v="21"/>
    <d v="2024-12-05T00:00:00"/>
    <s v="Sophie"/>
  </r>
  <r>
    <d v="2023-09-08T00:00:00"/>
    <x v="0"/>
    <x v="5"/>
    <n v="20"/>
    <n v="293.94"/>
    <s v="Store B"/>
    <s v="Retail"/>
    <x v="2"/>
    <x v="1"/>
    <x v="1341"/>
    <x v="2"/>
    <x v="1"/>
    <x v="0"/>
    <s v="REG101341"/>
    <s v="Cust 5690"/>
    <n v="9.2899999999999991"/>
    <x v="247"/>
    <x v="25"/>
    <d v="2023-09-15T00:00:00"/>
    <s v="Eric"/>
  </r>
  <r>
    <d v="2024-01-05T00:00:00"/>
    <x v="0"/>
    <x v="2"/>
    <n v="2"/>
    <n v="454.01"/>
    <s v="Store B"/>
    <s v="Wholesale"/>
    <x v="0"/>
    <x v="4"/>
    <x v="1342"/>
    <x v="0"/>
    <x v="2"/>
    <x v="0"/>
    <s v="REG101342"/>
    <s v="Cust 1265"/>
    <n v="9.7799999999999994"/>
    <x v="52"/>
    <x v="31"/>
    <d v="2024-01-07T00:00:00"/>
    <s v="Eric"/>
  </r>
  <r>
    <d v="2023-08-03T00:00:00"/>
    <x v="1"/>
    <x v="3"/>
    <n v="5"/>
    <n v="163.55000000000001"/>
    <s v="Store D"/>
    <s v="Retail"/>
    <x v="3"/>
    <x v="2"/>
    <x v="1343"/>
    <x v="4"/>
    <x v="3"/>
    <x v="0"/>
    <s v="REG101343"/>
    <s v="Cust 7676"/>
    <n v="28.9"/>
    <x v="712"/>
    <x v="36"/>
    <d v="2023-08-10T00:00:00"/>
    <s v="Sophie"/>
  </r>
  <r>
    <d v="2025-02-11T00:00:00"/>
    <x v="2"/>
    <x v="4"/>
    <n v="12"/>
    <n v="141.61000000000001"/>
    <s v="Store B"/>
    <s v="Wholesale"/>
    <x v="0"/>
    <x v="2"/>
    <x v="1344"/>
    <x v="2"/>
    <x v="2"/>
    <x v="0"/>
    <s v="REG101344"/>
    <s v="Cust 4442"/>
    <n v="11.72"/>
    <x v="668"/>
    <x v="22"/>
    <d v="2025-02-21T00:00:00"/>
    <s v="Ryan"/>
  </r>
  <r>
    <d v="2023-06-17T00:00:00"/>
    <x v="1"/>
    <x v="3"/>
    <n v="6"/>
    <n v="332.18"/>
    <s v="Store B"/>
    <s v="Wholesale"/>
    <x v="1"/>
    <x v="5"/>
    <x v="1345"/>
    <x v="0"/>
    <x v="2"/>
    <x v="0"/>
    <s v="REG101345"/>
    <s v="Cust 2975"/>
    <n v="21.95"/>
    <x v="357"/>
    <x v="33"/>
    <d v="2023-06-21T00:00:00"/>
    <s v="Sophie"/>
  </r>
  <r>
    <d v="2024-02-05T00:00:00"/>
    <x v="3"/>
    <x v="4"/>
    <n v="14"/>
    <n v="463.96"/>
    <s v="Store D"/>
    <s v="Retail"/>
    <x v="2"/>
    <x v="4"/>
    <x v="1346"/>
    <x v="1"/>
    <x v="3"/>
    <x v="0"/>
    <s v="REG101346"/>
    <s v="Cust 7832"/>
    <n v="29.19"/>
    <x v="713"/>
    <x v="29"/>
    <d v="2024-02-14T00:00:00"/>
    <s v="Cameron"/>
  </r>
  <r>
    <d v="2024-03-17T00:00:00"/>
    <x v="1"/>
    <x v="2"/>
    <n v="10"/>
    <n v="68.27"/>
    <s v="Store A"/>
    <s v="Wholesale"/>
    <x v="2"/>
    <x v="4"/>
    <x v="1347"/>
    <x v="2"/>
    <x v="3"/>
    <x v="0"/>
    <s v="REG101347"/>
    <s v="Cust 7753"/>
    <n v="24.33"/>
    <x v="138"/>
    <x v="26"/>
    <d v="2024-03-27T00:00:00"/>
    <s v="Sophie"/>
  </r>
  <r>
    <d v="2024-02-03T00:00:00"/>
    <x v="3"/>
    <x v="0"/>
    <n v="8"/>
    <n v="27.01"/>
    <s v="Store C"/>
    <s v="Wholesale"/>
    <x v="3"/>
    <x v="0"/>
    <x v="1348"/>
    <x v="0"/>
    <x v="0"/>
    <x v="1"/>
    <s v="REG101348"/>
    <s v="Cust 8639"/>
    <n v="42.65"/>
    <x v="490"/>
    <x v="43"/>
    <d v="2024-02-09T00:00:00"/>
    <s v="Cameron"/>
  </r>
  <r>
    <d v="2023-03-31T00:00:00"/>
    <x v="2"/>
    <x v="5"/>
    <n v="9"/>
    <n v="78.8"/>
    <s v="Store D"/>
    <s v="Retail"/>
    <x v="1"/>
    <x v="1"/>
    <x v="1349"/>
    <x v="0"/>
    <x v="0"/>
    <x v="0"/>
    <s v="REG101349"/>
    <s v="Cust 9878"/>
    <n v="9.2899999999999991"/>
    <x v="714"/>
    <x v="41"/>
    <d v="2023-04-10T00:00:00"/>
    <s v="Ryan"/>
  </r>
  <r>
    <d v="2023-08-18T00:00:00"/>
    <x v="4"/>
    <x v="5"/>
    <n v="16"/>
    <n v="174.68"/>
    <s v="Store B"/>
    <s v="Wholesale"/>
    <x v="2"/>
    <x v="2"/>
    <x v="1350"/>
    <x v="2"/>
    <x v="3"/>
    <x v="0"/>
    <s v="REG101350"/>
    <s v="Cust 4205"/>
    <n v="45.99"/>
    <x v="715"/>
    <x v="45"/>
    <d v="2023-08-22T00:00:00"/>
    <s v="Wendy"/>
  </r>
  <r>
    <d v="2023-09-10T00:00:00"/>
    <x v="3"/>
    <x v="6"/>
    <n v="4"/>
    <n v="306.06"/>
    <s v="Store C"/>
    <s v="Wholesale"/>
    <x v="3"/>
    <x v="3"/>
    <x v="1351"/>
    <x v="1"/>
    <x v="1"/>
    <x v="1"/>
    <s v="REG101351"/>
    <s v="Cust 4009"/>
    <n v="32.75"/>
    <x v="354"/>
    <x v="30"/>
    <d v="2023-09-13T00:00:00"/>
    <s v="Cameron"/>
  </r>
  <r>
    <d v="2024-01-29T00:00:00"/>
    <x v="1"/>
    <x v="5"/>
    <n v="12"/>
    <n v="164.22"/>
    <s v="Store C"/>
    <s v="Retail"/>
    <x v="0"/>
    <x v="5"/>
    <x v="1352"/>
    <x v="2"/>
    <x v="0"/>
    <x v="0"/>
    <s v="REG101352"/>
    <s v="Cust 6499"/>
    <n v="21.46"/>
    <x v="282"/>
    <x v="43"/>
    <d v="2024-02-03T00:00:00"/>
    <s v="Sophie"/>
  </r>
  <r>
    <d v="2024-03-21T00:00:00"/>
    <x v="2"/>
    <x v="5"/>
    <n v="20"/>
    <n v="336.29"/>
    <s v="Store C"/>
    <s v="Retail"/>
    <x v="0"/>
    <x v="0"/>
    <x v="1353"/>
    <x v="1"/>
    <x v="0"/>
    <x v="0"/>
    <s v="REG101353"/>
    <s v="Cust 4389"/>
    <n v="25.02"/>
    <x v="58"/>
    <x v="26"/>
    <d v="2024-03-30T00:00:00"/>
    <s v="Ryan"/>
  </r>
  <r>
    <d v="2024-08-03T00:00:00"/>
    <x v="4"/>
    <x v="5"/>
    <n v="7"/>
    <n v="180.25"/>
    <s v="Store D"/>
    <s v="Retail"/>
    <x v="1"/>
    <x v="4"/>
    <x v="1354"/>
    <x v="1"/>
    <x v="2"/>
    <x v="0"/>
    <s v="REG101354"/>
    <s v="Cust 2008"/>
    <n v="36.79"/>
    <x v="716"/>
    <x v="36"/>
    <d v="2024-08-05T00:00:00"/>
    <s v="Wendy"/>
  </r>
  <r>
    <d v="2025-05-05T00:00:00"/>
    <x v="2"/>
    <x v="4"/>
    <n v="1"/>
    <n v="21.75"/>
    <s v="Store C"/>
    <s v="Retail"/>
    <x v="0"/>
    <x v="1"/>
    <x v="1355"/>
    <x v="4"/>
    <x v="0"/>
    <x v="0"/>
    <s v="REG101355"/>
    <s v="Cust 6509"/>
    <n v="7.35"/>
    <x v="500"/>
    <x v="2"/>
    <d v="2025-05-14T00:00:00"/>
    <s v="Ryan"/>
  </r>
  <r>
    <d v="2023-02-08T00:00:00"/>
    <x v="4"/>
    <x v="5"/>
    <n v="13"/>
    <n v="149.16"/>
    <s v="Store C"/>
    <s v="Retail"/>
    <x v="1"/>
    <x v="0"/>
    <x v="1356"/>
    <x v="4"/>
    <x v="3"/>
    <x v="1"/>
    <s v="REG101356"/>
    <s v="Cust 4270"/>
    <n v="20.9"/>
    <x v="162"/>
    <x v="29"/>
    <d v="2023-02-16T00:00:00"/>
    <s v="Wendy"/>
  </r>
  <r>
    <d v="2023-05-26T00:00:00"/>
    <x v="3"/>
    <x v="3"/>
    <n v="7"/>
    <n v="220.9"/>
    <s v="Store A"/>
    <s v="Wholesale"/>
    <x v="2"/>
    <x v="5"/>
    <x v="1357"/>
    <x v="1"/>
    <x v="0"/>
    <x v="0"/>
    <s v="REG101357"/>
    <s v="Cust 4414"/>
    <n v="15.25"/>
    <x v="717"/>
    <x v="18"/>
    <d v="2023-06-05T00:00:00"/>
    <s v="Cameron"/>
  </r>
  <r>
    <d v="2024-07-15T00:00:00"/>
    <x v="0"/>
    <x v="3"/>
    <n v="1"/>
    <n v="364.27"/>
    <s v="Store A"/>
    <s v="Retail"/>
    <x v="1"/>
    <x v="1"/>
    <x v="1358"/>
    <x v="3"/>
    <x v="2"/>
    <x v="0"/>
    <s v="REG101358"/>
    <s v="Cust 6409"/>
    <n v="8.91"/>
    <x v="236"/>
    <x v="10"/>
    <d v="2024-07-22T00:00:00"/>
    <s v="Eric"/>
  </r>
  <r>
    <d v="2024-12-18T00:00:00"/>
    <x v="2"/>
    <x v="4"/>
    <n v="9"/>
    <n v="306.42"/>
    <s v="Store C"/>
    <s v="Wholesale"/>
    <x v="0"/>
    <x v="5"/>
    <x v="1359"/>
    <x v="0"/>
    <x v="3"/>
    <x v="0"/>
    <s v="REG101359"/>
    <s v="Cust 1621"/>
    <n v="15.81"/>
    <x v="227"/>
    <x v="1"/>
    <d v="2024-12-27T00:00:00"/>
    <s v="Ryan"/>
  </r>
  <r>
    <d v="2024-09-29T00:00:00"/>
    <x v="2"/>
    <x v="5"/>
    <n v="18"/>
    <n v="589"/>
    <s v="Store B"/>
    <s v="Wholesale"/>
    <x v="1"/>
    <x v="4"/>
    <x v="1360"/>
    <x v="4"/>
    <x v="2"/>
    <x v="0"/>
    <s v="REG101360"/>
    <s v="Cust 6790"/>
    <n v="37.78"/>
    <x v="385"/>
    <x v="35"/>
    <d v="2024-10-08T00:00:00"/>
    <s v="Ryan"/>
  </r>
  <r>
    <d v="2024-10-25T00:00:00"/>
    <x v="1"/>
    <x v="2"/>
    <n v="16"/>
    <n v="249.45"/>
    <s v="Store C"/>
    <s v="Wholesale"/>
    <x v="1"/>
    <x v="1"/>
    <x v="1361"/>
    <x v="4"/>
    <x v="0"/>
    <x v="0"/>
    <s v="REG101361"/>
    <s v="Cust 4045"/>
    <n v="20.92"/>
    <x v="718"/>
    <x v="19"/>
    <d v="2024-11-01T00:00:00"/>
    <s v="Sophie"/>
  </r>
  <r>
    <d v="2025-01-06T00:00:00"/>
    <x v="2"/>
    <x v="4"/>
    <n v="20"/>
    <n v="440.32"/>
    <s v="Store C"/>
    <s v="Retail"/>
    <x v="3"/>
    <x v="1"/>
    <x v="1362"/>
    <x v="3"/>
    <x v="1"/>
    <x v="1"/>
    <s v="REG101362"/>
    <s v="Cust 1258"/>
    <n v="6.17"/>
    <x v="428"/>
    <x v="5"/>
    <d v="2025-01-16T00:00:00"/>
    <s v="Ryan"/>
  </r>
  <r>
    <d v="2023-11-19T00:00:00"/>
    <x v="3"/>
    <x v="5"/>
    <n v="3"/>
    <n v="101.34"/>
    <s v="Store A"/>
    <s v="Wholesale"/>
    <x v="0"/>
    <x v="3"/>
    <x v="1363"/>
    <x v="3"/>
    <x v="3"/>
    <x v="0"/>
    <s v="REG101363"/>
    <s v="Cust 8051"/>
    <n v="23.15"/>
    <x v="86"/>
    <x v="20"/>
    <d v="2023-11-21T00:00:00"/>
    <s v="Cameron"/>
  </r>
  <r>
    <d v="2024-04-11T00:00:00"/>
    <x v="1"/>
    <x v="1"/>
    <n v="17"/>
    <n v="311.61"/>
    <s v="Store A"/>
    <s v="Retail"/>
    <x v="3"/>
    <x v="0"/>
    <x v="1364"/>
    <x v="0"/>
    <x v="3"/>
    <x v="1"/>
    <s v="REG101364"/>
    <s v="Cust 9371"/>
    <n v="29.9"/>
    <x v="610"/>
    <x v="8"/>
    <d v="2024-04-17T00:00:00"/>
    <s v="Sophie"/>
  </r>
  <r>
    <d v="2024-03-30T00:00:00"/>
    <x v="1"/>
    <x v="4"/>
    <n v="2"/>
    <n v="441.18"/>
    <s v="Store B"/>
    <s v="Retail"/>
    <x v="2"/>
    <x v="5"/>
    <x v="1365"/>
    <x v="4"/>
    <x v="3"/>
    <x v="1"/>
    <s v="REG101365"/>
    <s v="Cust 9881"/>
    <n v="23.07"/>
    <x v="719"/>
    <x v="41"/>
    <d v="2024-04-06T00:00:00"/>
    <s v="Sophie"/>
  </r>
  <r>
    <d v="2024-11-25T00:00:00"/>
    <x v="2"/>
    <x v="3"/>
    <n v="20"/>
    <n v="286.66000000000003"/>
    <s v="Store D"/>
    <s v="Retail"/>
    <x v="1"/>
    <x v="3"/>
    <x v="1366"/>
    <x v="3"/>
    <x v="2"/>
    <x v="0"/>
    <s v="REG101366"/>
    <s v="Cust 2153"/>
    <n v="15.54"/>
    <x v="681"/>
    <x v="15"/>
    <d v="2024-11-29T00:00:00"/>
    <s v="Ryan"/>
  </r>
  <r>
    <d v="2025-01-06T00:00:00"/>
    <x v="2"/>
    <x v="6"/>
    <n v="13"/>
    <n v="483.63"/>
    <s v="Store A"/>
    <s v="Retail"/>
    <x v="3"/>
    <x v="3"/>
    <x v="1367"/>
    <x v="4"/>
    <x v="0"/>
    <x v="0"/>
    <s v="REG101367"/>
    <s v="Cust 9189"/>
    <n v="18.22"/>
    <x v="428"/>
    <x v="5"/>
    <d v="2025-01-15T00:00:00"/>
    <s v="Ryan"/>
  </r>
  <r>
    <d v="2023-04-15T00:00:00"/>
    <x v="4"/>
    <x v="5"/>
    <n v="8"/>
    <n v="304.14999999999998"/>
    <s v="Store B"/>
    <s v="Wholesale"/>
    <x v="3"/>
    <x v="3"/>
    <x v="1368"/>
    <x v="3"/>
    <x v="3"/>
    <x v="0"/>
    <s v="REG101368"/>
    <s v="Cust 8802"/>
    <n v="41.73"/>
    <x v="180"/>
    <x v="8"/>
    <d v="2023-04-18T00:00:00"/>
    <s v="Wendy"/>
  </r>
  <r>
    <d v="2024-02-07T00:00:00"/>
    <x v="0"/>
    <x v="6"/>
    <n v="10"/>
    <n v="452.21"/>
    <s v="Store A"/>
    <s v="Retail"/>
    <x v="1"/>
    <x v="0"/>
    <x v="1369"/>
    <x v="4"/>
    <x v="2"/>
    <x v="0"/>
    <s v="REG101369"/>
    <s v="Cust 8707"/>
    <n v="15.87"/>
    <x v="451"/>
    <x v="29"/>
    <d v="2024-02-17T00:00:00"/>
    <s v="Eric"/>
  </r>
  <r>
    <d v="2023-06-02T00:00:00"/>
    <x v="0"/>
    <x v="6"/>
    <n v="4"/>
    <n v="248.16"/>
    <s v="Store B"/>
    <s v="Retail"/>
    <x v="1"/>
    <x v="4"/>
    <x v="1370"/>
    <x v="2"/>
    <x v="3"/>
    <x v="1"/>
    <s v="REG101370"/>
    <s v="Cust 5638"/>
    <n v="45.11"/>
    <x v="720"/>
    <x v="14"/>
    <d v="2023-06-05T00:00:00"/>
    <s v="Eric"/>
  </r>
  <r>
    <d v="2023-08-24T00:00:00"/>
    <x v="0"/>
    <x v="0"/>
    <n v="4"/>
    <n v="520"/>
    <s v="Store A"/>
    <s v="Retail"/>
    <x v="0"/>
    <x v="0"/>
    <x v="1371"/>
    <x v="2"/>
    <x v="2"/>
    <x v="0"/>
    <s v="REG101371"/>
    <s v="Cust 6036"/>
    <n v="18.25"/>
    <x v="648"/>
    <x v="48"/>
    <d v="2023-09-02T00:00:00"/>
    <s v="Eric"/>
  </r>
  <r>
    <d v="2024-12-06T00:00:00"/>
    <x v="1"/>
    <x v="3"/>
    <n v="11"/>
    <n v="571.07000000000005"/>
    <s v="Store A"/>
    <s v="Retail"/>
    <x v="0"/>
    <x v="2"/>
    <x v="1372"/>
    <x v="1"/>
    <x v="1"/>
    <x v="0"/>
    <s v="REG101372"/>
    <s v="Cust 5504"/>
    <n v="12.6"/>
    <x v="721"/>
    <x v="21"/>
    <d v="2024-12-11T00:00:00"/>
    <s v="Sophie"/>
  </r>
  <r>
    <d v="2023-12-08T00:00:00"/>
    <x v="0"/>
    <x v="5"/>
    <n v="11"/>
    <n v="65.569999999999993"/>
    <s v="Store D"/>
    <s v="Retail"/>
    <x v="1"/>
    <x v="4"/>
    <x v="1373"/>
    <x v="3"/>
    <x v="1"/>
    <x v="1"/>
    <s v="REG101373"/>
    <s v="Cust 1161"/>
    <n v="30.43"/>
    <x v="437"/>
    <x v="21"/>
    <d v="2023-12-14T00:00:00"/>
    <s v="Eric"/>
  </r>
  <r>
    <d v="2023-05-12T00:00:00"/>
    <x v="1"/>
    <x v="5"/>
    <n v="4"/>
    <n v="397.02"/>
    <s v="Store A"/>
    <s v="Wholesale"/>
    <x v="0"/>
    <x v="2"/>
    <x v="1374"/>
    <x v="4"/>
    <x v="0"/>
    <x v="0"/>
    <s v="REG101374"/>
    <s v="Cust 5420"/>
    <n v="23.25"/>
    <x v="551"/>
    <x v="2"/>
    <d v="2023-05-20T00:00:00"/>
    <s v="Sophie"/>
  </r>
  <r>
    <d v="2025-04-24T00:00:00"/>
    <x v="4"/>
    <x v="0"/>
    <n v="10"/>
    <n v="169.35"/>
    <s v="Store B"/>
    <s v="Retail"/>
    <x v="3"/>
    <x v="1"/>
    <x v="1375"/>
    <x v="2"/>
    <x v="2"/>
    <x v="0"/>
    <s v="REG101375"/>
    <s v="Cust 7745"/>
    <n v="44.91"/>
    <x v="696"/>
    <x v="42"/>
    <d v="2025-04-27T00:00:00"/>
    <s v="Wendy"/>
  </r>
  <r>
    <d v="2023-04-23T00:00:00"/>
    <x v="3"/>
    <x v="5"/>
    <n v="9"/>
    <n v="340.44"/>
    <s v="Store D"/>
    <s v="Retail"/>
    <x v="3"/>
    <x v="3"/>
    <x v="1376"/>
    <x v="3"/>
    <x v="0"/>
    <x v="1"/>
    <s v="REG101376"/>
    <s v="Cust 4365"/>
    <n v="36.68"/>
    <x v="134"/>
    <x v="42"/>
    <d v="2023-05-03T00:00:00"/>
    <s v="Cameron"/>
  </r>
  <r>
    <d v="2023-01-18T00:00:00"/>
    <x v="2"/>
    <x v="4"/>
    <n v="1"/>
    <n v="120.2"/>
    <s v="Store D"/>
    <s v="Retail"/>
    <x v="3"/>
    <x v="3"/>
    <x v="1377"/>
    <x v="0"/>
    <x v="2"/>
    <x v="0"/>
    <s v="REG101377"/>
    <s v="Cust 3291"/>
    <n v="44.99"/>
    <x v="722"/>
    <x v="11"/>
    <d v="2023-01-21T00:00:00"/>
    <s v="Ryan"/>
  </r>
  <r>
    <d v="2025-05-11T00:00:00"/>
    <x v="2"/>
    <x v="1"/>
    <n v="13"/>
    <n v="169.39"/>
    <s v="Store B"/>
    <s v="Wholesale"/>
    <x v="2"/>
    <x v="4"/>
    <x v="1378"/>
    <x v="2"/>
    <x v="3"/>
    <x v="0"/>
    <s v="REG101378"/>
    <s v="Cust 9020"/>
    <n v="6.81"/>
    <x v="15"/>
    <x v="13"/>
    <d v="2025-05-21T00:00:00"/>
    <s v="Ryan"/>
  </r>
  <r>
    <d v="2024-12-23T00:00:00"/>
    <x v="4"/>
    <x v="5"/>
    <n v="10"/>
    <n v="170.72"/>
    <s v="Store A"/>
    <s v="Wholesale"/>
    <x v="3"/>
    <x v="2"/>
    <x v="1379"/>
    <x v="0"/>
    <x v="0"/>
    <x v="0"/>
    <s v="REG101379"/>
    <s v="Cust 2667"/>
    <n v="29.18"/>
    <x v="473"/>
    <x v="37"/>
    <d v="2025-01-02T00:00:00"/>
    <s v="Wendy"/>
  </r>
  <r>
    <d v="2023-08-20T00:00:00"/>
    <x v="4"/>
    <x v="2"/>
    <n v="9"/>
    <n v="323.77"/>
    <s v="Store A"/>
    <s v="Wholesale"/>
    <x v="2"/>
    <x v="3"/>
    <x v="1380"/>
    <x v="3"/>
    <x v="3"/>
    <x v="0"/>
    <s v="REG101380"/>
    <s v="Cust 6158"/>
    <n v="6.36"/>
    <x v="652"/>
    <x v="48"/>
    <d v="2023-08-28T00:00:00"/>
    <s v="Wendy"/>
  </r>
  <r>
    <d v="2025-03-18T00:00:00"/>
    <x v="3"/>
    <x v="3"/>
    <n v="4"/>
    <n v="481.86"/>
    <s v="Store B"/>
    <s v="Wholesale"/>
    <x v="0"/>
    <x v="5"/>
    <x v="1381"/>
    <x v="0"/>
    <x v="0"/>
    <x v="0"/>
    <s v="REG101381"/>
    <s v="Cust 7404"/>
    <n v="21.92"/>
    <x v="213"/>
    <x v="26"/>
    <d v="2025-03-23T00:00:00"/>
    <s v="Cameron"/>
  </r>
  <r>
    <d v="2024-01-16T00:00:00"/>
    <x v="3"/>
    <x v="1"/>
    <n v="4"/>
    <n v="78.05"/>
    <s v="Store A"/>
    <s v="Retail"/>
    <x v="0"/>
    <x v="3"/>
    <x v="1382"/>
    <x v="2"/>
    <x v="3"/>
    <x v="0"/>
    <s v="REG101382"/>
    <s v="Cust 8572"/>
    <n v="14.03"/>
    <x v="436"/>
    <x v="11"/>
    <d v="2024-01-24T00:00:00"/>
    <s v="Cameron"/>
  </r>
  <r>
    <d v="2024-05-29T00:00:00"/>
    <x v="0"/>
    <x v="5"/>
    <n v="6"/>
    <n v="57.4"/>
    <s v="Store C"/>
    <s v="Wholesale"/>
    <x v="1"/>
    <x v="0"/>
    <x v="1383"/>
    <x v="3"/>
    <x v="0"/>
    <x v="0"/>
    <s v="REG101383"/>
    <s v="Cust 1043"/>
    <n v="26.42"/>
    <x v="723"/>
    <x v="14"/>
    <d v="2024-06-08T00:00:00"/>
    <s v="Eric"/>
  </r>
  <r>
    <d v="2025-03-25T00:00:00"/>
    <x v="1"/>
    <x v="0"/>
    <n v="9"/>
    <n v="454.98"/>
    <s v="Store B"/>
    <s v="Wholesale"/>
    <x v="2"/>
    <x v="0"/>
    <x v="1384"/>
    <x v="2"/>
    <x v="3"/>
    <x v="0"/>
    <s v="REG101384"/>
    <s v="Cust 1766"/>
    <n v="40.76"/>
    <x v="287"/>
    <x v="41"/>
    <d v="2025-03-27T00:00:00"/>
    <s v="Sophie"/>
  </r>
  <r>
    <d v="2025-03-22T00:00:00"/>
    <x v="3"/>
    <x v="2"/>
    <n v="11"/>
    <n v="365.75"/>
    <s v="Store D"/>
    <s v="Wholesale"/>
    <x v="3"/>
    <x v="5"/>
    <x v="1385"/>
    <x v="3"/>
    <x v="0"/>
    <x v="1"/>
    <s v="REG101385"/>
    <s v="Cust 4461"/>
    <n v="8.3699999999999992"/>
    <x v="61"/>
    <x v="26"/>
    <d v="2025-03-27T00:00:00"/>
    <s v="Cameron"/>
  </r>
  <r>
    <d v="2024-08-17T00:00:00"/>
    <x v="0"/>
    <x v="1"/>
    <n v="7"/>
    <n v="106.88"/>
    <s v="Store C"/>
    <s v="Retail"/>
    <x v="3"/>
    <x v="4"/>
    <x v="1386"/>
    <x v="4"/>
    <x v="2"/>
    <x v="1"/>
    <s v="REG101386"/>
    <s v="Cust 4390"/>
    <n v="26.12"/>
    <x v="157"/>
    <x v="45"/>
    <d v="2024-08-24T00:00:00"/>
    <s v="Eric"/>
  </r>
  <r>
    <d v="2024-06-02T00:00:00"/>
    <x v="1"/>
    <x v="6"/>
    <n v="2"/>
    <n v="250.98"/>
    <s v="Store B"/>
    <s v="Wholesale"/>
    <x v="1"/>
    <x v="0"/>
    <x v="1387"/>
    <x v="0"/>
    <x v="2"/>
    <x v="0"/>
    <s v="REG101387"/>
    <s v="Cust 9451"/>
    <n v="18.8"/>
    <x v="403"/>
    <x v="16"/>
    <d v="2024-06-12T00:00:00"/>
    <s v="Sophie"/>
  </r>
  <r>
    <d v="2023-03-31T00:00:00"/>
    <x v="1"/>
    <x v="4"/>
    <n v="8"/>
    <n v="591.29"/>
    <s v="Store C"/>
    <s v="Retail"/>
    <x v="1"/>
    <x v="4"/>
    <x v="1388"/>
    <x v="2"/>
    <x v="3"/>
    <x v="1"/>
    <s v="REG101388"/>
    <s v="Cust 5335"/>
    <n v="45.14"/>
    <x v="714"/>
    <x v="41"/>
    <d v="2023-04-10T00:00:00"/>
    <s v="Sophie"/>
  </r>
  <r>
    <d v="2024-05-19T00:00:00"/>
    <x v="4"/>
    <x v="4"/>
    <n v="18"/>
    <n v="369.79"/>
    <s v="Store A"/>
    <s v="Wholesale"/>
    <x v="3"/>
    <x v="0"/>
    <x v="1389"/>
    <x v="4"/>
    <x v="0"/>
    <x v="1"/>
    <s v="REG101389"/>
    <s v="Cust 3487"/>
    <n v="16.399999999999999"/>
    <x v="539"/>
    <x v="18"/>
    <d v="2024-05-23T00:00:00"/>
    <s v="Wendy"/>
  </r>
  <r>
    <d v="2023-03-02T00:00:00"/>
    <x v="4"/>
    <x v="2"/>
    <n v="15"/>
    <n v="166.24"/>
    <s v="Store D"/>
    <s v="Wholesale"/>
    <x v="1"/>
    <x v="4"/>
    <x v="1390"/>
    <x v="3"/>
    <x v="1"/>
    <x v="0"/>
    <s v="REG101390"/>
    <s v="Cust 7613"/>
    <n v="9.86"/>
    <x v="724"/>
    <x v="3"/>
    <d v="2023-03-05T00:00:00"/>
    <s v="Wendy"/>
  </r>
  <r>
    <d v="2023-03-13T00:00:00"/>
    <x v="2"/>
    <x v="6"/>
    <n v="12"/>
    <n v="260.76"/>
    <s v="Store C"/>
    <s v="Wholesale"/>
    <x v="2"/>
    <x v="3"/>
    <x v="1391"/>
    <x v="0"/>
    <x v="3"/>
    <x v="0"/>
    <s v="REG101391"/>
    <s v="Cust 9436"/>
    <n v="20.92"/>
    <x v="122"/>
    <x v="23"/>
    <d v="2023-03-22T00:00:00"/>
    <s v="Ryan"/>
  </r>
  <r>
    <d v="2025-04-16T00:00:00"/>
    <x v="4"/>
    <x v="0"/>
    <n v="10"/>
    <n v="348.63"/>
    <s v="Store D"/>
    <s v="Wholesale"/>
    <x v="3"/>
    <x v="4"/>
    <x v="1392"/>
    <x v="2"/>
    <x v="3"/>
    <x v="1"/>
    <s v="REG101392"/>
    <s v="Cust 2197"/>
    <n v="42.79"/>
    <x v="454"/>
    <x v="32"/>
    <d v="2025-04-18T00:00:00"/>
    <s v="Wendy"/>
  </r>
  <r>
    <d v="2024-06-05T00:00:00"/>
    <x v="2"/>
    <x v="3"/>
    <n v="5"/>
    <n v="473.28"/>
    <s v="Store A"/>
    <s v="Retail"/>
    <x v="0"/>
    <x v="4"/>
    <x v="1393"/>
    <x v="2"/>
    <x v="1"/>
    <x v="1"/>
    <s v="REG101393"/>
    <s v="Cust 5620"/>
    <n v="30.69"/>
    <x v="410"/>
    <x v="16"/>
    <d v="2024-06-15T00:00:00"/>
    <s v="Ryan"/>
  </r>
  <r>
    <d v="2024-09-01T00:00:00"/>
    <x v="2"/>
    <x v="3"/>
    <n v="16"/>
    <n v="401.83"/>
    <s v="Store B"/>
    <s v="Retail"/>
    <x v="0"/>
    <x v="0"/>
    <x v="1394"/>
    <x v="4"/>
    <x v="0"/>
    <x v="0"/>
    <s v="REG101394"/>
    <s v="Cust 4101"/>
    <n v="21.54"/>
    <x v="404"/>
    <x v="25"/>
    <d v="2024-09-05T00:00:00"/>
    <s v="Ryan"/>
  </r>
  <r>
    <d v="2024-09-21T00:00:00"/>
    <x v="2"/>
    <x v="1"/>
    <n v="10"/>
    <n v="269.29000000000002"/>
    <s v="Store C"/>
    <s v="Retail"/>
    <x v="0"/>
    <x v="0"/>
    <x v="1395"/>
    <x v="3"/>
    <x v="1"/>
    <x v="0"/>
    <s v="REG101395"/>
    <s v="Cust 8828"/>
    <n v="14.09"/>
    <x v="367"/>
    <x v="46"/>
    <d v="2024-09-30T00:00:00"/>
    <s v="Ryan"/>
  </r>
  <r>
    <d v="2025-01-11T00:00:00"/>
    <x v="2"/>
    <x v="2"/>
    <n v="4"/>
    <n v="323.02"/>
    <s v="Store C"/>
    <s v="Retail"/>
    <x v="3"/>
    <x v="4"/>
    <x v="1396"/>
    <x v="4"/>
    <x v="3"/>
    <x v="0"/>
    <s v="REG101396"/>
    <s v="Cust 3187"/>
    <n v="19.53"/>
    <x v="405"/>
    <x v="5"/>
    <d v="2025-01-16T00:00:00"/>
    <s v="Ryan"/>
  </r>
  <r>
    <d v="2023-01-04T00:00:00"/>
    <x v="4"/>
    <x v="4"/>
    <n v="15"/>
    <n v="439.89"/>
    <s v="Store D"/>
    <s v="Retail"/>
    <x v="2"/>
    <x v="4"/>
    <x v="1397"/>
    <x v="0"/>
    <x v="0"/>
    <x v="0"/>
    <s v="REG101397"/>
    <s v="Cust 1081"/>
    <n v="49.71"/>
    <x v="725"/>
    <x v="31"/>
    <d v="2023-01-08T00:00:00"/>
    <s v="Wendy"/>
  </r>
  <r>
    <d v="2023-05-02T00:00:00"/>
    <x v="4"/>
    <x v="4"/>
    <n v="16"/>
    <n v="483.09"/>
    <s v="Store C"/>
    <s v="Wholesale"/>
    <x v="3"/>
    <x v="1"/>
    <x v="1398"/>
    <x v="3"/>
    <x v="3"/>
    <x v="1"/>
    <s v="REG101398"/>
    <s v="Cust 5049"/>
    <n v="37.659999999999997"/>
    <x v="210"/>
    <x v="40"/>
    <d v="2023-05-05T00:00:00"/>
    <s v="Wendy"/>
  </r>
  <r>
    <d v="2023-07-09T00:00:00"/>
    <x v="0"/>
    <x v="1"/>
    <n v="13"/>
    <n v="27.39"/>
    <s v="Store B"/>
    <s v="Retail"/>
    <x v="2"/>
    <x v="2"/>
    <x v="1399"/>
    <x v="4"/>
    <x v="3"/>
    <x v="0"/>
    <s v="REG101399"/>
    <s v="Cust 5409"/>
    <n v="22.95"/>
    <x v="657"/>
    <x v="9"/>
    <d v="2023-07-14T00:00:00"/>
    <s v="Eric"/>
  </r>
  <r>
    <d v="2025-02-27T00:00:00"/>
    <x v="0"/>
    <x v="4"/>
    <n v="18"/>
    <n v="432.52"/>
    <s v="Store D"/>
    <s v="Retail"/>
    <x v="3"/>
    <x v="5"/>
    <x v="1400"/>
    <x v="2"/>
    <x v="1"/>
    <x v="1"/>
    <s v="REG101400"/>
    <s v="Cust 2372"/>
    <n v="34.19"/>
    <x v="370"/>
    <x v="3"/>
    <d v="2025-03-04T00:00:00"/>
    <s v="Eric"/>
  </r>
  <r>
    <d v="2024-09-23T00:00:00"/>
    <x v="4"/>
    <x v="6"/>
    <n v="3"/>
    <n v="360.93"/>
    <s v="Store B"/>
    <s v="Wholesale"/>
    <x v="2"/>
    <x v="4"/>
    <x v="1401"/>
    <x v="3"/>
    <x v="2"/>
    <x v="0"/>
    <s v="REG101401"/>
    <s v="Cust 2741"/>
    <n v="35.61"/>
    <x v="726"/>
    <x v="39"/>
    <d v="2024-09-29T00:00:00"/>
    <s v="Wendy"/>
  </r>
  <r>
    <d v="2025-06-22T00:00:00"/>
    <x v="0"/>
    <x v="5"/>
    <n v="5"/>
    <n v="414.58"/>
    <s v="Store B"/>
    <s v="Retail"/>
    <x v="1"/>
    <x v="4"/>
    <x v="1402"/>
    <x v="1"/>
    <x v="3"/>
    <x v="0"/>
    <s v="REG101402"/>
    <s v="Cust 2571"/>
    <n v="14.98"/>
    <x v="153"/>
    <x v="28"/>
    <d v="2025-07-01T00:00:00"/>
    <s v="Eric"/>
  </r>
  <r>
    <d v="2025-01-19T00:00:00"/>
    <x v="3"/>
    <x v="5"/>
    <n v="4"/>
    <n v="68.040000000000006"/>
    <s v="Store C"/>
    <s v="Wholesale"/>
    <x v="0"/>
    <x v="5"/>
    <x v="1403"/>
    <x v="0"/>
    <x v="0"/>
    <x v="0"/>
    <s v="REG101403"/>
    <s v="Cust 6301"/>
    <n v="18.72"/>
    <x v="423"/>
    <x v="34"/>
    <d v="2025-01-28T00:00:00"/>
    <s v="Cameron"/>
  </r>
  <r>
    <d v="2025-02-03T00:00:00"/>
    <x v="0"/>
    <x v="1"/>
    <n v="10"/>
    <n v="407.99"/>
    <s v="Store C"/>
    <s v="Retail"/>
    <x v="2"/>
    <x v="0"/>
    <x v="1404"/>
    <x v="4"/>
    <x v="3"/>
    <x v="0"/>
    <s v="REG101404"/>
    <s v="Cust 7918"/>
    <n v="49.59"/>
    <x v="45"/>
    <x v="29"/>
    <d v="2025-02-08T00:00:00"/>
    <s v="Eric"/>
  </r>
  <r>
    <d v="2023-11-11T00:00:00"/>
    <x v="0"/>
    <x v="5"/>
    <n v="15"/>
    <n v="274.77"/>
    <s v="Store D"/>
    <s v="Retail"/>
    <x v="0"/>
    <x v="0"/>
    <x v="1405"/>
    <x v="4"/>
    <x v="3"/>
    <x v="1"/>
    <s v="REG101405"/>
    <s v="Cust 3456"/>
    <n v="19.37"/>
    <x v="203"/>
    <x v="47"/>
    <d v="2023-11-17T00:00:00"/>
    <s v="Eric"/>
  </r>
  <r>
    <d v="2024-05-08T00:00:00"/>
    <x v="0"/>
    <x v="2"/>
    <n v="15"/>
    <n v="31.81"/>
    <s v="Store C"/>
    <s v="Wholesale"/>
    <x v="2"/>
    <x v="0"/>
    <x v="1406"/>
    <x v="4"/>
    <x v="1"/>
    <x v="0"/>
    <s v="REG101406"/>
    <s v="Cust 8272"/>
    <n v="23.61"/>
    <x v="336"/>
    <x v="2"/>
    <d v="2024-05-10T00:00:00"/>
    <s v="Eric"/>
  </r>
  <r>
    <d v="2023-09-18T00:00:00"/>
    <x v="1"/>
    <x v="6"/>
    <n v="14"/>
    <n v="268.32"/>
    <s v="Store D"/>
    <s v="Retail"/>
    <x v="0"/>
    <x v="2"/>
    <x v="1407"/>
    <x v="0"/>
    <x v="2"/>
    <x v="0"/>
    <s v="REG101407"/>
    <s v="Cust 7302"/>
    <n v="43.14"/>
    <x v="339"/>
    <x v="46"/>
    <d v="2023-09-27T00:00:00"/>
    <s v="Sophie"/>
  </r>
  <r>
    <d v="2025-04-05T00:00:00"/>
    <x v="3"/>
    <x v="5"/>
    <n v="19"/>
    <n v="350.12"/>
    <s v="Store D"/>
    <s v="Retail"/>
    <x v="3"/>
    <x v="1"/>
    <x v="1408"/>
    <x v="2"/>
    <x v="0"/>
    <x v="0"/>
    <s v="REG101408"/>
    <s v="Cust 6716"/>
    <n v="48.98"/>
    <x v="518"/>
    <x v="24"/>
    <d v="2025-04-13T00:00:00"/>
    <s v="Cameron"/>
  </r>
  <r>
    <d v="2023-09-13T00:00:00"/>
    <x v="3"/>
    <x v="2"/>
    <n v="9"/>
    <n v="329.15"/>
    <s v="Store A"/>
    <s v="Retail"/>
    <x v="3"/>
    <x v="4"/>
    <x v="1409"/>
    <x v="1"/>
    <x v="0"/>
    <x v="0"/>
    <s v="REG101409"/>
    <s v="Cust 5484"/>
    <n v="29.41"/>
    <x v="727"/>
    <x v="30"/>
    <d v="2023-09-15T00:00:00"/>
    <s v="Cameron"/>
  </r>
  <r>
    <d v="2024-06-28T00:00:00"/>
    <x v="0"/>
    <x v="4"/>
    <n v="1"/>
    <n v="577.07000000000005"/>
    <s v="Store C"/>
    <s v="Wholesale"/>
    <x v="3"/>
    <x v="2"/>
    <x v="1410"/>
    <x v="0"/>
    <x v="2"/>
    <x v="0"/>
    <s v="REG101410"/>
    <s v="Cust 4652"/>
    <n v="22.97"/>
    <x v="163"/>
    <x v="28"/>
    <d v="2024-07-06T00:00:00"/>
    <s v="Eric"/>
  </r>
  <r>
    <d v="2023-04-06T00:00:00"/>
    <x v="3"/>
    <x v="3"/>
    <n v="6"/>
    <n v="544.33000000000004"/>
    <s v="Store B"/>
    <s v="Wholesale"/>
    <x v="1"/>
    <x v="3"/>
    <x v="1411"/>
    <x v="4"/>
    <x v="3"/>
    <x v="0"/>
    <s v="REG101411"/>
    <s v="Cust 1222"/>
    <n v="11.52"/>
    <x v="645"/>
    <x v="24"/>
    <d v="2023-04-08T00:00:00"/>
    <s v="Cameron"/>
  </r>
  <r>
    <d v="2023-05-13T00:00:00"/>
    <x v="1"/>
    <x v="0"/>
    <n v="18"/>
    <n v="331.45"/>
    <s v="Store D"/>
    <s v="Retail"/>
    <x v="2"/>
    <x v="1"/>
    <x v="1412"/>
    <x v="4"/>
    <x v="2"/>
    <x v="1"/>
    <s v="REG101412"/>
    <s v="Cust 3559"/>
    <n v="32.92"/>
    <x v="194"/>
    <x v="2"/>
    <d v="2023-05-18T00:00:00"/>
    <s v="Sophie"/>
  </r>
  <r>
    <d v="2025-05-07T00:00:00"/>
    <x v="0"/>
    <x v="0"/>
    <n v="1"/>
    <n v="421.26"/>
    <s v="Store D"/>
    <s v="Retail"/>
    <x v="1"/>
    <x v="0"/>
    <x v="1413"/>
    <x v="3"/>
    <x v="0"/>
    <x v="0"/>
    <s v="REG101413"/>
    <s v="Cust 1287"/>
    <n v="36.340000000000003"/>
    <x v="695"/>
    <x v="2"/>
    <d v="2025-05-15T00:00:00"/>
    <s v="Eric"/>
  </r>
  <r>
    <d v="2025-03-22T00:00:00"/>
    <x v="2"/>
    <x v="5"/>
    <n v="4"/>
    <n v="555.02"/>
    <s v="Store B"/>
    <s v="Retail"/>
    <x v="1"/>
    <x v="4"/>
    <x v="1414"/>
    <x v="4"/>
    <x v="1"/>
    <x v="0"/>
    <s v="REG101414"/>
    <s v="Cust 5444"/>
    <n v="45.25"/>
    <x v="61"/>
    <x v="26"/>
    <d v="2025-03-27T00:00:00"/>
    <s v="Ryan"/>
  </r>
  <r>
    <d v="2024-06-24T00:00:00"/>
    <x v="1"/>
    <x v="0"/>
    <n v="19"/>
    <n v="254.03"/>
    <s v="Store C"/>
    <s v="Wholesale"/>
    <x v="0"/>
    <x v="2"/>
    <x v="1415"/>
    <x v="0"/>
    <x v="1"/>
    <x v="1"/>
    <s v="REG101415"/>
    <s v="Cust 4018"/>
    <n v="11.21"/>
    <x v="503"/>
    <x v="28"/>
    <d v="2024-07-02T00:00:00"/>
    <s v="Sophie"/>
  </r>
  <r>
    <d v="2025-06-29T00:00:00"/>
    <x v="4"/>
    <x v="5"/>
    <n v="9"/>
    <n v="533.92999999999995"/>
    <s v="Store D"/>
    <s v="Retail"/>
    <x v="2"/>
    <x v="2"/>
    <x v="1416"/>
    <x v="1"/>
    <x v="3"/>
    <x v="0"/>
    <s v="REG101416"/>
    <s v="Cust 6355"/>
    <n v="34.76"/>
    <x v="176"/>
    <x v="49"/>
    <d v="2025-07-03T00:00:00"/>
    <s v="Wendy"/>
  </r>
  <r>
    <d v="2024-04-01T00:00:00"/>
    <x v="4"/>
    <x v="2"/>
    <n v="7"/>
    <n v="241.35"/>
    <s v="Store B"/>
    <s v="Wholesale"/>
    <x v="1"/>
    <x v="4"/>
    <x v="1417"/>
    <x v="2"/>
    <x v="1"/>
    <x v="0"/>
    <s v="REG101417"/>
    <s v="Cust 6620"/>
    <n v="42.43"/>
    <x v="204"/>
    <x v="24"/>
    <d v="2024-04-10T00:00:00"/>
    <s v="Wendy"/>
  </r>
  <r>
    <d v="2024-06-04T00:00:00"/>
    <x v="2"/>
    <x v="5"/>
    <n v="11"/>
    <n v="160.37"/>
    <s v="Store B"/>
    <s v="Wholesale"/>
    <x v="3"/>
    <x v="3"/>
    <x v="1418"/>
    <x v="4"/>
    <x v="3"/>
    <x v="0"/>
    <s v="REG101418"/>
    <s v="Cust 4092"/>
    <n v="36.049999999999997"/>
    <x v="44"/>
    <x v="16"/>
    <d v="2024-06-14T00:00:00"/>
    <s v="Ryan"/>
  </r>
  <r>
    <d v="2023-03-30T00:00:00"/>
    <x v="0"/>
    <x v="5"/>
    <n v="1"/>
    <n v="419.1"/>
    <s v="Store B"/>
    <s v="Wholesale"/>
    <x v="1"/>
    <x v="3"/>
    <x v="1419"/>
    <x v="1"/>
    <x v="1"/>
    <x v="1"/>
    <s v="REG101419"/>
    <s v="Cust 4812"/>
    <n v="38.81"/>
    <x v="306"/>
    <x v="41"/>
    <d v="2023-04-06T00:00:00"/>
    <s v="Eric"/>
  </r>
  <r>
    <d v="2025-03-26T00:00:00"/>
    <x v="0"/>
    <x v="0"/>
    <n v="13"/>
    <n v="138.72"/>
    <s v="Store D"/>
    <s v="Wholesale"/>
    <x v="2"/>
    <x v="3"/>
    <x v="1420"/>
    <x v="4"/>
    <x v="2"/>
    <x v="1"/>
    <s v="REG101420"/>
    <s v="Cust 8389"/>
    <n v="17.89"/>
    <x v="582"/>
    <x v="41"/>
    <d v="2025-03-28T00:00:00"/>
    <s v="Eric"/>
  </r>
  <r>
    <d v="2023-08-22T00:00:00"/>
    <x v="4"/>
    <x v="4"/>
    <n v="8"/>
    <n v="461.04"/>
    <s v="Store B"/>
    <s v="Retail"/>
    <x v="0"/>
    <x v="1"/>
    <x v="1421"/>
    <x v="0"/>
    <x v="0"/>
    <x v="0"/>
    <s v="REG101421"/>
    <s v="Cust 4529"/>
    <n v="13.62"/>
    <x v="530"/>
    <x v="48"/>
    <d v="2023-08-24T00:00:00"/>
    <s v="Wendy"/>
  </r>
  <r>
    <d v="2024-04-16T00:00:00"/>
    <x v="1"/>
    <x v="1"/>
    <n v="6"/>
    <n v="524.19000000000005"/>
    <s v="Store D"/>
    <s v="Retail"/>
    <x v="2"/>
    <x v="2"/>
    <x v="1422"/>
    <x v="4"/>
    <x v="2"/>
    <x v="0"/>
    <s v="REG101422"/>
    <s v="Cust 2365"/>
    <n v="31.04"/>
    <x v="683"/>
    <x v="32"/>
    <d v="2024-04-20T00:00:00"/>
    <s v="Sophie"/>
  </r>
  <r>
    <d v="2025-05-11T00:00:00"/>
    <x v="3"/>
    <x v="3"/>
    <n v="16"/>
    <n v="305.20999999999998"/>
    <s v="Store A"/>
    <s v="Wholesale"/>
    <x v="1"/>
    <x v="1"/>
    <x v="1423"/>
    <x v="3"/>
    <x v="1"/>
    <x v="0"/>
    <s v="REG101423"/>
    <s v="Cust 6361"/>
    <n v="33.369999999999997"/>
    <x v="15"/>
    <x v="13"/>
    <d v="2025-05-19T00:00:00"/>
    <s v="Cameron"/>
  </r>
  <r>
    <d v="2023-12-11T00:00:00"/>
    <x v="2"/>
    <x v="6"/>
    <n v="16"/>
    <n v="438.71"/>
    <s v="Store C"/>
    <s v="Retail"/>
    <x v="0"/>
    <x v="1"/>
    <x v="1424"/>
    <x v="0"/>
    <x v="3"/>
    <x v="0"/>
    <s v="REG101424"/>
    <s v="Cust 4228"/>
    <n v="6.53"/>
    <x v="464"/>
    <x v="12"/>
    <d v="2023-12-21T00:00:00"/>
    <s v="Ryan"/>
  </r>
  <r>
    <d v="2023-01-16T00:00:00"/>
    <x v="2"/>
    <x v="6"/>
    <n v="10"/>
    <n v="193.96"/>
    <s v="Store D"/>
    <s v="Wholesale"/>
    <x v="1"/>
    <x v="1"/>
    <x v="1425"/>
    <x v="1"/>
    <x v="3"/>
    <x v="0"/>
    <s v="REG101425"/>
    <s v="Cust 3940"/>
    <n v="41.3"/>
    <x v="375"/>
    <x v="11"/>
    <d v="2023-01-21T00:00:00"/>
    <s v="Ryan"/>
  </r>
  <r>
    <d v="2023-05-10T00:00:00"/>
    <x v="0"/>
    <x v="1"/>
    <n v="18"/>
    <n v="580.41999999999996"/>
    <s v="Store A"/>
    <s v="Wholesale"/>
    <x v="3"/>
    <x v="5"/>
    <x v="1426"/>
    <x v="0"/>
    <x v="1"/>
    <x v="0"/>
    <s v="REG101426"/>
    <s v="Cust 4392"/>
    <n v="37.81"/>
    <x v="2"/>
    <x v="2"/>
    <d v="2023-05-17T00:00:00"/>
    <s v="Eric"/>
  </r>
  <r>
    <d v="2024-06-22T00:00:00"/>
    <x v="3"/>
    <x v="4"/>
    <n v="18"/>
    <n v="91.55"/>
    <s v="Store C"/>
    <s v="Retail"/>
    <x v="1"/>
    <x v="1"/>
    <x v="1427"/>
    <x v="3"/>
    <x v="0"/>
    <x v="0"/>
    <s v="REG101427"/>
    <s v="Cust 4404"/>
    <n v="32.54"/>
    <x v="728"/>
    <x v="4"/>
    <d v="2024-06-29T00:00:00"/>
    <s v="Cameron"/>
  </r>
  <r>
    <d v="2025-03-29T00:00:00"/>
    <x v="4"/>
    <x v="5"/>
    <n v="13"/>
    <n v="113.78"/>
    <s v="Store C"/>
    <s v="Wholesale"/>
    <x v="1"/>
    <x v="0"/>
    <x v="1428"/>
    <x v="0"/>
    <x v="0"/>
    <x v="0"/>
    <s v="REG101428"/>
    <s v="Cust 2981"/>
    <n v="28.07"/>
    <x v="259"/>
    <x v="41"/>
    <d v="2025-04-07T00:00:00"/>
    <s v="Wendy"/>
  </r>
  <r>
    <d v="2023-04-18T00:00:00"/>
    <x v="2"/>
    <x v="5"/>
    <n v="16"/>
    <n v="477.91"/>
    <s v="Store A"/>
    <s v="Wholesale"/>
    <x v="0"/>
    <x v="3"/>
    <x v="1429"/>
    <x v="2"/>
    <x v="2"/>
    <x v="0"/>
    <s v="REG101429"/>
    <s v="Cust 3571"/>
    <n v="21.89"/>
    <x v="625"/>
    <x v="32"/>
    <d v="2023-04-23T00:00:00"/>
    <s v="Ryan"/>
  </r>
  <r>
    <d v="2023-02-07T00:00:00"/>
    <x v="3"/>
    <x v="0"/>
    <n v="14"/>
    <n v="306.39"/>
    <s v="Store A"/>
    <s v="Retail"/>
    <x v="1"/>
    <x v="0"/>
    <x v="1430"/>
    <x v="4"/>
    <x v="2"/>
    <x v="0"/>
    <s v="REG101430"/>
    <s v="Cust 2592"/>
    <n v="38.729999999999997"/>
    <x v="230"/>
    <x v="29"/>
    <d v="2023-02-09T00:00:00"/>
    <s v="Cameron"/>
  </r>
  <r>
    <d v="2025-01-22T00:00:00"/>
    <x v="0"/>
    <x v="5"/>
    <n v="17"/>
    <n v="8.33"/>
    <s v="Store A"/>
    <s v="Retail"/>
    <x v="3"/>
    <x v="0"/>
    <x v="1431"/>
    <x v="4"/>
    <x v="3"/>
    <x v="0"/>
    <s v="REG101431"/>
    <s v="Cust 6209"/>
    <n v="43.29"/>
    <x v="729"/>
    <x v="34"/>
    <d v="2025-01-25T00:00:00"/>
    <s v="Eric"/>
  </r>
  <r>
    <d v="2023-07-04T00:00:00"/>
    <x v="0"/>
    <x v="1"/>
    <n v="6"/>
    <n v="346.86"/>
    <s v="Store C"/>
    <s v="Retail"/>
    <x v="3"/>
    <x v="0"/>
    <x v="1432"/>
    <x v="1"/>
    <x v="0"/>
    <x v="0"/>
    <s v="REG101432"/>
    <s v="Cust 6600"/>
    <n v="29.18"/>
    <x v="250"/>
    <x v="49"/>
    <d v="2023-07-12T00:00:00"/>
    <s v="Eric"/>
  </r>
  <r>
    <d v="2023-07-31T00:00:00"/>
    <x v="3"/>
    <x v="2"/>
    <n v="14"/>
    <n v="223.26"/>
    <s v="Store B"/>
    <s v="Wholesale"/>
    <x v="1"/>
    <x v="1"/>
    <x v="1433"/>
    <x v="2"/>
    <x v="2"/>
    <x v="0"/>
    <s v="REG101433"/>
    <s v="Cust 6899"/>
    <n v="12.88"/>
    <x v="65"/>
    <x v="36"/>
    <d v="2023-08-03T00:00:00"/>
    <s v="Cameron"/>
  </r>
  <r>
    <d v="2023-04-20T00:00:00"/>
    <x v="2"/>
    <x v="2"/>
    <n v="6"/>
    <n v="529.1"/>
    <s v="Store D"/>
    <s v="Wholesale"/>
    <x v="0"/>
    <x v="0"/>
    <x v="1434"/>
    <x v="3"/>
    <x v="2"/>
    <x v="0"/>
    <s v="REG101434"/>
    <s v="Cust 1563"/>
    <n v="5.13"/>
    <x v="730"/>
    <x v="32"/>
    <d v="2023-04-27T00:00:00"/>
    <s v="Ryan"/>
  </r>
  <r>
    <d v="2024-10-08T00:00:00"/>
    <x v="3"/>
    <x v="5"/>
    <n v="11"/>
    <n v="97.34"/>
    <s v="Store D"/>
    <s v="Wholesale"/>
    <x v="1"/>
    <x v="3"/>
    <x v="1435"/>
    <x v="3"/>
    <x v="1"/>
    <x v="0"/>
    <s v="REG101435"/>
    <s v="Cust 6733"/>
    <n v="10.61"/>
    <x v="485"/>
    <x v="51"/>
    <d v="2024-10-11T00:00:00"/>
    <s v="Cameron"/>
  </r>
  <r>
    <d v="2024-01-25T00:00:00"/>
    <x v="0"/>
    <x v="3"/>
    <n v="11"/>
    <n v="422.89"/>
    <s v="Store B"/>
    <s v="Retail"/>
    <x v="1"/>
    <x v="2"/>
    <x v="1436"/>
    <x v="2"/>
    <x v="1"/>
    <x v="0"/>
    <s v="REG101436"/>
    <s v="Cust 7635"/>
    <n v="45.89"/>
    <x v="109"/>
    <x v="34"/>
    <d v="2024-01-27T00:00:00"/>
    <s v="Eric"/>
  </r>
  <r>
    <d v="2024-12-16T00:00:00"/>
    <x v="1"/>
    <x v="4"/>
    <n v="4"/>
    <n v="557.16999999999996"/>
    <s v="Store C"/>
    <s v="Wholesale"/>
    <x v="3"/>
    <x v="2"/>
    <x v="1437"/>
    <x v="2"/>
    <x v="3"/>
    <x v="0"/>
    <s v="REG101437"/>
    <s v="Cust 4354"/>
    <n v="32.159999999999997"/>
    <x v="284"/>
    <x v="1"/>
    <d v="2024-12-25T00:00:00"/>
    <s v="Sophie"/>
  </r>
  <r>
    <d v="2024-10-24T00:00:00"/>
    <x v="3"/>
    <x v="6"/>
    <n v="9"/>
    <n v="459.65"/>
    <s v="Store B"/>
    <s v="Retail"/>
    <x v="1"/>
    <x v="5"/>
    <x v="1438"/>
    <x v="1"/>
    <x v="2"/>
    <x v="1"/>
    <s v="REG101438"/>
    <s v="Cust 1462"/>
    <n v="22.24"/>
    <x v="408"/>
    <x v="19"/>
    <d v="2024-11-01T00:00:00"/>
    <s v="Cameron"/>
  </r>
  <r>
    <d v="2023-11-16T00:00:00"/>
    <x v="4"/>
    <x v="4"/>
    <n v="8"/>
    <n v="493.35"/>
    <s v="Store A"/>
    <s v="Retail"/>
    <x v="1"/>
    <x v="1"/>
    <x v="1439"/>
    <x v="4"/>
    <x v="0"/>
    <x v="1"/>
    <s v="REG101439"/>
    <s v="Cust 1376"/>
    <n v="12.86"/>
    <x v="346"/>
    <x v="38"/>
    <d v="2023-11-20T00:00:00"/>
    <s v="Wendy"/>
  </r>
  <r>
    <d v="2024-03-31T00:00:00"/>
    <x v="1"/>
    <x v="0"/>
    <n v="13"/>
    <n v="428.59"/>
    <s v="Store D"/>
    <s v="Retail"/>
    <x v="0"/>
    <x v="5"/>
    <x v="1440"/>
    <x v="4"/>
    <x v="0"/>
    <x v="0"/>
    <s v="REG101440"/>
    <s v="Cust 6542"/>
    <n v="23.89"/>
    <x v="199"/>
    <x v="24"/>
    <d v="2024-04-08T00:00:00"/>
    <s v="Sophie"/>
  </r>
  <r>
    <d v="2023-02-13T00:00:00"/>
    <x v="0"/>
    <x v="0"/>
    <n v="7"/>
    <n v="242.11"/>
    <s v="Store C"/>
    <s v="Wholesale"/>
    <x v="3"/>
    <x v="0"/>
    <x v="1441"/>
    <x v="3"/>
    <x v="2"/>
    <x v="0"/>
    <s v="REG101441"/>
    <s v="Cust 1186"/>
    <n v="47.19"/>
    <x v="278"/>
    <x v="22"/>
    <d v="2023-02-18T00:00:00"/>
    <s v="Eric"/>
  </r>
  <r>
    <d v="2023-09-20T00:00:00"/>
    <x v="1"/>
    <x v="5"/>
    <n v="17"/>
    <n v="477.38"/>
    <s v="Store C"/>
    <s v="Retail"/>
    <x v="3"/>
    <x v="1"/>
    <x v="1442"/>
    <x v="1"/>
    <x v="0"/>
    <x v="0"/>
    <s v="REG101442"/>
    <s v="Cust 4386"/>
    <n v="35.28"/>
    <x v="567"/>
    <x v="46"/>
    <d v="2023-09-27T00:00:00"/>
    <s v="Sophie"/>
  </r>
  <r>
    <d v="2023-06-27T00:00:00"/>
    <x v="1"/>
    <x v="3"/>
    <n v="3"/>
    <n v="261.60000000000002"/>
    <s v="Store D"/>
    <s v="Retail"/>
    <x v="3"/>
    <x v="4"/>
    <x v="1443"/>
    <x v="4"/>
    <x v="2"/>
    <x v="0"/>
    <s v="REG101443"/>
    <s v="Cust 6708"/>
    <n v="42.11"/>
    <x v="161"/>
    <x v="28"/>
    <d v="2023-07-07T00:00:00"/>
    <s v="Sophie"/>
  </r>
  <r>
    <d v="2025-04-02T00:00:00"/>
    <x v="3"/>
    <x v="0"/>
    <n v="6"/>
    <n v="416.2"/>
    <s v="Store A"/>
    <s v="Wholesale"/>
    <x v="3"/>
    <x v="1"/>
    <x v="1444"/>
    <x v="4"/>
    <x v="2"/>
    <x v="1"/>
    <s v="REG101444"/>
    <s v="Cust 6354"/>
    <n v="44.14"/>
    <x v="177"/>
    <x v="24"/>
    <d v="2025-04-06T00:00:00"/>
    <s v="Cameron"/>
  </r>
  <r>
    <d v="2025-04-16T00:00:00"/>
    <x v="2"/>
    <x v="6"/>
    <n v="15"/>
    <n v="99.66"/>
    <s v="Store A"/>
    <s v="Wholesale"/>
    <x v="0"/>
    <x v="0"/>
    <x v="1445"/>
    <x v="4"/>
    <x v="0"/>
    <x v="0"/>
    <s v="REG101445"/>
    <s v="Cust 3477"/>
    <n v="27.55"/>
    <x v="454"/>
    <x v="32"/>
    <d v="2025-04-26T00:00:00"/>
    <s v="Ryan"/>
  </r>
  <r>
    <d v="2024-07-09T00:00:00"/>
    <x v="3"/>
    <x v="0"/>
    <n v="16"/>
    <n v="55.56"/>
    <s v="Store D"/>
    <s v="Wholesale"/>
    <x v="2"/>
    <x v="2"/>
    <x v="1446"/>
    <x v="4"/>
    <x v="3"/>
    <x v="1"/>
    <s v="REG101446"/>
    <s v="Cust 6646"/>
    <n v="17.809999999999999"/>
    <x v="540"/>
    <x v="9"/>
    <d v="2024-07-17T00:00:00"/>
    <s v="Cameron"/>
  </r>
  <r>
    <d v="2025-06-23T00:00:00"/>
    <x v="0"/>
    <x v="1"/>
    <n v="20"/>
    <n v="243.47"/>
    <s v="Store A"/>
    <s v="Wholesale"/>
    <x v="3"/>
    <x v="1"/>
    <x v="1447"/>
    <x v="1"/>
    <x v="0"/>
    <x v="1"/>
    <s v="REG101447"/>
    <s v="Cust 4250"/>
    <n v="32.28"/>
    <x v="731"/>
    <x v="28"/>
    <d v="2025-07-03T00:00:00"/>
    <s v="Eric"/>
  </r>
  <r>
    <d v="2024-06-09T00:00:00"/>
    <x v="0"/>
    <x v="5"/>
    <n v="11"/>
    <n v="185.59"/>
    <s v="Store B"/>
    <s v="Retail"/>
    <x v="1"/>
    <x v="3"/>
    <x v="1448"/>
    <x v="1"/>
    <x v="3"/>
    <x v="0"/>
    <s v="REG101448"/>
    <s v="Cust 5351"/>
    <n v="45.19"/>
    <x v="732"/>
    <x v="33"/>
    <d v="2024-06-18T00:00:00"/>
    <s v="Eric"/>
  </r>
  <r>
    <d v="2023-12-01T00:00:00"/>
    <x v="3"/>
    <x v="2"/>
    <n v="11"/>
    <n v="347.38"/>
    <s v="Store C"/>
    <s v="Wholesale"/>
    <x v="3"/>
    <x v="0"/>
    <x v="1449"/>
    <x v="2"/>
    <x v="0"/>
    <x v="0"/>
    <s v="REG101449"/>
    <s v="Cust 6284"/>
    <n v="24.8"/>
    <x v="112"/>
    <x v="15"/>
    <d v="2023-12-03T00:00:00"/>
    <s v="Cameron"/>
  </r>
  <r>
    <d v="2024-07-24T00:00:00"/>
    <x v="4"/>
    <x v="5"/>
    <n v="15"/>
    <n v="318.02999999999997"/>
    <s v="Store D"/>
    <s v="Retail"/>
    <x v="3"/>
    <x v="4"/>
    <x v="1450"/>
    <x v="1"/>
    <x v="2"/>
    <x v="1"/>
    <s v="REG101450"/>
    <s v="Cust 9099"/>
    <n v="24.38"/>
    <x v="733"/>
    <x v="27"/>
    <d v="2024-07-30T00:00:00"/>
    <s v="Wendy"/>
  </r>
  <r>
    <d v="2023-04-12T00:00:00"/>
    <x v="4"/>
    <x v="3"/>
    <n v="15"/>
    <n v="242.35"/>
    <s v="Store D"/>
    <s v="Wholesale"/>
    <x v="2"/>
    <x v="4"/>
    <x v="1451"/>
    <x v="4"/>
    <x v="2"/>
    <x v="1"/>
    <s v="REG101451"/>
    <s v="Cust 3944"/>
    <n v="14.92"/>
    <x v="264"/>
    <x v="8"/>
    <d v="2023-04-19T00:00:00"/>
    <s v="Wendy"/>
  </r>
  <r>
    <d v="2024-12-17T00:00:00"/>
    <x v="2"/>
    <x v="2"/>
    <n v="3"/>
    <n v="82.09"/>
    <s v="Store B"/>
    <s v="Retail"/>
    <x v="2"/>
    <x v="0"/>
    <x v="1452"/>
    <x v="1"/>
    <x v="2"/>
    <x v="1"/>
    <s v="REG101452"/>
    <s v="Cust 6124"/>
    <n v="12.63"/>
    <x v="441"/>
    <x v="1"/>
    <d v="2024-12-26T00:00:00"/>
    <s v="Ryan"/>
  </r>
  <r>
    <d v="2024-08-08T00:00:00"/>
    <x v="1"/>
    <x v="4"/>
    <n v="10"/>
    <n v="285.73"/>
    <s v="Store D"/>
    <s v="Wholesale"/>
    <x v="2"/>
    <x v="0"/>
    <x v="1453"/>
    <x v="4"/>
    <x v="2"/>
    <x v="1"/>
    <s v="REG101453"/>
    <s v="Cust 8533"/>
    <n v="26.68"/>
    <x v="669"/>
    <x v="17"/>
    <d v="2024-08-14T00:00:00"/>
    <s v="Sophie"/>
  </r>
  <r>
    <d v="2024-09-15T00:00:00"/>
    <x v="0"/>
    <x v="0"/>
    <n v="17"/>
    <n v="341.52"/>
    <s v="Store C"/>
    <s v="Wholesale"/>
    <x v="1"/>
    <x v="0"/>
    <x v="1454"/>
    <x v="2"/>
    <x v="0"/>
    <x v="0"/>
    <s v="REG101454"/>
    <s v="Cust 1135"/>
    <n v="16.670000000000002"/>
    <x v="564"/>
    <x v="46"/>
    <d v="2024-09-22T00:00:00"/>
    <s v="Eric"/>
  </r>
  <r>
    <d v="2023-10-08T00:00:00"/>
    <x v="1"/>
    <x v="5"/>
    <n v="14"/>
    <n v="216.4"/>
    <s v="Store D"/>
    <s v="Wholesale"/>
    <x v="1"/>
    <x v="4"/>
    <x v="1455"/>
    <x v="3"/>
    <x v="2"/>
    <x v="0"/>
    <s v="REG101455"/>
    <s v="Cust 5638"/>
    <n v="40.74"/>
    <x v="734"/>
    <x v="51"/>
    <d v="2023-10-10T00:00:00"/>
    <s v="Sophie"/>
  </r>
  <r>
    <d v="2025-05-23T00:00:00"/>
    <x v="1"/>
    <x v="1"/>
    <n v="16"/>
    <n v="231.76"/>
    <s v="Store B"/>
    <s v="Retail"/>
    <x v="2"/>
    <x v="5"/>
    <x v="1456"/>
    <x v="0"/>
    <x v="2"/>
    <x v="1"/>
    <s v="REG101456"/>
    <s v="Cust 1333"/>
    <n v="9.42"/>
    <x v="549"/>
    <x v="18"/>
    <d v="2025-05-27T00:00:00"/>
    <s v="Sophie"/>
  </r>
  <r>
    <d v="2023-01-02T00:00:00"/>
    <x v="1"/>
    <x v="0"/>
    <n v="7"/>
    <n v="61.47"/>
    <s v="Store C"/>
    <s v="Retail"/>
    <x v="2"/>
    <x v="0"/>
    <x v="1457"/>
    <x v="0"/>
    <x v="0"/>
    <x v="0"/>
    <s v="REG101457"/>
    <s v="Cust 2394"/>
    <n v="14.44"/>
    <x v="735"/>
    <x v="31"/>
    <d v="2023-01-12T00:00:00"/>
    <s v="Sophie"/>
  </r>
  <r>
    <d v="2023-10-19T00:00:00"/>
    <x v="2"/>
    <x v="2"/>
    <n v="15"/>
    <n v="434.44"/>
    <s v="Store B"/>
    <s v="Wholesale"/>
    <x v="0"/>
    <x v="5"/>
    <x v="1458"/>
    <x v="3"/>
    <x v="3"/>
    <x v="1"/>
    <s v="REG101458"/>
    <s v="Cust 8495"/>
    <n v="33.86"/>
    <x v="544"/>
    <x v="6"/>
    <d v="2023-10-28T00:00:00"/>
    <s v="Ryan"/>
  </r>
  <r>
    <d v="2025-04-25T00:00:00"/>
    <x v="4"/>
    <x v="3"/>
    <n v="16"/>
    <n v="484.01"/>
    <s v="Store A"/>
    <s v="Wholesale"/>
    <x v="0"/>
    <x v="1"/>
    <x v="1459"/>
    <x v="0"/>
    <x v="1"/>
    <x v="1"/>
    <s v="REG101459"/>
    <s v="Cust 3988"/>
    <n v="9.65"/>
    <x v="659"/>
    <x v="42"/>
    <d v="2025-05-01T00:00:00"/>
    <s v="Wendy"/>
  </r>
  <r>
    <d v="2024-03-31T00:00:00"/>
    <x v="3"/>
    <x v="2"/>
    <n v="2"/>
    <n v="55.08"/>
    <s v="Store C"/>
    <s v="Wholesale"/>
    <x v="0"/>
    <x v="2"/>
    <x v="1460"/>
    <x v="2"/>
    <x v="0"/>
    <x v="0"/>
    <s v="REG101460"/>
    <s v="Cust 4664"/>
    <n v="9.85"/>
    <x v="199"/>
    <x v="24"/>
    <d v="2024-04-04T00:00:00"/>
    <s v="Cameron"/>
  </r>
  <r>
    <d v="2025-01-31T00:00:00"/>
    <x v="2"/>
    <x v="6"/>
    <n v="13"/>
    <n v="223.44"/>
    <s v="Store B"/>
    <s v="Retail"/>
    <x v="2"/>
    <x v="3"/>
    <x v="1461"/>
    <x v="2"/>
    <x v="3"/>
    <x v="1"/>
    <s v="REG101461"/>
    <s v="Cust 5086"/>
    <n v="38.46"/>
    <x v="94"/>
    <x v="43"/>
    <d v="2025-02-07T00:00:00"/>
    <s v="Ryan"/>
  </r>
  <r>
    <d v="2025-03-27T00:00:00"/>
    <x v="0"/>
    <x v="1"/>
    <n v="11"/>
    <n v="548.08000000000004"/>
    <s v="Store D"/>
    <s v="Wholesale"/>
    <x v="3"/>
    <x v="0"/>
    <x v="1462"/>
    <x v="4"/>
    <x v="3"/>
    <x v="0"/>
    <s v="REG101462"/>
    <s v="Cust 8858"/>
    <n v="25.82"/>
    <x v="166"/>
    <x v="41"/>
    <d v="2025-04-06T00:00:00"/>
    <s v="Eric"/>
  </r>
  <r>
    <d v="2025-01-19T00:00:00"/>
    <x v="3"/>
    <x v="2"/>
    <n v="11"/>
    <n v="133.63999999999999"/>
    <s v="Store D"/>
    <s v="Wholesale"/>
    <x v="0"/>
    <x v="4"/>
    <x v="1463"/>
    <x v="3"/>
    <x v="3"/>
    <x v="1"/>
    <s v="REG101463"/>
    <s v="Cust 8796"/>
    <n v="30.18"/>
    <x v="423"/>
    <x v="34"/>
    <d v="2025-01-24T00:00:00"/>
    <s v="Cameron"/>
  </r>
  <r>
    <d v="2024-05-16T00:00:00"/>
    <x v="2"/>
    <x v="3"/>
    <n v="19"/>
    <n v="368.85"/>
    <s v="Store C"/>
    <s v="Retail"/>
    <x v="1"/>
    <x v="5"/>
    <x v="1464"/>
    <x v="1"/>
    <x v="0"/>
    <x v="0"/>
    <s v="REG101464"/>
    <s v="Cust 2496"/>
    <n v="35.369999999999997"/>
    <x v="494"/>
    <x v="13"/>
    <d v="2024-05-21T00:00:00"/>
    <s v="Ryan"/>
  </r>
  <r>
    <d v="2023-09-04T00:00:00"/>
    <x v="3"/>
    <x v="3"/>
    <n v="14"/>
    <n v="115.98"/>
    <s v="Store A"/>
    <s v="Wholesale"/>
    <x v="0"/>
    <x v="5"/>
    <x v="1465"/>
    <x v="3"/>
    <x v="3"/>
    <x v="0"/>
    <s v="REG101465"/>
    <s v="Cust 5465"/>
    <n v="31.85"/>
    <x v="736"/>
    <x v="25"/>
    <d v="2023-09-06T00:00:00"/>
    <s v="Cameron"/>
  </r>
  <r>
    <d v="2023-12-17T00:00:00"/>
    <x v="1"/>
    <x v="4"/>
    <n v="9"/>
    <n v="55.04"/>
    <s v="Store B"/>
    <s v="Retail"/>
    <x v="2"/>
    <x v="1"/>
    <x v="1466"/>
    <x v="0"/>
    <x v="3"/>
    <x v="0"/>
    <s v="REG101466"/>
    <s v="Cust 2311"/>
    <n v="31.09"/>
    <x v="737"/>
    <x v="1"/>
    <d v="2023-12-23T00:00:00"/>
    <s v="Sophie"/>
  </r>
  <r>
    <d v="2024-01-15T00:00:00"/>
    <x v="3"/>
    <x v="4"/>
    <n v="4"/>
    <n v="159.54"/>
    <s v="Store A"/>
    <s v="Wholesale"/>
    <x v="3"/>
    <x v="1"/>
    <x v="1467"/>
    <x v="2"/>
    <x v="0"/>
    <x v="0"/>
    <s v="REG101467"/>
    <s v="Cust 4575"/>
    <n v="32.36"/>
    <x v="481"/>
    <x v="11"/>
    <d v="2024-01-21T00:00:00"/>
    <s v="Cameron"/>
  </r>
  <r>
    <d v="2024-12-19T00:00:00"/>
    <x v="3"/>
    <x v="0"/>
    <n v="15"/>
    <n v="150.15"/>
    <s v="Store C"/>
    <s v="Retail"/>
    <x v="0"/>
    <x v="2"/>
    <x v="1468"/>
    <x v="0"/>
    <x v="2"/>
    <x v="0"/>
    <s v="REG101468"/>
    <s v="Cust 8054"/>
    <n v="35.94"/>
    <x v="1"/>
    <x v="1"/>
    <d v="2024-12-29T00:00:00"/>
    <s v="Cameron"/>
  </r>
  <r>
    <d v="2023-12-16T00:00:00"/>
    <x v="2"/>
    <x v="3"/>
    <n v="9"/>
    <n v="57.93"/>
    <s v="Store C"/>
    <s v="Wholesale"/>
    <x v="0"/>
    <x v="5"/>
    <x v="1469"/>
    <x v="1"/>
    <x v="0"/>
    <x v="1"/>
    <s v="REG101469"/>
    <s v="Cust 2553"/>
    <n v="28.73"/>
    <x v="77"/>
    <x v="12"/>
    <d v="2023-12-18T00:00:00"/>
    <s v="Ryan"/>
  </r>
  <r>
    <d v="2025-05-14T00:00:00"/>
    <x v="3"/>
    <x v="0"/>
    <n v="4"/>
    <n v="438.58"/>
    <s v="Store D"/>
    <s v="Retail"/>
    <x v="3"/>
    <x v="1"/>
    <x v="1470"/>
    <x v="0"/>
    <x v="2"/>
    <x v="0"/>
    <s v="REG101470"/>
    <s v="Cust 7547"/>
    <n v="5.0999999999999996"/>
    <x v="707"/>
    <x v="13"/>
    <d v="2025-05-18T00:00:00"/>
    <s v="Cameron"/>
  </r>
  <r>
    <d v="2023-06-30T00:00:00"/>
    <x v="1"/>
    <x v="4"/>
    <n v="6"/>
    <n v="536.24"/>
    <s v="Store D"/>
    <s v="Retail"/>
    <x v="0"/>
    <x v="4"/>
    <x v="1471"/>
    <x v="4"/>
    <x v="2"/>
    <x v="0"/>
    <s v="REG101471"/>
    <s v="Cust 8150"/>
    <n v="35.32"/>
    <x v="43"/>
    <x v="28"/>
    <d v="2023-07-02T00:00:00"/>
    <s v="Sophie"/>
  </r>
  <r>
    <d v="2025-06-30T00:00:00"/>
    <x v="1"/>
    <x v="1"/>
    <n v="20"/>
    <n v="444.77"/>
    <s v="Store B"/>
    <s v="Wholesale"/>
    <x v="1"/>
    <x v="4"/>
    <x v="1472"/>
    <x v="0"/>
    <x v="3"/>
    <x v="1"/>
    <s v="REG101472"/>
    <s v="Cust 5635"/>
    <n v="20.05"/>
    <x v="148"/>
    <x v="49"/>
    <d v="2025-07-07T00:00:00"/>
    <s v="Sophie"/>
  </r>
  <r>
    <d v="2025-03-14T00:00:00"/>
    <x v="3"/>
    <x v="6"/>
    <n v="10"/>
    <n v="212.1"/>
    <s v="Store B"/>
    <s v="Retail"/>
    <x v="2"/>
    <x v="0"/>
    <x v="1473"/>
    <x v="1"/>
    <x v="2"/>
    <x v="0"/>
    <s v="REG101473"/>
    <s v="Cust 4360"/>
    <n v="47.93"/>
    <x v="95"/>
    <x v="23"/>
    <d v="2025-03-22T00:00:00"/>
    <s v="Cameron"/>
  </r>
  <r>
    <d v="2023-04-18T00:00:00"/>
    <x v="1"/>
    <x v="1"/>
    <n v="9"/>
    <n v="509.44"/>
    <s v="Store B"/>
    <s v="Retail"/>
    <x v="2"/>
    <x v="0"/>
    <x v="1474"/>
    <x v="2"/>
    <x v="1"/>
    <x v="0"/>
    <s v="REG101474"/>
    <s v="Cust 1624"/>
    <n v="13"/>
    <x v="625"/>
    <x v="32"/>
    <d v="2023-04-27T00:00:00"/>
    <s v="Sophie"/>
  </r>
  <r>
    <d v="2024-09-11T00:00:00"/>
    <x v="4"/>
    <x v="4"/>
    <n v="8"/>
    <n v="236.17"/>
    <s v="Store C"/>
    <s v="Wholesale"/>
    <x v="2"/>
    <x v="2"/>
    <x v="1475"/>
    <x v="4"/>
    <x v="2"/>
    <x v="0"/>
    <s v="REG101475"/>
    <s v="Cust 6593"/>
    <n v="22.88"/>
    <x v="303"/>
    <x v="30"/>
    <d v="2024-09-19T00:00:00"/>
    <s v="Wendy"/>
  </r>
  <r>
    <d v="2023-11-21T00:00:00"/>
    <x v="3"/>
    <x v="6"/>
    <n v="1"/>
    <n v="147.4"/>
    <s v="Store D"/>
    <s v="Retail"/>
    <x v="0"/>
    <x v="3"/>
    <x v="1476"/>
    <x v="4"/>
    <x v="1"/>
    <x v="1"/>
    <s v="REG101476"/>
    <s v="Cust 9072"/>
    <n v="40.47"/>
    <x v="283"/>
    <x v="20"/>
    <d v="2023-11-28T00:00:00"/>
    <s v="Cameron"/>
  </r>
  <r>
    <d v="2024-02-29T00:00:00"/>
    <x v="4"/>
    <x v="5"/>
    <n v="8"/>
    <n v="279.74"/>
    <s v="Store B"/>
    <s v="Retail"/>
    <x v="3"/>
    <x v="1"/>
    <x v="1477"/>
    <x v="1"/>
    <x v="0"/>
    <x v="0"/>
    <s v="REG101477"/>
    <s v="Cust 1116"/>
    <n v="33.1"/>
    <x v="459"/>
    <x v="3"/>
    <d v="2024-03-07T00:00:00"/>
    <s v="Wendy"/>
  </r>
  <r>
    <d v="2023-05-11T00:00:00"/>
    <x v="4"/>
    <x v="0"/>
    <n v="3"/>
    <n v="304.61"/>
    <s v="Store B"/>
    <s v="Wholesale"/>
    <x v="3"/>
    <x v="5"/>
    <x v="1478"/>
    <x v="4"/>
    <x v="1"/>
    <x v="0"/>
    <s v="REG101478"/>
    <s v="Cust 8458"/>
    <n v="47.14"/>
    <x v="738"/>
    <x v="2"/>
    <d v="2023-05-15T00:00:00"/>
    <s v="Wendy"/>
  </r>
  <r>
    <d v="2024-09-11T00:00:00"/>
    <x v="1"/>
    <x v="5"/>
    <n v="9"/>
    <n v="238.32"/>
    <s v="Store C"/>
    <s v="Retail"/>
    <x v="0"/>
    <x v="4"/>
    <x v="1479"/>
    <x v="4"/>
    <x v="2"/>
    <x v="1"/>
    <s v="REG101479"/>
    <s v="Cust 5409"/>
    <n v="8.5"/>
    <x v="303"/>
    <x v="30"/>
    <d v="2024-09-20T00:00:00"/>
    <s v="Sophie"/>
  </r>
  <r>
    <d v="2024-08-16T00:00:00"/>
    <x v="4"/>
    <x v="6"/>
    <n v="16"/>
    <n v="483.37"/>
    <s v="Store B"/>
    <s v="Retail"/>
    <x v="1"/>
    <x v="1"/>
    <x v="1480"/>
    <x v="3"/>
    <x v="3"/>
    <x v="0"/>
    <s v="REG101480"/>
    <s v="Cust 8847"/>
    <n v="42.52"/>
    <x v="739"/>
    <x v="45"/>
    <d v="2024-08-22T00:00:00"/>
    <s v="Wendy"/>
  </r>
  <r>
    <d v="2025-05-30T00:00:00"/>
    <x v="2"/>
    <x v="4"/>
    <n v="6"/>
    <n v="159.53"/>
    <s v="Store A"/>
    <s v="Retail"/>
    <x v="3"/>
    <x v="5"/>
    <x v="1481"/>
    <x v="1"/>
    <x v="3"/>
    <x v="0"/>
    <s v="REG101481"/>
    <s v="Cust 7857"/>
    <n v="48.6"/>
    <x v="740"/>
    <x v="14"/>
    <d v="2025-06-07T00:00:00"/>
    <s v="Ryan"/>
  </r>
  <r>
    <d v="2023-08-22T00:00:00"/>
    <x v="0"/>
    <x v="2"/>
    <n v="19"/>
    <n v="280.60000000000002"/>
    <s v="Store A"/>
    <s v="Wholesale"/>
    <x v="1"/>
    <x v="2"/>
    <x v="1482"/>
    <x v="1"/>
    <x v="0"/>
    <x v="0"/>
    <s v="REG101482"/>
    <s v="Cust 7810"/>
    <n v="35.94"/>
    <x v="530"/>
    <x v="48"/>
    <d v="2023-08-28T00:00:00"/>
    <s v="Eric"/>
  </r>
  <r>
    <d v="2024-01-23T00:00:00"/>
    <x v="0"/>
    <x v="5"/>
    <n v="2"/>
    <n v="389.98"/>
    <s v="Store D"/>
    <s v="Wholesale"/>
    <x v="3"/>
    <x v="3"/>
    <x v="1483"/>
    <x v="3"/>
    <x v="1"/>
    <x v="1"/>
    <s v="REG101483"/>
    <s v="Cust 5665"/>
    <n v="24.55"/>
    <x v="145"/>
    <x v="34"/>
    <d v="2024-01-25T00:00:00"/>
    <s v="Eric"/>
  </r>
  <r>
    <d v="2023-03-16T00:00:00"/>
    <x v="2"/>
    <x v="4"/>
    <n v="17"/>
    <n v="485.3"/>
    <s v="Store D"/>
    <s v="Retail"/>
    <x v="2"/>
    <x v="4"/>
    <x v="1484"/>
    <x v="4"/>
    <x v="2"/>
    <x v="0"/>
    <s v="REG101484"/>
    <s v="Cust 8015"/>
    <n v="37.94"/>
    <x v="399"/>
    <x v="23"/>
    <d v="2023-03-23T00:00:00"/>
    <s v="Ryan"/>
  </r>
  <r>
    <d v="2025-05-16T00:00:00"/>
    <x v="1"/>
    <x v="0"/>
    <n v="4"/>
    <n v="472.24"/>
    <s v="Store D"/>
    <s v="Retail"/>
    <x v="0"/>
    <x v="1"/>
    <x v="1485"/>
    <x v="1"/>
    <x v="0"/>
    <x v="1"/>
    <s v="REG101485"/>
    <s v="Cust 7211"/>
    <n v="6.78"/>
    <x v="120"/>
    <x v="13"/>
    <d v="2025-05-21T00:00:00"/>
    <s v="Sophie"/>
  </r>
  <r>
    <d v="2023-05-23T00:00:00"/>
    <x v="0"/>
    <x v="4"/>
    <n v="8"/>
    <n v="143.53"/>
    <s v="Store D"/>
    <s v="Wholesale"/>
    <x v="0"/>
    <x v="1"/>
    <x v="1486"/>
    <x v="4"/>
    <x v="2"/>
    <x v="0"/>
    <s v="REG101486"/>
    <s v="Cust 8705"/>
    <n v="9.1"/>
    <x v="515"/>
    <x v="18"/>
    <d v="2023-05-29T00:00:00"/>
    <s v="Eric"/>
  </r>
  <r>
    <d v="2024-06-16T00:00:00"/>
    <x v="2"/>
    <x v="3"/>
    <n v="5"/>
    <n v="159.91999999999999"/>
    <s v="Store B"/>
    <s v="Wholesale"/>
    <x v="0"/>
    <x v="3"/>
    <x v="1487"/>
    <x v="4"/>
    <x v="1"/>
    <x v="0"/>
    <s v="REG101487"/>
    <s v="Cust 2905"/>
    <n v="10.86"/>
    <x v="40"/>
    <x v="4"/>
    <d v="2024-06-23T00:00:00"/>
    <s v="Ryan"/>
  </r>
  <r>
    <d v="2025-01-28T00:00:00"/>
    <x v="3"/>
    <x v="4"/>
    <n v="13"/>
    <n v="447.34"/>
    <s v="Store A"/>
    <s v="Wholesale"/>
    <x v="3"/>
    <x v="2"/>
    <x v="1488"/>
    <x v="4"/>
    <x v="1"/>
    <x v="0"/>
    <s v="REG101488"/>
    <s v="Cust 5777"/>
    <n v="38.93"/>
    <x v="741"/>
    <x v="43"/>
    <d v="2025-02-04T00:00:00"/>
    <s v="Cameron"/>
  </r>
  <r>
    <d v="2024-11-27T00:00:00"/>
    <x v="1"/>
    <x v="1"/>
    <n v="13"/>
    <n v="196.8"/>
    <s v="Store B"/>
    <s v="Retail"/>
    <x v="1"/>
    <x v="4"/>
    <x v="1489"/>
    <x v="4"/>
    <x v="3"/>
    <x v="0"/>
    <s v="REG101489"/>
    <s v="Cust 6695"/>
    <n v="10.119999999999999"/>
    <x v="742"/>
    <x v="15"/>
    <d v="2024-12-07T00:00:00"/>
    <s v="Sophie"/>
  </r>
  <r>
    <d v="2023-10-09T00:00:00"/>
    <x v="3"/>
    <x v="3"/>
    <n v="3"/>
    <n v="485.81"/>
    <s v="Store A"/>
    <s v="Wholesale"/>
    <x v="1"/>
    <x v="0"/>
    <x v="1490"/>
    <x v="3"/>
    <x v="1"/>
    <x v="0"/>
    <s v="REG101490"/>
    <s v="Cust 1977"/>
    <n v="19.46"/>
    <x v="743"/>
    <x v="51"/>
    <d v="2023-10-11T00:00:00"/>
    <s v="Cameron"/>
  </r>
  <r>
    <d v="2024-07-21T00:00:00"/>
    <x v="4"/>
    <x v="1"/>
    <n v="16"/>
    <n v="183.62"/>
    <s v="Store A"/>
    <s v="Wholesale"/>
    <x v="3"/>
    <x v="5"/>
    <x v="1491"/>
    <x v="1"/>
    <x v="2"/>
    <x v="0"/>
    <s v="REG101491"/>
    <s v="Cust 7979"/>
    <n v="6.56"/>
    <x v="744"/>
    <x v="27"/>
    <d v="2024-07-31T00:00:00"/>
    <s v="Wendy"/>
  </r>
  <r>
    <d v="2024-07-03T00:00:00"/>
    <x v="0"/>
    <x v="4"/>
    <n v="2"/>
    <n v="373.07"/>
    <s v="Store A"/>
    <s v="Retail"/>
    <x v="3"/>
    <x v="4"/>
    <x v="1492"/>
    <x v="2"/>
    <x v="0"/>
    <x v="0"/>
    <s v="REG101492"/>
    <s v="Cust 2437"/>
    <n v="26.9"/>
    <x v="691"/>
    <x v="49"/>
    <d v="2024-07-07T00:00:00"/>
    <s v="Eric"/>
  </r>
  <r>
    <d v="2024-09-24T00:00:00"/>
    <x v="4"/>
    <x v="4"/>
    <n v="17"/>
    <n v="527.67999999999995"/>
    <s v="Store B"/>
    <s v="Wholesale"/>
    <x v="0"/>
    <x v="4"/>
    <x v="1493"/>
    <x v="1"/>
    <x v="0"/>
    <x v="0"/>
    <s v="REG101493"/>
    <s v="Cust 2516"/>
    <n v="29.19"/>
    <x v="745"/>
    <x v="39"/>
    <d v="2024-10-02T00:00:00"/>
    <s v="Wendy"/>
  </r>
  <r>
    <d v="2025-01-14T00:00:00"/>
    <x v="0"/>
    <x v="5"/>
    <n v="5"/>
    <n v="201.29"/>
    <s v="Store D"/>
    <s v="Wholesale"/>
    <x v="0"/>
    <x v="3"/>
    <x v="1494"/>
    <x v="0"/>
    <x v="0"/>
    <x v="0"/>
    <s v="REG101494"/>
    <s v="Cust 6791"/>
    <n v="49.13"/>
    <x v="679"/>
    <x v="11"/>
    <d v="2025-01-21T00:00:00"/>
    <s v="Eric"/>
  </r>
  <r>
    <d v="2025-02-17T00:00:00"/>
    <x v="4"/>
    <x v="2"/>
    <n v="13"/>
    <n v="134.56"/>
    <s v="Store D"/>
    <s v="Retail"/>
    <x v="3"/>
    <x v="3"/>
    <x v="1495"/>
    <x v="2"/>
    <x v="2"/>
    <x v="0"/>
    <s v="REG101495"/>
    <s v="Cust 5227"/>
    <n v="35.630000000000003"/>
    <x v="130"/>
    <x v="0"/>
    <d v="2025-02-22T00:00:00"/>
    <s v="Wendy"/>
  </r>
  <r>
    <d v="2024-01-11T00:00:00"/>
    <x v="1"/>
    <x v="3"/>
    <n v="18"/>
    <n v="209.75"/>
    <s v="Store C"/>
    <s v="Wholesale"/>
    <x v="2"/>
    <x v="2"/>
    <x v="1496"/>
    <x v="3"/>
    <x v="0"/>
    <x v="0"/>
    <s v="REG101496"/>
    <s v="Cust 5559"/>
    <n v="45.93"/>
    <x v="746"/>
    <x v="5"/>
    <d v="2024-01-17T00:00:00"/>
    <s v="Sophie"/>
  </r>
  <r>
    <d v="2024-07-27T00:00:00"/>
    <x v="0"/>
    <x v="2"/>
    <n v="1"/>
    <n v="272.5"/>
    <s v="Store A"/>
    <s v="Wholesale"/>
    <x v="0"/>
    <x v="0"/>
    <x v="1497"/>
    <x v="1"/>
    <x v="2"/>
    <x v="0"/>
    <s v="REG101497"/>
    <s v="Cust 8981"/>
    <n v="35.56"/>
    <x v="480"/>
    <x v="27"/>
    <d v="2024-08-03T00:00:00"/>
    <s v="Eric"/>
  </r>
  <r>
    <d v="2024-12-03T00:00:00"/>
    <x v="3"/>
    <x v="4"/>
    <n v="14"/>
    <n v="262.67"/>
    <s v="Store A"/>
    <s v="Retail"/>
    <x v="3"/>
    <x v="3"/>
    <x v="1498"/>
    <x v="1"/>
    <x v="1"/>
    <x v="0"/>
    <s v="REG101498"/>
    <s v="Cust 1824"/>
    <n v="24.53"/>
    <x v="581"/>
    <x v="21"/>
    <d v="2024-12-10T00:00:00"/>
    <s v="Cameron"/>
  </r>
  <r>
    <d v="2025-05-09T00:00:00"/>
    <x v="4"/>
    <x v="3"/>
    <n v="13"/>
    <n v="221.39"/>
    <s v="Store D"/>
    <s v="Wholesale"/>
    <x v="0"/>
    <x v="2"/>
    <x v="1499"/>
    <x v="3"/>
    <x v="0"/>
    <x v="1"/>
    <s v="REG101499"/>
    <s v="Cust 1935"/>
    <n v="21.05"/>
    <x v="589"/>
    <x v="2"/>
    <d v="2025-05-13T00:00:00"/>
    <s v="Wendy"/>
  </r>
  <r>
    <m/>
    <x v="5"/>
    <x v="7"/>
    <m/>
    <m/>
    <m/>
    <m/>
    <x v="4"/>
    <x v="6"/>
    <x v="1500"/>
    <x v="5"/>
    <x v="4"/>
    <x v="2"/>
    <m/>
    <m/>
    <m/>
    <x v="747"/>
    <x v="5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CD9EE6-E085-40F3-B80B-7A83B091FD4C}" name="PivotTable1"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I2:I3" firstHeaderRow="1" firstDataRow="1" firstDataCol="0"/>
  <pivotFields count="20">
    <pivotField showAll="0"/>
    <pivotField showAll="0">
      <items count="13">
        <item m="1" x="9"/>
        <item x="3"/>
        <item m="1" x="6"/>
        <item x="2"/>
        <item f="1" m="1" x="11"/>
        <item x="0"/>
        <item x="4"/>
        <item m="1" x="8"/>
        <item m="1" x="7"/>
        <item x="1"/>
        <item m="1" x="10"/>
        <item x="5"/>
        <item t="default"/>
      </items>
    </pivotField>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items count="6">
        <item x="0"/>
        <item x="3"/>
        <item x="1"/>
        <item x="2"/>
        <item x="4"/>
        <item t="default"/>
      </items>
    </pivotField>
    <pivotField dataField="1" showAll="0">
      <items count="4">
        <item x="0"/>
        <item x="1"/>
        <item x="2"/>
        <item t="default"/>
      </items>
    </pivotField>
    <pivotField showAll="0"/>
    <pivotField showAll="0"/>
    <pivotField showAll="0"/>
    <pivotField showAll="0">
      <items count="749">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x="747"/>
        <item t="default"/>
      </items>
    </pivotField>
    <pivotField showAll="0">
      <items count="55">
        <item x="31"/>
        <item x="5"/>
        <item x="11"/>
        <item x="34"/>
        <item x="43"/>
        <item x="29"/>
        <item x="22"/>
        <item x="0"/>
        <item x="3"/>
        <item x="7"/>
        <item x="23"/>
        <item x="26"/>
        <item x="41"/>
        <item x="24"/>
        <item x="8"/>
        <item x="32"/>
        <item x="42"/>
        <item x="40"/>
        <item x="2"/>
        <item x="13"/>
        <item x="18"/>
        <item x="14"/>
        <item x="16"/>
        <item x="33"/>
        <item x="4"/>
        <item x="28"/>
        <item x="49"/>
        <item x="9"/>
        <item x="10"/>
        <item x="27"/>
        <item x="36"/>
        <item x="17"/>
        <item x="45"/>
        <item x="48"/>
        <item x="44"/>
        <item x="25"/>
        <item x="30"/>
        <item x="46"/>
        <item x="39"/>
        <item x="35"/>
        <item x="51"/>
        <item x="6"/>
        <item x="19"/>
        <item x="50"/>
        <item x="47"/>
        <item x="38"/>
        <item x="20"/>
        <item x="15"/>
        <item x="21"/>
        <item x="12"/>
        <item x="1"/>
        <item x="37"/>
        <item x="52"/>
        <item h="1" x="53"/>
        <item t="default"/>
      </items>
    </pivotField>
    <pivotField showAll="0"/>
    <pivotField showAll="0"/>
  </pivotFields>
  <rowItems count="1">
    <i/>
  </rowItems>
  <colItems count="1">
    <i/>
  </colItems>
  <dataFields count="1">
    <dataField name=" Returned"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8290C7-8013-48AD-91AB-E28100846396}" name="PivotTable2" cacheId="14"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6" rowHeaderCaption="Week" colHeaderCaption="Week Number">
  <location ref="F2:G56" firstHeaderRow="1" firstDataRow="1" firstDataCol="1"/>
  <pivotFields count="20">
    <pivotField showAll="0"/>
    <pivotField showAll="0">
      <items count="13">
        <item m="1" x="9"/>
        <item m="1" x="6"/>
        <item m="1" x="8"/>
        <item m="1" x="7"/>
        <item m="1" x="10"/>
        <item x="5"/>
        <item f="1" x="11"/>
        <item x="0"/>
        <item x="1"/>
        <item x="2"/>
        <item x="3"/>
        <item x="4"/>
        <item t="default"/>
      </items>
    </pivotField>
    <pivotField showAll="0"/>
    <pivotField showAll="0"/>
    <pivotField showAll="0"/>
    <pivotField showAll="0"/>
    <pivotField showAll="0"/>
    <pivotField showAll="0">
      <items count="6">
        <item x="0"/>
        <item x="3"/>
        <item x="1"/>
        <item x="2"/>
        <item x="4"/>
        <item t="default"/>
      </items>
    </pivotField>
    <pivotField showAll="0"/>
    <pivotField dataField="1" showAll="0"/>
    <pivotField showAll="0"/>
    <pivotField showAll="0">
      <items count="6">
        <item x="0"/>
        <item x="3"/>
        <item x="1"/>
        <item x="2"/>
        <item x="4"/>
        <item t="default"/>
      </items>
    </pivotField>
    <pivotField showAll="0"/>
    <pivotField showAll="0"/>
    <pivotField showAll="0"/>
    <pivotField showAll="0"/>
    <pivotField showAll="0">
      <items count="749">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x="747"/>
        <item t="default"/>
      </items>
    </pivotField>
    <pivotField axis="axisRow" showAll="0">
      <items count="55">
        <item x="31"/>
        <item x="5"/>
        <item x="11"/>
        <item x="34"/>
        <item x="43"/>
        <item x="29"/>
        <item x="22"/>
        <item x="0"/>
        <item x="3"/>
        <item x="7"/>
        <item x="23"/>
        <item x="26"/>
        <item x="41"/>
        <item x="24"/>
        <item x="8"/>
        <item x="32"/>
        <item x="42"/>
        <item x="40"/>
        <item x="2"/>
        <item x="13"/>
        <item x="18"/>
        <item x="14"/>
        <item x="16"/>
        <item x="33"/>
        <item x="4"/>
        <item x="28"/>
        <item x="49"/>
        <item x="9"/>
        <item x="10"/>
        <item x="27"/>
        <item x="36"/>
        <item x="17"/>
        <item x="45"/>
        <item x="48"/>
        <item x="44"/>
        <item x="25"/>
        <item x="30"/>
        <item x="46"/>
        <item x="39"/>
        <item x="35"/>
        <item x="51"/>
        <item x="6"/>
        <item x="19"/>
        <item x="50"/>
        <item x="47"/>
        <item x="38"/>
        <item x="20"/>
        <item x="15"/>
        <item x="21"/>
        <item x="12"/>
        <item x="1"/>
        <item x="37"/>
        <item x="52"/>
        <item h="1" x="53"/>
        <item t="default"/>
      </items>
    </pivotField>
    <pivotField showAll="0"/>
    <pivotField showAll="0"/>
  </pivotFields>
  <rowFields count="1">
    <field x="17"/>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 Total Revenue" fld="9" baseField="0" baseItem="0" numFmtId="165"/>
  </dataFields>
  <formats count="3">
    <format dxfId="209">
      <pivotArea outline="0" collapsedLevelsAreSubtotals="1" fieldPosition="0"/>
    </format>
    <format dxfId="208">
      <pivotArea outline="0" fieldPosition="0">
        <references count="1">
          <reference field="4294967294" count="1">
            <x v="0"/>
          </reference>
        </references>
      </pivotArea>
    </format>
    <format dxfId="202">
      <pivotArea collapsedLevelsAreSubtotals="1" fieldPosition="0">
        <references count="1">
          <reference field="17"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A227BA-0C1A-46E8-888A-4CA379DAB6C1}" name="PivotTable12"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43:B50" firstHeaderRow="1" firstDataRow="1" firstDataCol="1"/>
  <pivotFields count="20">
    <pivotField showAll="0"/>
    <pivotField showAll="0">
      <items count="13">
        <item m="1" x="9"/>
        <item x="3"/>
        <item m="1" x="6"/>
        <item x="2"/>
        <item f="1" x="11"/>
        <item x="0"/>
        <item x="4"/>
        <item m="1" x="8"/>
        <item m="1" x="7"/>
        <item x="1"/>
        <item m="1" x="10"/>
        <item x="5"/>
        <item t="default"/>
      </items>
    </pivotField>
    <pivotField showAll="0"/>
    <pivotField showAll="0"/>
    <pivotField showAll="0"/>
    <pivotField showAll="0"/>
    <pivotField showAll="0"/>
    <pivotField showAll="0">
      <items count="6">
        <item x="0"/>
        <item x="3"/>
        <item x="1"/>
        <item x="2"/>
        <item x="4"/>
        <item t="default"/>
      </items>
    </pivotField>
    <pivotField axis="axisRow" showAll="0">
      <items count="8">
        <item x="1"/>
        <item x="5"/>
        <item x="3"/>
        <item x="4"/>
        <item x="0"/>
        <item x="2"/>
        <item h="1" x="6"/>
        <item t="default"/>
      </items>
    </pivotField>
    <pivotField dataField="1" showAll="0"/>
    <pivotField showAll="0"/>
    <pivotField showAll="0">
      <items count="6">
        <item x="0"/>
        <item x="3"/>
        <item x="1"/>
        <item x="2"/>
        <item x="4"/>
        <item t="default"/>
      </items>
    </pivotField>
    <pivotField showAll="0"/>
    <pivotField showAll="0"/>
    <pivotField showAll="0"/>
    <pivotField showAll="0"/>
    <pivotField showAll="0">
      <items count="749">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x="747"/>
        <item t="default"/>
      </items>
    </pivotField>
    <pivotField showAll="0">
      <items count="55">
        <item x="31"/>
        <item x="5"/>
        <item x="11"/>
        <item x="34"/>
        <item x="43"/>
        <item x="29"/>
        <item x="22"/>
        <item x="0"/>
        <item x="3"/>
        <item x="7"/>
        <item x="23"/>
        <item x="26"/>
        <item x="41"/>
        <item x="24"/>
        <item x="8"/>
        <item x="32"/>
        <item x="42"/>
        <item x="40"/>
        <item x="2"/>
        <item x="13"/>
        <item x="18"/>
        <item x="14"/>
        <item x="16"/>
        <item x="33"/>
        <item x="4"/>
        <item x="28"/>
        <item x="49"/>
        <item x="9"/>
        <item x="10"/>
        <item x="27"/>
        <item x="36"/>
        <item x="17"/>
        <item x="45"/>
        <item x="48"/>
        <item x="44"/>
        <item x="25"/>
        <item x="30"/>
        <item x="46"/>
        <item x="39"/>
        <item x="35"/>
        <item x="51"/>
        <item x="6"/>
        <item x="19"/>
        <item x="50"/>
        <item x="47"/>
        <item x="38"/>
        <item x="20"/>
        <item x="15"/>
        <item x="21"/>
        <item x="12"/>
        <item x="1"/>
        <item x="37"/>
        <item x="52"/>
        <item h="1" x="53"/>
        <item t="default"/>
      </items>
    </pivotField>
    <pivotField showAll="0"/>
    <pivotField showAll="0"/>
  </pivotFields>
  <rowFields count="1">
    <field x="8"/>
  </rowFields>
  <rowItems count="7">
    <i>
      <x/>
    </i>
    <i>
      <x v="1"/>
    </i>
    <i>
      <x v="2"/>
    </i>
    <i>
      <x v="3"/>
    </i>
    <i>
      <x v="4"/>
    </i>
    <i>
      <x v="5"/>
    </i>
    <i t="grand">
      <x/>
    </i>
  </rowItems>
  <colItems count="1">
    <i/>
  </colItems>
  <dataFields count="1">
    <dataField name="Sum of TotalPrice" fld="9" baseField="0" baseItem="0" numFmtId="166"/>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BD30E81-4F91-4565-93FD-48A39104978D}" name="PivotTable10"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3:A34" firstHeaderRow="1" firstDataRow="1" firstDataCol="0"/>
  <pivotFields count="20">
    <pivotField showAll="0"/>
    <pivotField showAll="0">
      <items count="13">
        <item m="1" x="9"/>
        <item x="3"/>
        <item m="1" x="6"/>
        <item x="2"/>
        <item f="1" x="11"/>
        <item x="0"/>
        <item x="4"/>
        <item m="1" x="8"/>
        <item m="1" x="7"/>
        <item x="1"/>
        <item m="1" x="10"/>
        <item x="5"/>
        <item t="default"/>
      </items>
    </pivotField>
    <pivotField showAll="0"/>
    <pivotField showAll="0"/>
    <pivotField showAll="0"/>
    <pivotField showAll="0"/>
    <pivotField showAll="0"/>
    <pivotField showAll="0">
      <items count="6">
        <item x="0"/>
        <item x="3"/>
        <item x="1"/>
        <item x="2"/>
        <item x="4"/>
        <item t="default"/>
      </items>
    </pivotField>
    <pivotField showAll="0"/>
    <pivotField showAll="0"/>
    <pivotField showAll="0"/>
    <pivotField showAll="0">
      <items count="6">
        <item x="0"/>
        <item x="3"/>
        <item x="1"/>
        <item x="2"/>
        <item x="4"/>
        <item t="default"/>
      </items>
    </pivotField>
    <pivotField showAll="0"/>
    <pivotField showAll="0"/>
    <pivotField showAll="0"/>
    <pivotField dataField="1" showAll="0"/>
    <pivotField showAll="0">
      <items count="749">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x="747"/>
        <item t="default"/>
      </items>
    </pivotField>
    <pivotField showAll="0">
      <items count="55">
        <item x="31"/>
        <item x="5"/>
        <item x="11"/>
        <item x="34"/>
        <item x="43"/>
        <item x="29"/>
        <item x="22"/>
        <item x="0"/>
        <item x="3"/>
        <item x="7"/>
        <item x="23"/>
        <item x="26"/>
        <item x="41"/>
        <item x="24"/>
        <item x="8"/>
        <item x="32"/>
        <item x="42"/>
        <item x="40"/>
        <item x="2"/>
        <item x="13"/>
        <item x="18"/>
        <item x="14"/>
        <item x="16"/>
        <item x="33"/>
        <item x="4"/>
        <item x="28"/>
        <item x="49"/>
        <item x="9"/>
        <item x="10"/>
        <item x="27"/>
        <item x="36"/>
        <item x="17"/>
        <item x="45"/>
        <item x="48"/>
        <item x="44"/>
        <item x="25"/>
        <item x="30"/>
        <item x="46"/>
        <item x="39"/>
        <item x="35"/>
        <item x="51"/>
        <item x="6"/>
        <item x="19"/>
        <item x="50"/>
        <item x="47"/>
        <item x="38"/>
        <item x="20"/>
        <item x="15"/>
        <item x="21"/>
        <item x="12"/>
        <item x="1"/>
        <item x="37"/>
        <item x="52"/>
        <item h="1" x="53"/>
        <item t="default"/>
      </items>
    </pivotField>
    <pivotField showAll="0"/>
    <pivotField showAll="0"/>
  </pivotFields>
  <rowItems count="1">
    <i/>
  </rowItems>
  <colItems count="1">
    <i/>
  </colItems>
  <dataFields count="1">
    <dataField name="Sum of ShippingCost" fld="1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941EED-3330-4EB7-90C5-D06C0803DBDA}" name="PivotTable11"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Promotion Type">
  <location ref="A36:B41" firstHeaderRow="1" firstDataRow="1" firstDataCol="1"/>
  <pivotFields count="20">
    <pivotField showAll="0"/>
    <pivotField showAll="0">
      <items count="13">
        <item m="1" x="9"/>
        <item x="3"/>
        <item m="1" x="6"/>
        <item x="2"/>
        <item f="1" x="11"/>
        <item x="0"/>
        <item x="4"/>
        <item m="1" x="8"/>
        <item m="1" x="7"/>
        <item x="1"/>
        <item m="1" x="10"/>
        <item x="5"/>
        <item t="default"/>
      </items>
    </pivotField>
    <pivotField showAll="0"/>
    <pivotField showAll="0"/>
    <pivotField showAll="0"/>
    <pivotField showAll="0"/>
    <pivotField showAll="0"/>
    <pivotField showAll="0">
      <items count="6">
        <item x="0"/>
        <item x="3"/>
        <item x="1"/>
        <item x="2"/>
        <item x="4"/>
        <item t="default"/>
      </items>
    </pivotField>
    <pivotField showAll="0"/>
    <pivotField dataField="1" showAll="0"/>
    <pivotField showAll="0"/>
    <pivotField axis="axisRow" showAll="0">
      <items count="6">
        <item x="0"/>
        <item x="3"/>
        <item x="1"/>
        <item x="2"/>
        <item x="4"/>
        <item t="default"/>
      </items>
    </pivotField>
    <pivotField showAll="0"/>
    <pivotField showAll="0"/>
    <pivotField showAll="0"/>
    <pivotField showAll="0"/>
    <pivotField showAll="0">
      <items count="749">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x="747"/>
        <item t="default"/>
      </items>
    </pivotField>
    <pivotField showAll="0">
      <items count="55">
        <item x="31"/>
        <item x="5"/>
        <item x="11"/>
        <item x="34"/>
        <item x="43"/>
        <item x="29"/>
        <item x="22"/>
        <item x="0"/>
        <item x="3"/>
        <item x="7"/>
        <item x="23"/>
        <item x="26"/>
        <item x="41"/>
        <item x="24"/>
        <item x="8"/>
        <item x="32"/>
        <item x="42"/>
        <item x="40"/>
        <item x="2"/>
        <item x="13"/>
        <item x="18"/>
        <item x="14"/>
        <item x="16"/>
        <item x="33"/>
        <item x="4"/>
        <item x="28"/>
        <item x="49"/>
        <item x="9"/>
        <item x="10"/>
        <item x="27"/>
        <item x="36"/>
        <item x="17"/>
        <item x="45"/>
        <item x="48"/>
        <item x="44"/>
        <item x="25"/>
        <item x="30"/>
        <item x="46"/>
        <item x="39"/>
        <item x="35"/>
        <item x="51"/>
        <item x="6"/>
        <item x="19"/>
        <item x="50"/>
        <item x="47"/>
        <item x="38"/>
        <item x="20"/>
        <item x="15"/>
        <item x="21"/>
        <item x="12"/>
        <item x="1"/>
        <item x="37"/>
        <item x="52"/>
        <item h="1" x="53"/>
        <item t="default"/>
      </items>
    </pivotField>
    <pivotField showAll="0"/>
    <pivotField showAll="0"/>
  </pivotFields>
  <rowFields count="1">
    <field x="11"/>
  </rowFields>
  <rowItems count="5">
    <i>
      <x/>
    </i>
    <i>
      <x v="1"/>
    </i>
    <i>
      <x v="2"/>
    </i>
    <i>
      <x v="3"/>
    </i>
    <i t="grand">
      <x/>
    </i>
  </rowItems>
  <colItems count="1">
    <i/>
  </colItems>
  <dataFields count="1">
    <dataField name=" Total Revenue" fld="9" baseField="11"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A88427-C500-4512-BC26-EB9D05515179}" name="PivotTable9"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0:A31" firstHeaderRow="1" firstDataRow="1" firstDataCol="0"/>
  <pivotFields count="20">
    <pivotField showAll="0"/>
    <pivotField showAll="0">
      <items count="13">
        <item m="1" x="9"/>
        <item x="3"/>
        <item m="1" x="6"/>
        <item x="2"/>
        <item f="1" x="11"/>
        <item x="0"/>
        <item x="4"/>
        <item m="1" x="8"/>
        <item m="1" x="7"/>
        <item x="1"/>
        <item m="1" x="10"/>
        <item x="5"/>
        <item t="default"/>
      </items>
    </pivotField>
    <pivotField showAll="0"/>
    <pivotField showAll="0"/>
    <pivotField showAll="0"/>
    <pivotField showAll="0"/>
    <pivotField showAll="0"/>
    <pivotField showAll="0">
      <items count="6">
        <item x="0"/>
        <item x="3"/>
        <item x="1"/>
        <item x="2"/>
        <item x="4"/>
        <item t="default"/>
      </items>
    </pivotField>
    <pivotField showAll="0"/>
    <pivotField dataField="1" showAll="0">
      <items count="1502">
        <item x="419"/>
        <item x="600"/>
        <item x="1355"/>
        <item x="361"/>
        <item x="1028"/>
        <item x="854"/>
        <item x="1333"/>
        <item x="484"/>
        <item x="956"/>
        <item x="1304"/>
        <item x="423"/>
        <item x="1235"/>
        <item x="936"/>
        <item x="294"/>
        <item x="382"/>
        <item x="1185"/>
        <item x="1214"/>
        <item x="987"/>
        <item x="1268"/>
        <item x="585"/>
        <item x="162"/>
        <item x="767"/>
        <item x="1073"/>
        <item x="872"/>
        <item x="1314"/>
        <item x="582"/>
        <item x="1253"/>
        <item x="733"/>
        <item x="123"/>
        <item x="207"/>
        <item x="1239"/>
        <item x="801"/>
        <item x="26"/>
        <item x="656"/>
        <item x="275"/>
        <item x="1241"/>
        <item x="554"/>
        <item x="1460"/>
        <item x="6"/>
        <item x="1377"/>
        <item x="12"/>
        <item x="647"/>
        <item x="127"/>
        <item x="1042"/>
        <item x="636"/>
        <item x="308"/>
        <item x="13"/>
        <item x="1431"/>
        <item x="1193"/>
        <item x="1294"/>
        <item x="222"/>
        <item x="106"/>
        <item x="68"/>
        <item x="440"/>
        <item x="1476"/>
        <item x="28"/>
        <item x="888"/>
        <item x="322"/>
        <item x="868"/>
        <item x="727"/>
        <item x="375"/>
        <item x="182"/>
        <item x="1215"/>
        <item x="939"/>
        <item x="211"/>
        <item x="672"/>
        <item x="816"/>
        <item x="1118"/>
        <item x="742"/>
        <item x="935"/>
        <item x="568"/>
        <item x="1065"/>
        <item x="355"/>
        <item x="883"/>
        <item x="641"/>
        <item x="926"/>
        <item x="65"/>
        <item x="576"/>
        <item x="1068"/>
        <item x="1022"/>
        <item x="489"/>
        <item x="319"/>
        <item x="713"/>
        <item x="553"/>
        <item x="302"/>
        <item x="529"/>
        <item x="549"/>
        <item x="875"/>
        <item x="739"/>
        <item x="1348"/>
        <item x="235"/>
        <item x="1452"/>
        <item x="631"/>
        <item x="1071"/>
        <item x="1284"/>
        <item x="228"/>
        <item x="590"/>
        <item x="218"/>
        <item x="1014"/>
        <item x="201"/>
        <item x="381"/>
        <item x="246"/>
        <item x="1269"/>
        <item x="86"/>
        <item x="1276"/>
        <item x="1312"/>
        <item x="474"/>
        <item x="941"/>
        <item x="52"/>
        <item x="1007"/>
        <item x="784"/>
        <item x="301"/>
        <item x="1034"/>
        <item x="735"/>
        <item x="1043"/>
        <item x="1124"/>
        <item x="790"/>
        <item x="1190"/>
        <item x="921"/>
        <item x="233"/>
        <item x="717"/>
        <item x="391"/>
        <item x="1184"/>
        <item x="771"/>
        <item x="1131"/>
        <item x="907"/>
        <item x="715"/>
        <item x="1403"/>
        <item x="1497"/>
        <item x="1173"/>
        <item x="1310"/>
        <item x="1197"/>
        <item x="707"/>
        <item x="189"/>
        <item x="896"/>
        <item x="1244"/>
        <item x="1158"/>
        <item x="894"/>
        <item x="1154"/>
        <item x="760"/>
        <item x="259"/>
        <item x="1210"/>
        <item x="1264"/>
        <item x="1399"/>
        <item x="1363"/>
        <item x="794"/>
        <item x="216"/>
        <item x="591"/>
        <item x="96"/>
        <item x="981"/>
        <item x="567"/>
        <item x="46"/>
        <item x="1383"/>
        <item x="1382"/>
        <item x="1136"/>
        <item x="80"/>
        <item x="1141"/>
        <item x="671"/>
        <item x="1358"/>
        <item x="766"/>
        <item x="408"/>
        <item x="689"/>
        <item x="1240"/>
        <item x="839"/>
        <item x="1313"/>
        <item x="1030"/>
        <item x="607"/>
        <item x="315"/>
        <item x="1048"/>
        <item x="1334"/>
        <item x="1150"/>
        <item x="1000"/>
        <item x="1457"/>
        <item x="256"/>
        <item x="1335"/>
        <item x="1177"/>
        <item x="603"/>
        <item x="253"/>
        <item x="242"/>
        <item x="462"/>
        <item x="937"/>
        <item x="577"/>
        <item x="602"/>
        <item x="1108"/>
        <item x="1419"/>
        <item x="1413"/>
        <item x="1132"/>
        <item x="729"/>
        <item x="677"/>
        <item x="1166"/>
        <item x="32"/>
        <item x="943"/>
        <item x="869"/>
        <item x="274"/>
        <item x="378"/>
        <item x="328"/>
        <item x="314"/>
        <item x="525"/>
        <item x="297"/>
        <item x="1406"/>
        <item x="348"/>
        <item x="731"/>
        <item x="578"/>
        <item x="1466"/>
        <item x="1194"/>
        <item x="29"/>
        <item x="1035"/>
        <item x="501"/>
        <item x="19"/>
        <item x="842"/>
        <item x="42"/>
        <item x="191"/>
        <item x="399"/>
        <item x="109"/>
        <item x="370"/>
        <item x="911"/>
        <item x="438"/>
        <item x="822"/>
        <item x="57"/>
        <item x="1387"/>
        <item x="891"/>
        <item x="989"/>
        <item x="1049"/>
        <item x="592"/>
        <item x="1102"/>
        <item x="498"/>
        <item x="925"/>
        <item x="1198"/>
        <item x="455"/>
        <item x="740"/>
        <item x="1003"/>
        <item x="530"/>
        <item x="984"/>
        <item x="161"/>
        <item x="830"/>
        <item x="706"/>
        <item x="122"/>
        <item x="734"/>
        <item x="74"/>
        <item x="169"/>
        <item x="1099"/>
        <item x="225"/>
        <item x="1077"/>
        <item x="559"/>
        <item x="383"/>
        <item x="51"/>
        <item x="108"/>
        <item x="300"/>
        <item x="1165"/>
        <item x="692"/>
        <item x="1261"/>
        <item x="745"/>
        <item x="873"/>
        <item x="657"/>
        <item x="1021"/>
        <item x="499"/>
        <item x="105"/>
        <item x="1469"/>
        <item x="889"/>
        <item x="1024"/>
        <item x="69"/>
        <item x="389"/>
        <item x="565"/>
        <item x="714"/>
        <item x="112"/>
        <item x="705"/>
        <item x="610"/>
        <item x="1179"/>
        <item x="1297"/>
        <item x="788"/>
        <item x="1"/>
        <item x="1247"/>
        <item x="1410"/>
        <item x="551"/>
        <item x="117"/>
        <item x="155"/>
        <item x="1331"/>
        <item x="338"/>
        <item x="843"/>
        <item x="924"/>
        <item x="653"/>
        <item x="599"/>
        <item x="583"/>
        <item x="1107"/>
        <item x="795"/>
        <item x="517"/>
        <item x="1347"/>
        <item x="825"/>
        <item x="797"/>
        <item x="863"/>
        <item x="1044"/>
        <item x="746"/>
        <item x="412"/>
        <item x="110"/>
        <item x="1467"/>
        <item x="1259"/>
        <item x="392"/>
        <item x="650"/>
        <item x="333"/>
        <item x="1061"/>
        <item x="1216"/>
        <item x="687"/>
        <item x="494"/>
        <item x="260"/>
        <item x="1349"/>
        <item x="527"/>
        <item x="63"/>
        <item x="1053"/>
        <item x="659"/>
        <item x="564"/>
        <item x="346"/>
        <item x="1373"/>
        <item x="240"/>
        <item x="144"/>
        <item x="5"/>
        <item x="668"/>
        <item x="101"/>
        <item x="1122"/>
        <item x="1142"/>
        <item x="652"/>
        <item x="1237"/>
        <item x="1188"/>
        <item x="266"/>
        <item x="639"/>
        <item x="857"/>
        <item x="890"/>
        <item x="736"/>
        <item x="520"/>
        <item x="53"/>
        <item x="1492"/>
        <item x="1386"/>
        <item x="803"/>
        <item x="796"/>
        <item x="331"/>
        <item x="1074"/>
        <item x="799"/>
        <item x="193"/>
        <item x="349"/>
        <item x="231"/>
        <item x="628"/>
        <item x="1257"/>
        <item x="1483"/>
        <item x="1152"/>
        <item x="48"/>
        <item x="780"/>
        <item x="176"/>
        <item x="1443"/>
        <item x="1365"/>
        <item x="534"/>
        <item x="1330"/>
        <item x="1446"/>
        <item x="1037"/>
        <item x="50"/>
        <item x="1343"/>
        <item x="488"/>
        <item x="44"/>
        <item x="1227"/>
        <item x="1487"/>
        <item x="490"/>
        <item x="138"/>
        <item x="594"/>
        <item x="513"/>
        <item x="165"/>
        <item x="595"/>
        <item x="580"/>
        <item x="280"/>
        <item x="958"/>
        <item x="470"/>
        <item x="7"/>
        <item x="139"/>
        <item x="230"/>
        <item x="837"/>
        <item x="1288"/>
        <item x="39"/>
        <item x="928"/>
        <item x="1478"/>
        <item x="783"/>
        <item x="831"/>
        <item x="481"/>
        <item x="1213"/>
        <item x="982"/>
        <item x="679"/>
        <item x="998"/>
        <item x="1069"/>
        <item x="1370"/>
        <item x="432"/>
        <item x="971"/>
        <item x="1290"/>
        <item x="188"/>
        <item x="1083"/>
        <item x="1342"/>
        <item x="1230"/>
        <item x="865"/>
        <item x="1481"/>
        <item x="1138"/>
        <item x="1006"/>
        <item x="1401"/>
        <item x="1026"/>
        <item x="1204"/>
        <item x="511"/>
        <item x="1255"/>
        <item x="1233"/>
        <item x="472"/>
        <item x="539"/>
        <item x="1225"/>
        <item x="1168"/>
        <item x="1435"/>
        <item x="947"/>
        <item x="973"/>
        <item x="347"/>
        <item x="278"/>
        <item x="827"/>
        <item x="782"/>
        <item x="515"/>
        <item x="544"/>
        <item x="150"/>
        <item x="757"/>
        <item x="642"/>
        <item x="1089"/>
        <item x="1494"/>
        <item x="279"/>
        <item x="1159"/>
        <item x="1315"/>
        <item x="214"/>
        <item x="1085"/>
        <item x="288"/>
        <item x="1170"/>
        <item x="456"/>
        <item x="1016"/>
        <item x="809"/>
        <item x="1017"/>
        <item x="425"/>
        <item x="1145"/>
        <item x="558"/>
        <item x="265"/>
        <item x="1317"/>
        <item x="1220"/>
        <item x="1004"/>
        <item x="270"/>
        <item x="885"/>
        <item x="1200"/>
        <item x="473"/>
        <item x="262"/>
        <item x="901"/>
        <item x="798"/>
        <item x="102"/>
        <item x="972"/>
        <item x="881"/>
        <item x="114"/>
        <item x="1217"/>
        <item x="613"/>
        <item x="633"/>
        <item x="892"/>
        <item x="751"/>
        <item x="467"/>
        <item x="180"/>
        <item x="1075"/>
        <item x="804"/>
        <item x="205"/>
        <item x="183"/>
        <item x="1192"/>
        <item x="629"/>
        <item x="330"/>
        <item x="27"/>
        <item x="1163"/>
        <item x="774"/>
        <item x="151"/>
        <item x="1354"/>
        <item x="574"/>
        <item x="1139"/>
        <item x="480"/>
        <item x="512"/>
        <item x="1486"/>
        <item x="35"/>
        <item x="622"/>
        <item x="249"/>
        <item x="195"/>
        <item x="1064"/>
        <item x="1137"/>
        <item x="1351"/>
        <item x="1106"/>
        <item x="959"/>
        <item x="864"/>
        <item x="398"/>
        <item x="1329"/>
        <item x="661"/>
        <item x="495"/>
        <item x="931"/>
        <item x="402"/>
        <item x="1101"/>
        <item x="1279"/>
        <item x="111"/>
        <item x="678"/>
        <item x="334"/>
        <item x="627"/>
        <item x="1070"/>
        <item x="1396"/>
        <item x="8"/>
        <item x="291"/>
        <item x="1336"/>
        <item x="41"/>
        <item x="164"/>
        <item x="637"/>
        <item x="814"/>
        <item x="575"/>
        <item x="541"/>
        <item x="1110"/>
        <item x="1275"/>
        <item x="62"/>
        <item x="264"/>
        <item x="170"/>
        <item x="812"/>
        <item x="516"/>
        <item x="1109"/>
        <item x="1490"/>
        <item x="198"/>
        <item x="1357"/>
        <item x="326"/>
        <item x="841"/>
        <item x="1428"/>
        <item x="1093"/>
        <item x="811"/>
        <item x="993"/>
        <item x="691"/>
        <item x="762"/>
        <item x="443"/>
        <item x="910"/>
        <item x="181"/>
        <item x="91"/>
        <item x="1338"/>
        <item x="485"/>
        <item x="1161"/>
        <item x="1300"/>
        <item x="1157"/>
        <item x="581"/>
        <item x="955"/>
        <item x="680"/>
        <item x="417"/>
        <item x="962"/>
        <item x="492"/>
        <item x="952"/>
        <item x="369"/>
        <item x="634"/>
        <item x="1105"/>
        <item x="156"/>
        <item x="997"/>
        <item x="306"/>
        <item x="24"/>
        <item x="737"/>
        <item x="975"/>
        <item x="9"/>
        <item x="257"/>
        <item x="619"/>
        <item x="1463"/>
        <item x="1199"/>
        <item x="616"/>
        <item x="187"/>
        <item x="805"/>
        <item x="1277"/>
        <item x="1327"/>
        <item x="454"/>
        <item x="374"/>
        <item x="317"/>
        <item x="1427"/>
        <item x="572"/>
        <item x="785"/>
        <item x="1445"/>
        <item x="337"/>
        <item x="793"/>
        <item x="569"/>
        <item x="725"/>
        <item x="968"/>
        <item x="593"/>
        <item x="1417"/>
        <item x="930"/>
        <item x="834"/>
        <item x="621"/>
        <item x="451"/>
        <item x="1420"/>
        <item x="566"/>
        <item x="476"/>
        <item x="414"/>
        <item x="1196"/>
        <item x="43"/>
        <item x="673"/>
        <item x="1374"/>
        <item x="450"/>
        <item x="640"/>
        <item x="1149"/>
        <item x="1475"/>
        <item x="999"/>
        <item x="1375"/>
        <item x="1441"/>
        <item x="683"/>
        <item x="1191"/>
        <item x="1095"/>
        <item x="466"/>
        <item x="461"/>
        <item x="1379"/>
        <item x="1465"/>
        <item x="964"/>
        <item x="163"/>
        <item x="682"/>
        <item x="598"/>
        <item x="1127"/>
        <item x="747"/>
        <item x="824"/>
        <item x="1027"/>
        <item x="1223"/>
        <item x="243"/>
        <item x="519"/>
        <item x="690"/>
        <item x="994"/>
        <item x="1495"/>
        <item x="1470"/>
        <item x="1418"/>
        <item x="340"/>
        <item x="1092"/>
        <item x="384"/>
        <item x="1337"/>
        <item x="1011"/>
        <item x="777"/>
        <item x="372"/>
        <item x="1081"/>
        <item x="103"/>
        <item x="1344"/>
        <item x="1278"/>
        <item x="763"/>
        <item x="365"/>
        <item x="496"/>
        <item x="1207"/>
        <item x="197"/>
        <item x="1086"/>
        <item x="1356"/>
        <item x="1425"/>
        <item x="1096"/>
        <item x="718"/>
        <item x="655"/>
        <item x="1174"/>
        <item x="410"/>
        <item x="1057"/>
        <item x="693"/>
        <item x="949"/>
        <item x="81"/>
        <item x="701"/>
        <item x="171"/>
        <item x="1100"/>
        <item x="448"/>
        <item x="37"/>
        <item x="1345"/>
        <item x="615"/>
        <item x="1187"/>
        <item x="829"/>
        <item x="459"/>
        <item x="1473"/>
        <item x="562"/>
        <item x="1254"/>
        <item x="263"/>
        <item x="819"/>
        <item x="526"/>
        <item x="1033"/>
        <item x="1448"/>
        <item x="861"/>
        <item x="272"/>
        <item x="1251"/>
        <item x="159"/>
        <item x="871"/>
        <item x="1078"/>
        <item x="327"/>
        <item x="1402"/>
        <item x="835"/>
        <item x="538"/>
        <item x="1378"/>
        <item x="1203"/>
        <item x="991"/>
        <item x="325"/>
        <item x="620"/>
        <item x="1485"/>
        <item x="1286"/>
        <item x="645"/>
        <item x="700"/>
        <item x="167"/>
        <item x="1156"/>
        <item x="1120"/>
        <item x="194"/>
        <item x="433"/>
        <item x="34"/>
        <item x="832"/>
        <item x="1195"/>
        <item x="254"/>
        <item x="510"/>
        <item x="1002"/>
        <item x="276"/>
        <item x="1381"/>
        <item x="345"/>
        <item x="960"/>
        <item x="1143"/>
        <item x="335"/>
        <item x="571"/>
        <item x="1201"/>
        <item x="1066"/>
        <item x="944"/>
        <item x="281"/>
        <item x="1352"/>
        <item x="1432"/>
        <item x="1263"/>
        <item x="920"/>
        <item x="586"/>
        <item x="118"/>
        <item x="1167"/>
        <item x="1414"/>
        <item x="352"/>
        <item x="396"/>
        <item x="738"/>
        <item x="1134"/>
        <item x="1289"/>
        <item x="1147"/>
        <item x="730"/>
        <item x="954"/>
        <item x="646"/>
        <item x="1280"/>
        <item x="1046"/>
        <item x="922"/>
        <item x="625"/>
        <item x="990"/>
        <item x="681"/>
        <item x="508"/>
        <item x="1371"/>
        <item x="1282"/>
        <item x="209"/>
        <item x="1010"/>
        <item x="445"/>
        <item x="282"/>
        <item x="367"/>
        <item x="56"/>
        <item x="754"/>
        <item x="40"/>
        <item x="1260"/>
        <item x="1437"/>
        <item x="277"/>
        <item x="1477"/>
        <item x="844"/>
        <item x="1479"/>
        <item x="380"/>
        <item x="134"/>
        <item x="775"/>
        <item x="1112"/>
        <item x="1182"/>
        <item x="877"/>
        <item x="1325"/>
        <item x="421"/>
        <item x="979"/>
        <item x="518"/>
        <item x="84"/>
        <item x="377"/>
        <item x="808"/>
        <item x="457"/>
        <item x="1126"/>
        <item x="104"/>
        <item x="874"/>
        <item x="126"/>
        <item x="409"/>
        <item x="497"/>
        <item x="561"/>
        <item x="1390"/>
        <item x="1020"/>
        <item x="1468"/>
        <item x="533"/>
        <item x="768"/>
        <item x="703"/>
        <item x="137"/>
        <item x="1155"/>
        <item x="393"/>
        <item x="927"/>
        <item x="0"/>
        <item x="1489"/>
        <item x="1186"/>
        <item x="1368"/>
        <item x="838"/>
        <item x="866"/>
        <item x="524"/>
        <item x="376"/>
        <item x="1258"/>
        <item x="1013"/>
        <item x="66"/>
        <item x="665"/>
        <item x="813"/>
        <item x="143"/>
        <item x="828"/>
        <item x="537"/>
        <item x="77"/>
        <item x="913"/>
        <item x="1117"/>
        <item x="1019"/>
        <item x="1311"/>
        <item x="321"/>
        <item x="426"/>
        <item x="305"/>
        <item x="1393"/>
        <item x="390"/>
        <item x="1444"/>
        <item x="1350"/>
        <item x="1123"/>
        <item x="1283"/>
        <item x="1224"/>
        <item x="441"/>
        <item x="61"/>
        <item x="363"/>
        <item x="73"/>
        <item x="388"/>
        <item x="1453"/>
        <item x="55"/>
        <item x="468"/>
        <item x="82"/>
        <item x="887"/>
        <item x="604"/>
        <item x="418"/>
        <item x="697"/>
        <item x="1461"/>
        <item x="332"/>
        <item x="1380"/>
        <item x="316"/>
        <item x="753"/>
        <item x="1045"/>
        <item x="1146"/>
        <item x="696"/>
        <item x="1135"/>
        <item x="1058"/>
        <item x="116"/>
        <item x="902"/>
        <item x="818"/>
        <item x="502"/>
        <item x="1243"/>
        <item x="660"/>
        <item x="817"/>
        <item x="853"/>
        <item x="120"/>
        <item x="1025"/>
        <item x="464"/>
        <item x="447"/>
        <item x="31"/>
        <item x="124"/>
        <item x="846"/>
        <item x="428"/>
        <item x="296"/>
        <item x="859"/>
        <item x="15"/>
        <item x="531"/>
        <item x="237"/>
        <item x="1038"/>
        <item x="295"/>
        <item x="1391"/>
        <item x="220"/>
        <item x="1322"/>
        <item x="200"/>
        <item x="1422"/>
        <item x="371"/>
        <item x="1248"/>
        <item x="1148"/>
        <item x="1395"/>
        <item x="54"/>
        <item x="395"/>
        <item x="1455"/>
        <item x="344"/>
        <item x="1031"/>
        <item x="1226"/>
        <item x="688"/>
        <item x="758"/>
        <item x="880"/>
        <item x="1359"/>
        <item x="174"/>
        <item x="929"/>
        <item x="1051"/>
        <item x="1047"/>
        <item x="1084"/>
        <item x="723"/>
        <item x="611"/>
        <item x="587"/>
        <item x="1171"/>
        <item x="359"/>
        <item x="135"/>
        <item x="1491"/>
        <item x="342"/>
        <item x="158"/>
        <item x="953"/>
        <item x="14"/>
        <item x="755"/>
        <item x="1301"/>
        <item x="1433"/>
        <item x="1409"/>
        <item x="860"/>
        <item x="976"/>
        <item x="238"/>
        <item x="909"/>
        <item x="121"/>
        <item x="946"/>
        <item x="239"/>
        <item x="845"/>
        <item x="343"/>
        <item x="597"/>
        <item x="1062"/>
        <item x="479"/>
        <item x="1499"/>
        <item x="983"/>
        <item x="368"/>
        <item x="49"/>
        <item x="290"/>
        <item x="764"/>
        <item x="1376"/>
        <item x="1180"/>
        <item x="172"/>
        <item x="36"/>
        <item x="1205"/>
        <item x="1411"/>
        <item x="248"/>
        <item x="261"/>
        <item x="916"/>
        <item x="400"/>
        <item x="196"/>
        <item x="895"/>
        <item x="505"/>
        <item x="988"/>
        <item x="1115"/>
        <item x="772"/>
        <item x="244"/>
        <item x="364"/>
        <item x="178"/>
        <item x="658"/>
        <item x="1029"/>
        <item x="436"/>
        <item x="148"/>
        <item x="129"/>
        <item x="1164"/>
        <item x="961"/>
        <item x="632"/>
        <item x="761"/>
        <item x="608"/>
        <item x="596"/>
        <item x="951"/>
        <item x="94"/>
        <item x="1309"/>
        <item x="670"/>
        <item x="212"/>
        <item x="1056"/>
        <item x="146"/>
        <item x="1232"/>
        <item x="67"/>
        <item x="732"/>
        <item x="1451"/>
        <item x="424"/>
        <item x="589"/>
        <item x="140"/>
        <item x="1119"/>
        <item x="623"/>
        <item x="978"/>
        <item x="704"/>
        <item x="78"/>
        <item x="192"/>
        <item x="1153"/>
        <item x="1456"/>
        <item x="756"/>
        <item x="709"/>
        <item x="1012"/>
        <item x="601"/>
        <item x="1434"/>
        <item x="543"/>
        <item x="957"/>
        <item x="154"/>
        <item x="20"/>
        <item x="286"/>
        <item x="963"/>
        <item x="1496"/>
        <item x="1471"/>
        <item x="970"/>
        <item x="311"/>
        <item x="716"/>
        <item x="386"/>
        <item x="1295"/>
        <item x="1221"/>
        <item x="923"/>
        <item x="1321"/>
        <item x="836"/>
        <item x="986"/>
        <item x="133"/>
        <item x="1392"/>
        <item x="898"/>
        <item x="429"/>
        <item x="284"/>
        <item x="1281"/>
        <item x="1238"/>
        <item x="847"/>
        <item x="1308"/>
        <item x="415"/>
        <item x="255"/>
        <item x="548"/>
        <item x="250"/>
        <item x="579"/>
        <item x="373"/>
        <item x="769"/>
        <item x="663"/>
        <item x="800"/>
        <item x="1266"/>
        <item x="555"/>
        <item x="289"/>
        <item x="778"/>
        <item x="149"/>
        <item x="483"/>
        <item x="1183"/>
        <item x="1404"/>
        <item x="1303"/>
        <item x="397"/>
        <item x="1384"/>
        <item x="550"/>
        <item x="1498"/>
        <item x="1236"/>
        <item x="918"/>
        <item x="1018"/>
        <item x="329"/>
        <item x="202"/>
        <item x="708"/>
        <item x="11"/>
        <item x="487"/>
        <item x="1439"/>
        <item x="1023"/>
        <item x="1129"/>
        <item x="247"/>
        <item x="820"/>
        <item x="938"/>
        <item x="360"/>
        <item x="1361"/>
        <item x="136"/>
        <item x="1160"/>
        <item x="1449"/>
        <item x="644"/>
        <item x="1328"/>
        <item x="30"/>
        <item x="1125"/>
        <item x="416"/>
        <item x="1421"/>
        <item x="906"/>
        <item x="1298"/>
        <item x="1438"/>
        <item x="664"/>
        <item x="493"/>
        <item x="728"/>
        <item x="654"/>
        <item x="1292"/>
        <item x="1318"/>
        <item x="100"/>
        <item x="1407"/>
        <item x="1072"/>
        <item x="258"/>
        <item x="203"/>
        <item x="643"/>
        <item x="115"/>
        <item x="786"/>
        <item x="204"/>
        <item x="160"/>
        <item x="1063"/>
        <item x="722"/>
        <item x="1319"/>
        <item x="752"/>
        <item x="605"/>
        <item x="1385"/>
        <item x="1246"/>
        <item x="648"/>
        <item x="1430"/>
        <item x="712"/>
        <item x="1055"/>
        <item x="177"/>
        <item x="1474"/>
        <item x="58"/>
        <item x="726"/>
        <item x="1270"/>
        <item x="897"/>
        <item x="47"/>
        <item x="504"/>
        <item x="1181"/>
        <item x="870"/>
        <item x="350"/>
        <item x="1036"/>
        <item x="320"/>
        <item x="932"/>
        <item x="779"/>
        <item x="1369"/>
        <item x="157"/>
        <item x="1416"/>
        <item x="1208"/>
        <item x="547"/>
        <item x="900"/>
        <item x="1405"/>
        <item x="1103"/>
        <item x="899"/>
        <item x="1324"/>
        <item x="21"/>
        <item x="674"/>
        <item x="1296"/>
        <item x="698"/>
        <item x="70"/>
        <item x="1436"/>
        <item x="815"/>
        <item x="612"/>
        <item x="833"/>
        <item x="917"/>
        <item x="223"/>
        <item x="1316"/>
        <item x="695"/>
        <item x="876"/>
        <item x="1388"/>
        <item x="967"/>
        <item x="4"/>
        <item x="452"/>
        <item x="1211"/>
        <item x="206"/>
        <item x="1088"/>
        <item x="791"/>
        <item x="787"/>
        <item x="478"/>
        <item x="905"/>
        <item x="694"/>
        <item x="2"/>
        <item x="879"/>
        <item x="1080"/>
        <item x="1423"/>
        <item x="453"/>
        <item x="251"/>
        <item x="884"/>
        <item x="1090"/>
        <item x="1206"/>
        <item x="651"/>
        <item x="287"/>
        <item x="749"/>
        <item x="563"/>
        <item x="16"/>
        <item x="1219"/>
        <item x="1293"/>
        <item x="806"/>
        <item x="720"/>
        <item x="186"/>
        <item x="560"/>
        <item x="1450"/>
        <item x="985"/>
        <item x="420"/>
        <item x="802"/>
        <item x="1340"/>
        <item x="840"/>
        <item x="141"/>
        <item x="217"/>
        <item x="465"/>
        <item x="1320"/>
        <item x="1447"/>
        <item x="491"/>
        <item x="93"/>
        <item x="285"/>
        <item x="213"/>
        <item x="545"/>
        <item x="1228"/>
        <item x="303"/>
        <item x="1113"/>
        <item x="1067"/>
        <item x="792"/>
        <item x="776"/>
        <item x="630"/>
        <item x="1249"/>
        <item x="1054"/>
        <item x="1262"/>
        <item x="1482"/>
        <item x="1202"/>
        <item x="667"/>
        <item x="1040"/>
        <item x="23"/>
        <item x="1415"/>
        <item x="119"/>
        <item x="662"/>
        <item x="45"/>
        <item x="268"/>
        <item x="770"/>
        <item x="1302"/>
        <item x="1323"/>
        <item x="882"/>
        <item x="1116"/>
        <item x="552"/>
        <item x="75"/>
        <item x="1079"/>
        <item x="540"/>
        <item x="1341"/>
        <item x="95"/>
        <item x="532"/>
        <item x="60"/>
        <item x="915"/>
        <item x="97"/>
        <item x="858"/>
        <item x="1364"/>
        <item x="92"/>
        <item x="298"/>
        <item x="950"/>
        <item x="1412"/>
        <item x="588"/>
        <item x="147"/>
        <item x="219"/>
        <item x="1242"/>
        <item x="977"/>
        <item x="130"/>
        <item x="919"/>
        <item x="685"/>
        <item x="241"/>
        <item x="1366"/>
        <item x="1332"/>
        <item x="500"/>
        <item x="1252"/>
        <item x="442"/>
        <item x="411"/>
        <item x="1454"/>
        <item x="669"/>
        <item x="638"/>
        <item x="666"/>
        <item x="152"/>
        <item x="606"/>
        <item x="460"/>
        <item x="153"/>
        <item x="507"/>
        <item x="38"/>
        <item x="821"/>
        <item x="965"/>
        <item x="856"/>
        <item x="1222"/>
        <item x="59"/>
        <item x="1326"/>
        <item x="528"/>
        <item x="624"/>
        <item x="908"/>
        <item x="1256"/>
        <item x="379"/>
        <item x="759"/>
        <item x="405"/>
        <item x="179"/>
        <item x="403"/>
        <item x="1039"/>
        <item x="1346"/>
        <item x="1488"/>
        <item x="886"/>
        <item x="22"/>
        <item x="521"/>
        <item x="1440"/>
        <item x="1001"/>
        <item x="304"/>
        <item x="1397"/>
        <item x="76"/>
        <item x="132"/>
        <item x="401"/>
        <item x="702"/>
        <item x="356"/>
        <item x="1462"/>
        <item x="1144"/>
        <item x="226"/>
        <item x="503"/>
        <item x="1162"/>
        <item x="992"/>
        <item x="903"/>
        <item x="125"/>
        <item x="89"/>
        <item x="227"/>
        <item x="3"/>
        <item x="307"/>
        <item x="934"/>
        <item x="1299"/>
        <item x="1367"/>
        <item x="72"/>
        <item x="17"/>
        <item x="748"/>
        <item x="546"/>
        <item x="318"/>
        <item x="309"/>
        <item x="252"/>
        <item x="1231"/>
        <item x="617"/>
        <item x="773"/>
        <item x="912"/>
        <item x="1128"/>
        <item x="190"/>
        <item x="1091"/>
        <item x="721"/>
        <item x="904"/>
        <item x="878"/>
        <item x="851"/>
        <item x="948"/>
        <item x="131"/>
        <item x="404"/>
        <item x="789"/>
        <item x="475"/>
        <item x="292"/>
        <item x="449"/>
        <item x="232"/>
        <item x="1372"/>
        <item x="573"/>
        <item x="852"/>
        <item x="1464"/>
        <item x="1408"/>
        <item x="535"/>
        <item x="1389"/>
        <item x="1175"/>
        <item x="313"/>
        <item x="362"/>
        <item x="267"/>
        <item x="1394"/>
        <item x="394"/>
        <item x="444"/>
        <item x="185"/>
        <item x="556"/>
        <item x="434"/>
        <item x="914"/>
        <item x="142"/>
        <item x="1307"/>
        <item x="463"/>
        <item x="966"/>
        <item x="724"/>
        <item x="710"/>
        <item x="1458"/>
        <item x="168"/>
        <item x="437"/>
        <item x="942"/>
        <item x="477"/>
        <item x="969"/>
        <item x="107"/>
        <item x="1140"/>
        <item x="324"/>
        <item x="1245"/>
        <item x="1041"/>
        <item x="1121"/>
        <item x="357"/>
        <item x="10"/>
        <item x="79"/>
        <item x="1009"/>
        <item x="1229"/>
        <item x="323"/>
        <item x="514"/>
        <item x="199"/>
        <item x="1353"/>
        <item x="283"/>
        <item x="711"/>
        <item x="469"/>
        <item x="273"/>
        <item x="542"/>
        <item x="269"/>
        <item x="506"/>
        <item x="1272"/>
        <item x="1114"/>
        <item x="614"/>
        <item x="245"/>
        <item x="236"/>
        <item x="1480"/>
        <item x="439"/>
        <item x="482"/>
        <item x="1015"/>
        <item x="83"/>
        <item x="1484"/>
        <item x="1424"/>
        <item x="1097"/>
        <item x="407"/>
        <item x="208"/>
        <item x="430"/>
        <item x="1060"/>
        <item x="676"/>
        <item x="1050"/>
        <item x="649"/>
        <item x="719"/>
        <item x="810"/>
        <item x="744"/>
        <item x="299"/>
        <item x="635"/>
        <item x="1234"/>
        <item x="184"/>
        <item x="1052"/>
        <item x="446"/>
        <item x="618"/>
        <item x="1082"/>
        <item x="699"/>
        <item x="385"/>
        <item x="25"/>
        <item x="1291"/>
        <item x="85"/>
        <item x="1398"/>
        <item x="826"/>
        <item x="1032"/>
        <item x="765"/>
        <item x="406"/>
        <item x="1274"/>
        <item x="271"/>
        <item x="1400"/>
        <item x="1176"/>
        <item x="1189"/>
        <item x="684"/>
        <item x="1305"/>
        <item x="431"/>
        <item x="849"/>
        <item x="293"/>
        <item x="99"/>
        <item x="1285"/>
        <item x="848"/>
        <item x="1339"/>
        <item x="224"/>
        <item x="234"/>
        <item x="1429"/>
        <item x="1008"/>
        <item x="353"/>
        <item x="64"/>
        <item x="1265"/>
        <item x="940"/>
        <item x="1442"/>
        <item x="743"/>
        <item x="1169"/>
        <item x="1459"/>
        <item x="974"/>
        <item x="1151"/>
        <item x="893"/>
        <item x="145"/>
        <item x="1267"/>
        <item x="1111"/>
        <item x="1250"/>
        <item x="387"/>
        <item x="88"/>
        <item x="1273"/>
        <item x="1472"/>
        <item x="523"/>
        <item x="686"/>
        <item x="1287"/>
        <item x="33"/>
        <item x="509"/>
        <item x="522"/>
        <item x="1218"/>
        <item x="358"/>
        <item x="807"/>
        <item x="427"/>
        <item x="113"/>
        <item x="609"/>
        <item x="996"/>
        <item x="1094"/>
        <item x="366"/>
        <item x="855"/>
        <item x="675"/>
        <item x="128"/>
        <item x="98"/>
        <item x="1362"/>
        <item x="850"/>
        <item x="221"/>
        <item x="312"/>
        <item x="557"/>
        <item x="1087"/>
        <item x="422"/>
        <item x="175"/>
        <item x="310"/>
        <item x="1104"/>
        <item x="210"/>
        <item x="1306"/>
        <item x="1098"/>
        <item x="341"/>
        <item x="945"/>
        <item x="435"/>
        <item x="1059"/>
        <item x="166"/>
        <item x="18"/>
        <item x="1209"/>
        <item x="741"/>
        <item x="1178"/>
        <item x="354"/>
        <item x="584"/>
        <item x="823"/>
        <item x="1493"/>
        <item x="1212"/>
        <item x="215"/>
        <item x="1172"/>
        <item x="413"/>
        <item x="781"/>
        <item x="173"/>
        <item x="862"/>
        <item x="458"/>
        <item x="339"/>
        <item x="1005"/>
        <item x="1133"/>
        <item x="995"/>
        <item x="1360"/>
        <item x="90"/>
        <item x="750"/>
        <item x="71"/>
        <item x="87"/>
        <item x="1426"/>
        <item x="570"/>
        <item x="351"/>
        <item x="933"/>
        <item x="626"/>
        <item x="1076"/>
        <item x="867"/>
        <item x="1130"/>
        <item x="536"/>
        <item x="486"/>
        <item x="336"/>
        <item x="1271"/>
        <item x="980"/>
        <item x="229"/>
        <item x="471"/>
        <item x="1500"/>
        <item t="default"/>
      </items>
    </pivotField>
    <pivotField showAll="0"/>
    <pivotField showAll="0">
      <items count="6">
        <item x="0"/>
        <item x="3"/>
        <item x="1"/>
        <item x="2"/>
        <item x="4"/>
        <item t="default"/>
      </items>
    </pivotField>
    <pivotField showAll="0">
      <items count="4">
        <item x="0"/>
        <item x="1"/>
        <item x="2"/>
        <item t="default"/>
      </items>
    </pivotField>
    <pivotField showAll="0"/>
    <pivotField showAll="0"/>
    <pivotField showAll="0"/>
    <pivotField showAll="0">
      <items count="749">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x="747"/>
        <item t="default"/>
      </items>
    </pivotField>
    <pivotField showAll="0">
      <items count="55">
        <item x="31"/>
        <item x="5"/>
        <item x="11"/>
        <item x="34"/>
        <item x="43"/>
        <item x="29"/>
        <item x="22"/>
        <item x="0"/>
        <item x="3"/>
        <item x="7"/>
        <item x="23"/>
        <item x="26"/>
        <item x="41"/>
        <item x="24"/>
        <item x="8"/>
        <item x="32"/>
        <item x="42"/>
        <item x="40"/>
        <item x="2"/>
        <item x="13"/>
        <item x="18"/>
        <item x="14"/>
        <item x="16"/>
        <item x="33"/>
        <item x="4"/>
        <item x="28"/>
        <item x="49"/>
        <item x="9"/>
        <item x="10"/>
        <item x="27"/>
        <item x="36"/>
        <item x="17"/>
        <item x="45"/>
        <item x="48"/>
        <item x="44"/>
        <item x="25"/>
        <item x="30"/>
        <item x="46"/>
        <item x="39"/>
        <item x="35"/>
        <item x="51"/>
        <item x="6"/>
        <item x="19"/>
        <item x="50"/>
        <item x="47"/>
        <item x="38"/>
        <item x="20"/>
        <item x="15"/>
        <item x="21"/>
        <item x="12"/>
        <item x="1"/>
        <item x="37"/>
        <item x="52"/>
        <item h="1" x="53"/>
        <item t="default"/>
      </items>
    </pivotField>
    <pivotField showAll="0"/>
    <pivotField showAll="0"/>
  </pivotFields>
  <rowItems count="1">
    <i/>
  </rowItems>
  <colItems count="1">
    <i/>
  </colItems>
  <dataFields count="1">
    <dataField name="Total Revenue"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8D462D9-032E-477C-823C-91D7495536AA}" name="PivotTable8" cacheId="14"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5" rowHeaderCaption="Region">
  <location ref="A1:B7" firstHeaderRow="1" firstDataRow="1" firstDataCol="1"/>
  <pivotFields count="20">
    <pivotField showAll="0"/>
    <pivotField axis="axisRow" showAll="0">
      <items count="13">
        <item m="1" x="9"/>
        <item x="3"/>
        <item m="1" x="6"/>
        <item x="2"/>
        <item h="1" f="1" x="11"/>
        <item x="0"/>
        <item x="4"/>
        <item m="1" x="8"/>
        <item m="1" x="7"/>
        <item x="1"/>
        <item m="1" x="10"/>
        <item h="1" x="5"/>
        <item t="default"/>
      </items>
    </pivotField>
    <pivotField showAll="0"/>
    <pivotField showAll="0"/>
    <pivotField showAll="0"/>
    <pivotField showAll="0"/>
    <pivotField showAll="0"/>
    <pivotField showAll="0">
      <items count="6">
        <item x="0"/>
        <item x="3"/>
        <item x="1"/>
        <item x="2"/>
        <item x="4"/>
        <item t="default"/>
      </items>
    </pivotField>
    <pivotField showAll="0"/>
    <pivotField dataField="1" showAll="0"/>
    <pivotField showAll="0"/>
    <pivotField showAll="0">
      <items count="6">
        <item x="0"/>
        <item x="3"/>
        <item x="1"/>
        <item x="2"/>
        <item x="4"/>
        <item t="default"/>
      </items>
    </pivotField>
    <pivotField showAll="0"/>
    <pivotField showAll="0"/>
    <pivotField showAll="0"/>
    <pivotField showAll="0"/>
    <pivotField showAll="0">
      <items count="749">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x="747"/>
        <item t="default"/>
      </items>
    </pivotField>
    <pivotField showAll="0">
      <items count="55">
        <item x="31"/>
        <item x="5"/>
        <item x="11"/>
        <item x="34"/>
        <item x="43"/>
        <item x="29"/>
        <item x="22"/>
        <item x="0"/>
        <item x="3"/>
        <item x="7"/>
        <item x="23"/>
        <item x="26"/>
        <item x="41"/>
        <item x="24"/>
        <item x="8"/>
        <item x="32"/>
        <item x="42"/>
        <item x="40"/>
        <item x="2"/>
        <item x="13"/>
        <item x="18"/>
        <item x="14"/>
        <item x="16"/>
        <item x="33"/>
        <item x="4"/>
        <item x="28"/>
        <item x="49"/>
        <item x="9"/>
        <item x="10"/>
        <item x="27"/>
        <item x="36"/>
        <item x="17"/>
        <item x="45"/>
        <item x="48"/>
        <item x="44"/>
        <item x="25"/>
        <item x="30"/>
        <item x="46"/>
        <item x="39"/>
        <item x="35"/>
        <item x="51"/>
        <item x="6"/>
        <item x="19"/>
        <item x="50"/>
        <item x="47"/>
        <item x="38"/>
        <item x="20"/>
        <item x="15"/>
        <item x="21"/>
        <item x="12"/>
        <item x="1"/>
        <item x="37"/>
        <item x="52"/>
        <item h="1" x="53"/>
        <item t="default"/>
      </items>
    </pivotField>
    <pivotField showAll="0"/>
    <pivotField showAll="0"/>
  </pivotFields>
  <rowFields count="1">
    <field x="1"/>
  </rowFields>
  <rowItems count="6">
    <i>
      <x v="1"/>
    </i>
    <i>
      <x v="3"/>
    </i>
    <i>
      <x v="5"/>
    </i>
    <i>
      <x v="6"/>
    </i>
    <i>
      <x v="9"/>
    </i>
    <i t="grand">
      <x/>
    </i>
  </rowItems>
  <colItems count="1">
    <i/>
  </colItems>
  <dataFields count="1">
    <dataField name="Sum of TotalPrice" fld="9" baseField="0" baseItem="0" numFmtId="165"/>
  </dataFields>
  <formats count="2">
    <format dxfId="211">
      <pivotArea outline="0" collapsedLevelsAreSubtotals="1" fieldPosition="0"/>
    </format>
    <format dxfId="210">
      <pivotArea outline="0" fieldPosition="0">
        <references count="1">
          <reference field="4294967294" count="1">
            <x v="0"/>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B040C41-E4D8-40D4-A001-8297E1B30608}" name="PivotTable7"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Payment Method" colHeaderCaption="Promotion Type">
  <location ref="A14:B20" firstHeaderRow="1" firstDataRow="1" firstDataCol="1"/>
  <pivotFields count="20">
    <pivotField showAll="0"/>
    <pivotField showAll="0">
      <items count="13">
        <item h="1" m="1" x="9"/>
        <item h="1" x="3"/>
        <item h="1" m="1" x="6"/>
        <item h="1" x="2"/>
        <item f="1" x="11"/>
        <item h="1" x="0"/>
        <item h="1" x="4"/>
        <item h="1" m="1" x="8"/>
        <item h="1" m="1" x="7"/>
        <item h="1" x="1"/>
        <item h="1" m="1" x="10"/>
        <item h="1" x="5"/>
        <item t="default"/>
      </items>
    </pivotField>
    <pivotField showAll="0"/>
    <pivotField showAll="0"/>
    <pivotField showAll="0"/>
    <pivotField showAll="0"/>
    <pivotField showAll="0"/>
    <pivotField showAll="0">
      <items count="6">
        <item x="0"/>
        <item x="3"/>
        <item x="1"/>
        <item x="2"/>
        <item x="4"/>
        <item t="default"/>
      </items>
    </pivotField>
    <pivotField showAll="0"/>
    <pivotField dataField="1" showAll="0"/>
    <pivotField axis="axisRow" showAll="0">
      <items count="7">
        <item x="4"/>
        <item x="2"/>
        <item x="3"/>
        <item x="1"/>
        <item x="0"/>
        <item h="1" x="5"/>
        <item t="default"/>
      </items>
    </pivotField>
    <pivotField showAll="0">
      <items count="6">
        <item x="0"/>
        <item x="3"/>
        <item x="1"/>
        <item x="2"/>
        <item x="4"/>
        <item t="default"/>
      </items>
    </pivotField>
    <pivotField showAll="0"/>
    <pivotField showAll="0"/>
    <pivotField showAll="0"/>
    <pivotField showAll="0"/>
    <pivotField showAll="0">
      <items count="749">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x="747"/>
        <item t="default"/>
      </items>
    </pivotField>
    <pivotField showAll="0">
      <items count="55">
        <item x="31"/>
        <item x="5"/>
        <item x="11"/>
        <item x="34"/>
        <item x="43"/>
        <item x="29"/>
        <item x="22"/>
        <item x="0"/>
        <item x="3"/>
        <item x="7"/>
        <item x="23"/>
        <item x="26"/>
        <item x="41"/>
        <item x="24"/>
        <item x="8"/>
        <item x="32"/>
        <item x="42"/>
        <item x="40"/>
        <item x="2"/>
        <item x="13"/>
        <item x="18"/>
        <item x="14"/>
        <item x="16"/>
        <item x="33"/>
        <item x="4"/>
        <item x="28"/>
        <item x="49"/>
        <item x="9"/>
        <item x="10"/>
        <item x="27"/>
        <item x="36"/>
        <item x="17"/>
        <item x="45"/>
        <item x="48"/>
        <item x="44"/>
        <item x="25"/>
        <item x="30"/>
        <item x="46"/>
        <item x="39"/>
        <item x="35"/>
        <item x="51"/>
        <item x="6"/>
        <item x="19"/>
        <item x="50"/>
        <item x="47"/>
        <item x="38"/>
        <item x="20"/>
        <item x="15"/>
        <item x="21"/>
        <item x="12"/>
        <item x="1"/>
        <item x="37"/>
        <item x="52"/>
        <item h="1" x="53"/>
        <item t="default"/>
      </items>
    </pivotField>
    <pivotField showAll="0"/>
    <pivotField showAll="0"/>
  </pivotFields>
  <rowFields count="1">
    <field x="10"/>
  </rowFields>
  <rowItems count="6">
    <i>
      <x/>
    </i>
    <i>
      <x v="1"/>
    </i>
    <i>
      <x v="2"/>
    </i>
    <i>
      <x v="3"/>
    </i>
    <i>
      <x v="4"/>
    </i>
    <i t="grand">
      <x/>
    </i>
  </rowItems>
  <colItems count="1">
    <i/>
  </colItems>
  <dataFields count="1">
    <dataField name="Sum of TotalPrice" fld="9" baseField="0" baseItem="0" numFmtId="165"/>
  </dataFields>
  <formats count="2">
    <format dxfId="213">
      <pivotArea outline="0" collapsedLevelsAreSubtotals="1" fieldPosition="0"/>
    </format>
    <format dxfId="212">
      <pivotArea dataOnly="0" labelOnly="1" grandCol="1" outline="0" fieldPosition="0"/>
    </format>
  </formats>
  <chartFormats count="7">
    <chartFormat chart="7" format="52" series="1">
      <pivotArea type="data" outline="0" fieldPosition="0">
        <references count="1">
          <reference field="4294967294" count="1" selected="0">
            <x v="0"/>
          </reference>
        </references>
      </pivotArea>
    </chartFormat>
    <chartFormat chart="7" format="53">
      <pivotArea type="data" outline="0" fieldPosition="0">
        <references count="2">
          <reference field="4294967294" count="1" selected="0">
            <x v="0"/>
          </reference>
          <reference field="10" count="1" selected="0">
            <x v="3"/>
          </reference>
        </references>
      </pivotArea>
    </chartFormat>
    <chartFormat chart="7" format="54">
      <pivotArea type="data" outline="0" fieldPosition="0">
        <references count="2">
          <reference field="4294967294" count="1" selected="0">
            <x v="0"/>
          </reference>
          <reference field="10" count="1" selected="0">
            <x v="4"/>
          </reference>
        </references>
      </pivotArea>
    </chartFormat>
    <chartFormat chart="7" format="55">
      <pivotArea type="data" outline="0" fieldPosition="0">
        <references count="2">
          <reference field="4294967294" count="1" selected="0">
            <x v="0"/>
          </reference>
          <reference field="10" count="1" selected="0">
            <x v="0"/>
          </reference>
        </references>
      </pivotArea>
    </chartFormat>
    <chartFormat chart="7" format="56">
      <pivotArea type="data" outline="0" fieldPosition="0">
        <references count="2">
          <reference field="4294967294" count="1" selected="0">
            <x v="0"/>
          </reference>
          <reference field="10" count="1" selected="0">
            <x v="1"/>
          </reference>
        </references>
      </pivotArea>
    </chartFormat>
    <chartFormat chart="7" format="57">
      <pivotArea type="data" outline="0" fieldPosition="0">
        <references count="2">
          <reference field="4294967294" count="1" selected="0">
            <x v="0"/>
          </reference>
          <reference field="10" count="1" selected="0">
            <x v="2"/>
          </reference>
        </references>
      </pivotArea>
    </chartFormat>
    <chartFormat chart="7" format="58">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909CE9-661F-4CC9-9A03-22B0D386BBC2}" name="PivotTable3" cacheId="14"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2" rowHeaderCaption="Product">
  <location ref="A9:B12" firstHeaderRow="1" firstDataRow="1" firstDataCol="1"/>
  <pivotFields count="20">
    <pivotField showAll="0"/>
    <pivotField showAll="0">
      <items count="13">
        <item m="1" x="9"/>
        <item x="3"/>
        <item m="1" x="6"/>
        <item x="2"/>
        <item f="1" x="11"/>
        <item x="0"/>
        <item x="4"/>
        <item m="1" x="8"/>
        <item m="1" x="7"/>
        <item x="1"/>
        <item m="1" x="10"/>
        <item x="5"/>
        <item t="default"/>
      </items>
    </pivotField>
    <pivotField axis="axisRow" showAll="0" measureFilter="1" sortType="descending">
      <items count="9">
        <item x="3"/>
        <item x="2"/>
        <item x="0"/>
        <item x="4"/>
        <item x="1"/>
        <item x="6"/>
        <item x="5"/>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items count="6">
        <item x="0"/>
        <item x="3"/>
        <item x="1"/>
        <item x="2"/>
        <item x="4"/>
        <item t="default"/>
      </items>
    </pivotField>
    <pivotField showAll="0"/>
    <pivotField dataField="1" showAll="0"/>
    <pivotField showAll="0"/>
    <pivotField showAll="0">
      <items count="6">
        <item x="0"/>
        <item x="3"/>
        <item x="1"/>
        <item x="2"/>
        <item x="4"/>
        <item t="default"/>
      </items>
    </pivotField>
    <pivotField showAll="0"/>
    <pivotField showAll="0"/>
    <pivotField showAll="0"/>
    <pivotField showAll="0"/>
    <pivotField showAll="0">
      <items count="749">
        <item x="209"/>
        <item x="735"/>
        <item x="725"/>
        <item x="82"/>
        <item x="463"/>
        <item x="455"/>
        <item x="420"/>
        <item x="7"/>
        <item x="579"/>
        <item x="6"/>
        <item x="322"/>
        <item x="675"/>
        <item x="511"/>
        <item x="375"/>
        <item x="585"/>
        <item x="722"/>
        <item x="656"/>
        <item x="411"/>
        <item x="477"/>
        <item x="229"/>
        <item x="191"/>
        <item x="232"/>
        <item x="592"/>
        <item x="57"/>
        <item x="603"/>
        <item x="685"/>
        <item x="526"/>
        <item x="307"/>
        <item x="233"/>
        <item x="151"/>
        <item x="446"/>
        <item x="269"/>
        <item x="235"/>
        <item x="230"/>
        <item x="162"/>
        <item x="483"/>
        <item x="70"/>
        <item x="278"/>
        <item x="169"/>
        <item x="493"/>
        <item x="556"/>
        <item x="597"/>
        <item x="220"/>
        <item x="429"/>
        <item x="0"/>
        <item x="349"/>
        <item x="16"/>
        <item x="274"/>
        <item x="565"/>
        <item x="724"/>
        <item x="21"/>
        <item x="332"/>
        <item x="509"/>
        <item x="334"/>
        <item x="341"/>
        <item x="141"/>
        <item x="504"/>
        <item x="122"/>
        <item x="358"/>
        <item x="438"/>
        <item x="399"/>
        <item x="49"/>
        <item x="132"/>
        <item x="127"/>
        <item x="538"/>
        <item x="256"/>
        <item x="568"/>
        <item x="433"/>
        <item x="601"/>
        <item x="195"/>
        <item x="184"/>
        <item x="340"/>
        <item x="88"/>
        <item x="306"/>
        <item x="714"/>
        <item x="612"/>
        <item x="32"/>
        <item x="645"/>
        <item x="684"/>
        <item x="154"/>
        <item x="171"/>
        <item x="264"/>
        <item x="330"/>
        <item x="271"/>
        <item x="180"/>
        <item x="417"/>
        <item x="625"/>
        <item x="730"/>
        <item x="573"/>
        <item x="134"/>
        <item x="319"/>
        <item x="394"/>
        <item x="178"/>
        <item x="266"/>
        <item x="431"/>
        <item x="432"/>
        <item x="210"/>
        <item x="293"/>
        <item x="639"/>
        <item x="583"/>
        <item x="400"/>
        <item x="709"/>
        <item x="28"/>
        <item x="2"/>
        <item x="738"/>
        <item x="551"/>
        <item x="194"/>
        <item x="140"/>
        <item x="188"/>
        <item x="497"/>
        <item x="631"/>
        <item x="42"/>
        <item x="642"/>
        <item x="515"/>
        <item x="56"/>
        <item x="147"/>
        <item x="717"/>
        <item x="81"/>
        <item x="424"/>
        <item x="572"/>
        <item x="126"/>
        <item x="312"/>
        <item x="720"/>
        <item x="353"/>
        <item x="587"/>
        <item x="548"/>
        <item x="38"/>
        <item x="226"/>
        <item x="60"/>
        <item x="343"/>
        <item x="116"/>
        <item x="357"/>
        <item x="391"/>
        <item x="182"/>
        <item x="300"/>
        <item x="522"/>
        <item x="19"/>
        <item x="366"/>
        <item x="4"/>
        <item x="416"/>
        <item x="651"/>
        <item x="161"/>
        <item x="418"/>
        <item x="380"/>
        <item x="43"/>
        <item x="430"/>
        <item x="318"/>
        <item x="250"/>
        <item x="407"/>
        <item x="607"/>
        <item x="197"/>
        <item x="657"/>
        <item x="634"/>
        <item x="445"/>
        <item x="512"/>
        <item x="295"/>
        <item x="123"/>
        <item x="382"/>
        <item x="338"/>
        <item x="384"/>
        <item x="12"/>
        <item x="97"/>
        <item x="41"/>
        <item x="554"/>
        <item x="238"/>
        <item x="74"/>
        <item x="237"/>
        <item x="364"/>
        <item x="65"/>
        <item x="588"/>
        <item x="562"/>
        <item x="712"/>
        <item x="285"/>
        <item x="23"/>
        <item x="536"/>
        <item x="665"/>
        <item x="128"/>
        <item x="39"/>
        <item x="673"/>
        <item x="181"/>
        <item x="381"/>
        <item x="174"/>
        <item x="374"/>
        <item x="484"/>
        <item x="379"/>
        <item x="715"/>
        <item x="326"/>
        <item x="652"/>
        <item x="666"/>
        <item x="530"/>
        <item x="200"/>
        <item x="648"/>
        <item x="294"/>
        <item x="222"/>
        <item x="474"/>
        <item x="228"/>
        <item x="139"/>
        <item x="286"/>
        <item x="262"/>
        <item x="185"/>
        <item x="447"/>
        <item x="34"/>
        <item x="736"/>
        <item x="569"/>
        <item x="476"/>
        <item x="288"/>
        <item x="247"/>
        <item x="507"/>
        <item x="354"/>
        <item x="471"/>
        <item x="629"/>
        <item x="727"/>
        <item x="242"/>
        <item x="292"/>
        <item x="121"/>
        <item x="339"/>
        <item x="273"/>
        <item x="567"/>
        <item x="466"/>
        <item x="584"/>
        <item x="356"/>
        <item x="76"/>
        <item x="100"/>
        <item x="508"/>
        <item x="64"/>
        <item x="390"/>
        <item x="101"/>
        <item x="677"/>
        <item x="444"/>
        <item x="734"/>
        <item x="743"/>
        <item x="535"/>
        <item x="448"/>
        <item x="641"/>
        <item x="90"/>
        <item x="544"/>
        <item x="700"/>
        <item x="72"/>
        <item x="661"/>
        <item x="25"/>
        <item x="456"/>
        <item x="633"/>
        <item x="71"/>
        <item x="301"/>
        <item x="637"/>
        <item x="372"/>
        <item x="257"/>
        <item x="350"/>
        <item x="321"/>
        <item x="265"/>
        <item x="190"/>
        <item x="254"/>
        <item x="613"/>
        <item x="203"/>
        <item x="694"/>
        <item x="327"/>
        <item x="703"/>
        <item x="346"/>
        <item x="86"/>
        <item x="331"/>
        <item x="283"/>
        <item x="231"/>
        <item x="488"/>
        <item x="704"/>
        <item x="425"/>
        <item x="168"/>
        <item x="165"/>
        <item x="206"/>
        <item x="348"/>
        <item x="18"/>
        <item x="112"/>
        <item x="388"/>
        <item x="377"/>
        <item x="667"/>
        <item x="654"/>
        <item x="437"/>
        <item x="63"/>
        <item x="489"/>
        <item x="464"/>
        <item x="289"/>
        <item x="469"/>
        <item x="77"/>
        <item x="737"/>
        <item x="267"/>
        <item x="373"/>
        <item x="580"/>
        <item x="146"/>
        <item x="467"/>
        <item x="486"/>
        <item x="442"/>
        <item x="505"/>
        <item x="183"/>
        <item x="479"/>
        <item x="223"/>
        <item x="78"/>
        <item x="150"/>
        <item x="482"/>
        <item x="52"/>
        <item x="561"/>
        <item x="674"/>
        <item x="590"/>
        <item x="46"/>
        <item x="560"/>
        <item x="746"/>
        <item x="412"/>
        <item x="576"/>
        <item x="73"/>
        <item x="481"/>
        <item x="436"/>
        <item x="517"/>
        <item x="453"/>
        <item x="387"/>
        <item x="619"/>
        <item x="115"/>
        <item x="145"/>
        <item x="113"/>
        <item x="109"/>
        <item x="498"/>
        <item x="275"/>
        <item x="282"/>
        <item x="144"/>
        <item x="636"/>
        <item x="618"/>
        <item x="490"/>
        <item x="692"/>
        <item x="713"/>
        <item x="706"/>
        <item x="451"/>
        <item x="279"/>
        <item x="345"/>
        <item x="672"/>
        <item x="30"/>
        <item x="628"/>
        <item x="37"/>
        <item x="79"/>
        <item x="415"/>
        <item x="22"/>
        <item x="708"/>
        <item x="5"/>
        <item x="600"/>
        <item x="193"/>
        <item x="143"/>
        <item x="62"/>
        <item x="626"/>
        <item x="361"/>
        <item x="630"/>
        <item x="459"/>
        <item x="152"/>
        <item x="69"/>
        <item x="615"/>
        <item x="337"/>
        <item x="491"/>
        <item x="114"/>
        <item x="542"/>
        <item x="690"/>
        <item x="47"/>
        <item x="107"/>
        <item x="138"/>
        <item x="422"/>
        <item x="58"/>
        <item x="124"/>
        <item x="105"/>
        <item x="214"/>
        <item x="699"/>
        <item x="643"/>
        <item x="604"/>
        <item x="719"/>
        <item x="199"/>
        <item x="204"/>
        <item x="516"/>
        <item x="553"/>
        <item x="393"/>
        <item x="419"/>
        <item x="680"/>
        <item x="413"/>
        <item x="173"/>
        <item x="10"/>
        <item x="610"/>
        <item x="495"/>
        <item x="164"/>
        <item x="683"/>
        <item x="243"/>
        <item x="53"/>
        <item x="528"/>
        <item x="93"/>
        <item x="398"/>
        <item x="502"/>
        <item x="470"/>
        <item x="290"/>
        <item x="478"/>
        <item x="450"/>
        <item x="131"/>
        <item x="401"/>
        <item x="342"/>
        <item x="80"/>
        <item x="369"/>
        <item x="458"/>
        <item x="563"/>
        <item x="336"/>
        <item x="487"/>
        <item x="443"/>
        <item x="125"/>
        <item x="494"/>
        <item x="539"/>
        <item x="510"/>
        <item x="660"/>
        <item x="521"/>
        <item x="24"/>
        <item x="606"/>
        <item x="333"/>
        <item x="96"/>
        <item x="17"/>
        <item x="723"/>
        <item x="234"/>
        <item x="280"/>
        <item x="403"/>
        <item x="189"/>
        <item x="44"/>
        <item x="410"/>
        <item x="566"/>
        <item x="310"/>
        <item x="732"/>
        <item x="550"/>
        <item x="638"/>
        <item x="205"/>
        <item x="392"/>
        <item x="351"/>
        <item x="40"/>
        <item x="545"/>
        <item x="524"/>
        <item x="389"/>
        <item x="249"/>
        <item x="378"/>
        <item x="728"/>
        <item x="678"/>
        <item x="503"/>
        <item x="281"/>
        <item x="620"/>
        <item x="595"/>
        <item x="163"/>
        <item x="104"/>
        <item x="261"/>
        <item x="160"/>
        <item x="557"/>
        <item x="691"/>
        <item x="532"/>
        <item x="711"/>
        <item x="99"/>
        <item x="172"/>
        <item x="540"/>
        <item x="462"/>
        <item x="156"/>
        <item x="11"/>
        <item x="421"/>
        <item x="106"/>
        <item x="236"/>
        <item x="617"/>
        <item x="414"/>
        <item x="118"/>
        <item x="555"/>
        <item x="744"/>
        <item x="733"/>
        <item x="245"/>
        <item x="698"/>
        <item x="480"/>
        <item x="710"/>
        <item x="452"/>
        <item x="117"/>
        <item x="537"/>
        <item x="716"/>
        <item x="270"/>
        <item x="186"/>
        <item x="635"/>
        <item x="179"/>
        <item x="669"/>
        <item x="649"/>
        <item x="218"/>
        <item x="111"/>
        <item x="305"/>
        <item x="365"/>
        <item x="201"/>
        <item x="255"/>
        <item x="739"/>
        <item x="157"/>
        <item x="596"/>
        <item x="363"/>
        <item x="650"/>
        <item x="647"/>
        <item x="142"/>
        <item x="225"/>
        <item x="98"/>
        <item x="496"/>
        <item x="315"/>
        <item x="404"/>
        <item x="175"/>
        <item x="623"/>
        <item x="670"/>
        <item x="48"/>
        <item x="328"/>
        <item x="303"/>
        <item x="51"/>
        <item x="277"/>
        <item x="564"/>
        <item x="457"/>
        <item x="701"/>
        <item x="246"/>
        <item x="367"/>
        <item x="309"/>
        <item x="726"/>
        <item x="745"/>
        <item x="644"/>
        <item x="217"/>
        <item x="385"/>
        <item x="352"/>
        <item x="449"/>
        <item x="574"/>
        <item x="198"/>
        <item x="676"/>
        <item x="263"/>
        <item x="485"/>
        <item x="268"/>
        <item x="395"/>
        <item x="519"/>
        <item x="129"/>
        <item x="571"/>
        <item x="8"/>
        <item x="386"/>
        <item x="578"/>
        <item x="272"/>
        <item x="552"/>
        <item x="299"/>
        <item x="75"/>
        <item x="408"/>
        <item x="718"/>
        <item x="686"/>
        <item x="653"/>
        <item x="525"/>
        <item x="362"/>
        <item x="335"/>
        <item x="501"/>
        <item x="260"/>
        <item x="640"/>
        <item x="208"/>
        <item x="158"/>
        <item x="697"/>
        <item x="137"/>
        <item x="325"/>
        <item x="329"/>
        <item x="207"/>
        <item x="371"/>
        <item x="244"/>
        <item x="67"/>
        <item x="85"/>
        <item x="426"/>
        <item x="27"/>
        <item x="221"/>
        <item x="559"/>
        <item x="196"/>
        <item x="344"/>
        <item x="224"/>
        <item x="681"/>
        <item x="570"/>
        <item x="742"/>
        <item x="406"/>
        <item x="682"/>
        <item x="594"/>
        <item x="622"/>
        <item x="461"/>
        <item x="581"/>
        <item x="721"/>
        <item x="29"/>
        <item x="14"/>
        <item x="531"/>
        <item x="434"/>
        <item x="621"/>
        <item x="167"/>
        <item x="632"/>
        <item x="646"/>
        <item x="284"/>
        <item x="441"/>
        <item x="227"/>
        <item x="1"/>
        <item x="529"/>
        <item x="133"/>
        <item x="397"/>
        <item x="473"/>
        <item x="66"/>
        <item x="215"/>
        <item x="212"/>
        <item x="514"/>
        <item x="671"/>
        <item x="702"/>
        <item x="435"/>
        <item x="368"/>
        <item x="546"/>
        <item x="602"/>
        <item x="689"/>
        <item x="428"/>
        <item x="316"/>
        <item x="304"/>
        <item x="359"/>
        <item x="520"/>
        <item x="405"/>
        <item x="87"/>
        <item x="427"/>
        <item x="679"/>
        <item x="593"/>
        <item x="50"/>
        <item x="13"/>
        <item x="423"/>
        <item x="135"/>
        <item x="729"/>
        <item x="187"/>
        <item x="239"/>
        <item x="59"/>
        <item x="523"/>
        <item x="614"/>
        <item x="741"/>
        <item x="608"/>
        <item x="258"/>
        <item x="94"/>
        <item x="492"/>
        <item x="170"/>
        <item x="45"/>
        <item x="599"/>
        <item x="317"/>
        <item x="323"/>
        <item x="439"/>
        <item x="658"/>
        <item x="663"/>
        <item x="252"/>
        <item x="668"/>
        <item x="149"/>
        <item x="202"/>
        <item x="664"/>
        <item x="586"/>
        <item x="130"/>
        <item x="616"/>
        <item x="465"/>
        <item x="241"/>
        <item x="383"/>
        <item x="624"/>
        <item x="577"/>
        <item x="296"/>
        <item x="3"/>
        <item x="370"/>
        <item x="376"/>
        <item x="89"/>
        <item x="219"/>
        <item x="155"/>
        <item x="9"/>
        <item x="55"/>
        <item x="251"/>
        <item x="31"/>
        <item x="506"/>
        <item x="402"/>
        <item x="533"/>
        <item x="68"/>
        <item x="95"/>
        <item x="527"/>
        <item x="253"/>
        <item x="213"/>
        <item x="302"/>
        <item x="192"/>
        <item x="35"/>
        <item x="61"/>
        <item x="609"/>
        <item x="687"/>
        <item x="287"/>
        <item x="582"/>
        <item x="166"/>
        <item x="136"/>
        <item x="259"/>
        <item x="360"/>
        <item x="314"/>
        <item x="159"/>
        <item x="177"/>
        <item x="591"/>
        <item x="518"/>
        <item x="575"/>
        <item x="409"/>
        <item x="320"/>
        <item x="627"/>
        <item x="91"/>
        <item x="297"/>
        <item x="110"/>
        <item x="454"/>
        <item x="313"/>
        <item x="308"/>
        <item x="108"/>
        <item x="248"/>
        <item x="468"/>
        <item x="475"/>
        <item x="696"/>
        <item x="659"/>
        <item x="547"/>
        <item x="240"/>
        <item x="598"/>
        <item x="611"/>
        <item x="693"/>
        <item x="688"/>
        <item x="291"/>
        <item x="500"/>
        <item x="276"/>
        <item x="695"/>
        <item x="33"/>
        <item x="589"/>
        <item x="15"/>
        <item x="92"/>
        <item x="707"/>
        <item x="705"/>
        <item x="120"/>
        <item x="347"/>
        <item x="662"/>
        <item x="460"/>
        <item x="355"/>
        <item x="83"/>
        <item x="549"/>
        <item x="311"/>
        <item x="84"/>
        <item x="499"/>
        <item x="211"/>
        <item x="605"/>
        <item x="740"/>
        <item x="534"/>
        <item x="216"/>
        <item x="558"/>
        <item x="20"/>
        <item x="472"/>
        <item x="119"/>
        <item x="102"/>
        <item x="54"/>
        <item x="103"/>
        <item x="396"/>
        <item x="298"/>
        <item x="26"/>
        <item x="655"/>
        <item x="324"/>
        <item x="36"/>
        <item x="513"/>
        <item x="153"/>
        <item x="731"/>
        <item x="543"/>
        <item x="440"/>
        <item x="541"/>
        <item x="176"/>
        <item x="148"/>
        <item x="747"/>
        <item t="default"/>
      </items>
    </pivotField>
    <pivotField showAll="0">
      <items count="55">
        <item x="31"/>
        <item x="5"/>
        <item x="11"/>
        <item x="34"/>
        <item x="43"/>
        <item x="29"/>
        <item x="22"/>
        <item x="0"/>
        <item x="3"/>
        <item x="7"/>
        <item x="23"/>
        <item x="26"/>
        <item x="41"/>
        <item x="24"/>
        <item x="8"/>
        <item x="32"/>
        <item x="42"/>
        <item x="40"/>
        <item x="2"/>
        <item x="13"/>
        <item x="18"/>
        <item x="14"/>
        <item x="16"/>
        <item x="33"/>
        <item x="4"/>
        <item x="28"/>
        <item x="49"/>
        <item x="9"/>
        <item x="10"/>
        <item x="27"/>
        <item x="36"/>
        <item x="17"/>
        <item x="45"/>
        <item x="48"/>
        <item x="44"/>
        <item x="25"/>
        <item x="30"/>
        <item x="46"/>
        <item x="39"/>
        <item x="35"/>
        <item x="51"/>
        <item x="6"/>
        <item x="19"/>
        <item x="50"/>
        <item x="47"/>
        <item x="38"/>
        <item x="20"/>
        <item x="15"/>
        <item x="21"/>
        <item x="12"/>
        <item x="1"/>
        <item x="37"/>
        <item x="52"/>
        <item h="1" x="53"/>
        <item t="default"/>
      </items>
    </pivotField>
    <pivotField showAll="0"/>
    <pivotField showAll="0"/>
  </pivotFields>
  <rowFields count="1">
    <field x="2"/>
  </rowFields>
  <rowItems count="3">
    <i>
      <x v="6"/>
    </i>
    <i>
      <x v="2"/>
    </i>
    <i>
      <x v="5"/>
    </i>
  </rowItems>
  <colItems count="1">
    <i/>
  </colItems>
  <dataFields count="1">
    <dataField name="Total Revenue" fld="9" baseField="0" baseItem="0" numFmtId="166"/>
  </dataFields>
  <formats count="2">
    <format dxfId="215">
      <pivotArea outline="0" collapsedLevelsAreSubtotals="1" fieldPosition="0"/>
    </format>
    <format dxfId="214">
      <pivotArea outline="0" fieldPosition="0">
        <references count="1">
          <reference field="4294967294" count="1">
            <x v="0"/>
          </reference>
        </references>
      </pivotArea>
    </format>
  </formats>
  <pivotTableStyleInfo name="PivotStyleLight16" showRowHeaders="1" showColHeaders="1" showRowStripes="0" showColStripes="0" showLastColumn="1"/>
  <filters count="1">
    <filter fld="2" type="count" evalOrder="-1" id="35"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924252AE-A95A-4CC5-A976-78CA2581D77C}" sourceName="Discount">
  <pivotTables>
    <pivotTable tabId="4" name="PivotTable2"/>
    <pivotTable tabId="4" name="PivotTable7"/>
    <pivotTable tabId="4" name="PivotTable8"/>
    <pivotTable tabId="4" name="PivotTable9"/>
    <pivotTable tabId="4" name="PivotTable10"/>
    <pivotTable tabId="4" name="PivotTable11"/>
    <pivotTable tabId="4" name="PivotTable12"/>
    <pivotTable tabId="4" name="PivotTable3"/>
    <pivotTable tabId="4" name="PivotTable1"/>
  </pivotTables>
  <data>
    <tabular pivotCacheId="1241274244">
      <items count="5">
        <i x="0" s="1"/>
        <i x="3" s="1"/>
        <i x="1" s="1"/>
        <i x="2"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Num" xr10:uid="{FC8FB764-13FB-4883-9AE2-0397EF3B6D04}" sourceName="WeekNum">
  <pivotTables>
    <pivotTable tabId="4" name="PivotTable2"/>
    <pivotTable tabId="4" name="PivotTable10"/>
    <pivotTable tabId="4" name="PivotTable11"/>
    <pivotTable tabId="4" name="PivotTable12"/>
    <pivotTable tabId="4" name="PivotTable7"/>
    <pivotTable tabId="4" name="PivotTable8"/>
    <pivotTable tabId="4" name="PivotTable9"/>
    <pivotTable tabId="4" name="PivotTable3"/>
    <pivotTable tabId="4" name="PivotTable1"/>
  </pivotTables>
  <data>
    <tabular pivotCacheId="1241274244">
      <items count="54">
        <i x="31" s="1"/>
        <i x="5" s="1"/>
        <i x="11" s="1"/>
        <i x="34" s="1"/>
        <i x="43" s="1"/>
        <i x="29" s="1"/>
        <i x="22" s="1"/>
        <i x="0" s="1"/>
        <i x="3" s="1"/>
        <i x="7" s="1"/>
        <i x="23" s="1"/>
        <i x="26" s="1"/>
        <i x="41" s="1"/>
        <i x="24" s="1"/>
        <i x="8" s="1"/>
        <i x="32" s="1"/>
        <i x="42" s="1"/>
        <i x="40" s="1"/>
        <i x="2" s="1"/>
        <i x="13" s="1"/>
        <i x="18" s="1"/>
        <i x="14" s="1"/>
        <i x="16" s="1"/>
        <i x="33" s="1"/>
        <i x="4" s="1"/>
        <i x="28" s="1"/>
        <i x="49" s="1"/>
        <i x="9" s="1"/>
        <i x="10" s="1"/>
        <i x="27" s="1"/>
        <i x="36" s="1"/>
        <i x="17" s="1"/>
        <i x="45" s="1"/>
        <i x="48" s="1"/>
        <i x="44" s="1"/>
        <i x="25" s="1"/>
        <i x="30" s="1"/>
        <i x="46" s="1"/>
        <i x="39" s="1"/>
        <i x="35" s="1"/>
        <i x="51" s="1"/>
        <i x="6" s="1"/>
        <i x="19" s="1"/>
        <i x="50" s="1"/>
        <i x="47" s="1"/>
        <i x="38" s="1"/>
        <i x="20" s="1"/>
        <i x="15" s="1"/>
        <i x="21" s="1"/>
        <i x="12" s="1"/>
        <i x="1" s="1"/>
        <i x="37" s="1"/>
        <i x="52" s="1"/>
        <i x="5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tion" xr10:uid="{289E33C1-C5A0-45CA-85B0-AB3A2B6EF363}" sourceName="Promotion">
  <pivotTables>
    <pivotTable tabId="4" name="PivotTable11"/>
    <pivotTable tabId="4" name="PivotTable10"/>
    <pivotTable tabId="4" name="PivotTable12"/>
    <pivotTable tabId="4" name="PivotTable2"/>
    <pivotTable tabId="4" name="PivotTable3"/>
    <pivotTable tabId="4" name="PivotTable7"/>
    <pivotTable tabId="4" name="PivotTable8"/>
    <pivotTable tabId="4" name="PivotTable9"/>
    <pivotTable tabId="4" name="PivotTable1"/>
  </pivotTables>
  <data>
    <tabular pivotCacheId="1241274244">
      <items count="5">
        <i x="0" s="1"/>
        <i x="3" s="1"/>
        <i x="1" s="1"/>
        <i x="2" s="1"/>
        <i x="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shboard Controls" xr10:uid="{5E20F1FE-FB0C-46EF-8A8E-DCB869F7D94D}" cache="Slicer_Discount" caption="Filter by Discount Tier" columnCount="4" style="mine" rowHeight="241300"/>
  <slicer name="WeekNum" xr10:uid="{993239B6-0116-43E4-9848-BAEFA2912A36}" cache="Slicer_WeekNum" caption=" Week" style="mine" rowHeight="241300"/>
  <slicer name="Promotion" xr10:uid="{4B977553-23C4-445B-A1EA-C518B087A478}" cache="Slicer_Promotion" caption="Promotion" columnCount="4" style="min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000EA36-F29E-4042-9F22-F4DD96FE1CF2}" name="Table2" displayName="Table2" ref="A1:T1501" totalsRowShown="0" headerRowDxfId="225" headerRowBorderDxfId="224" tableBorderDxfId="223">
  <autoFilter ref="A1:T1501" xr:uid="{4000EA36-F29E-4042-9F22-F4DD96FE1CF2}"/>
  <tableColumns count="20">
    <tableColumn id="1" xr3:uid="{A8DAAAD8-2406-41B9-98E0-FCA8CC9EDCA6}" name="Date" dataDxfId="222"/>
    <tableColumn id="2" xr3:uid="{678503DF-DE4A-440F-8A47-F03BAB240931}" name="Region"/>
    <tableColumn id="3" xr3:uid="{D590B0D3-5922-4888-8BFC-C670630D678B}" name="Product"/>
    <tableColumn id="4" xr3:uid="{C153834E-8328-44FF-BF58-1400C3771EA4}" name="Quantity" dataDxfId="221"/>
    <tableColumn id="5" xr3:uid="{4D81B2E1-8B42-4A76-A1F1-8689A4B82EF7}" name="UnitPrice" dataDxfId="220"/>
    <tableColumn id="6" xr3:uid="{2642A534-57EB-4EAD-BCC6-C00B33415FB6}" name="StoreLocation"/>
    <tableColumn id="7" xr3:uid="{86E0AFD9-7BD8-4035-9662-658E0035C360}" name="CustomerType"/>
    <tableColumn id="8" xr3:uid="{8913C326-655B-4068-9C19-034AA6EF753D}" name="Discount" dataCellStyle="Percent"/>
    <tableColumn id="9" xr3:uid="{B621B16C-CE51-43D7-AF71-008EFE8592BD}" name="Salesperson"/>
    <tableColumn id="10" xr3:uid="{C0AE2433-C2EB-4F1C-8E92-A6E27FB36CBB}" name="TotalPrice" dataDxfId="201">
      <calculatedColumnFormula>Table2[[#This Row],[UnitPrice]]*Table2[[#This Row],[Quantity]]*(1-Table2[[#This Row],[Discount]])</calculatedColumnFormula>
    </tableColumn>
    <tableColumn id="11" xr3:uid="{C6B9BDF3-283E-48B1-AF80-8C493C8D9102}" name="PaymentMethod"/>
    <tableColumn id="12" xr3:uid="{F93AB6B5-8DD0-4128-A4BB-AC28F4EF2C81}" name="Promotion"/>
    <tableColumn id="13" xr3:uid="{2025B154-986E-40F2-8328-947B11EFF2A0}" name="Returned"/>
    <tableColumn id="14" xr3:uid="{DA585559-19E8-4B66-A51E-99E5815BCA90}" name="OrderID"/>
    <tableColumn id="15" xr3:uid="{EB989923-C51F-4248-B0CC-E8F48D620463}" name="CustomerName"/>
    <tableColumn id="16" xr3:uid="{22BA597E-474D-4AAC-A84B-4908D94F3601}" name="ShippingCost" dataDxfId="219"/>
    <tableColumn id="17" xr3:uid="{CFA54AD7-4403-4954-9199-09900E999F3D}" name="OrderDate" dataDxfId="218"/>
    <tableColumn id="21" xr3:uid="{CFC53A75-C2EE-4807-A3B3-0B6E3BA7337E}" name="WeekNum" dataDxfId="217">
      <calculatedColumnFormula>WEEKNUM(Table2[[#This Row],[OrderDate]])</calculatedColumnFormula>
    </tableColumn>
    <tableColumn id="18" xr3:uid="{76F3FD60-3C9D-4ADF-952D-0826B9C590C2}" name="DeliveryDate" dataDxfId="216"/>
    <tableColumn id="19" xr3:uid="{A2718DD3-7561-49EC-875E-D7498644294A}" name="RegionManager"/>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F868ADD-4671-42EA-AF06-DBFB3BCF9B01}" name="Table4" displayName="Table4" ref="A22:C27" totalsRowShown="0" headerRowDxfId="207" headerRowBorderDxfId="206">
  <autoFilter ref="A22:C27" xr:uid="{BF868ADD-4671-42EA-AF06-DBFB3BCF9B01}"/>
  <tableColumns count="3">
    <tableColumn id="3" xr3:uid="{6F41F0AC-8585-458A-9BEE-55D466DB4204}" name="Continent" dataDxfId="205"/>
    <tableColumn id="1" xr3:uid="{AF64C229-1777-476D-B16F-22D55E602C2A}" name="Country2" dataDxfId="204"/>
    <tableColumn id="2" xr3:uid="{F37DA074-1146-417A-8EE4-11BC11632834}" name="Revenue" dataDxfId="203"/>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EC41C981-0385-4E1A-8AC3-053327E919DE}" sourceName="OrderDate">
  <pivotTables>
    <pivotTable tabId="4" name="PivotTable2"/>
    <pivotTable tabId="4" name="PivotTable10"/>
    <pivotTable tabId="4" name="PivotTable11"/>
    <pivotTable tabId="4" name="PivotTable12"/>
    <pivotTable tabId="4" name="PivotTable7"/>
    <pivotTable tabId="4" name="PivotTable8"/>
    <pivotTable tabId="4" name="PivotTable9"/>
    <pivotTable tabId="4" name="PivotTable3"/>
    <pivotTable tabId="4" name="PivotTable1"/>
  </pivotTables>
  <state minimalRefreshVersion="6" lastRefreshVersion="6" pivotCacheId="1241274244"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68D7F66D-C63E-4667-A25D-7D3ACEFCA2A6}" cache="NativeTimeline_OrderDate" caption="Timeframe Selector" level="2" selectionLevel="2" scrollPosition="2024-12-14T00:00:00" style="TimeSlicer"/>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501"/>
  <sheetViews>
    <sheetView workbookViewId="0">
      <pane ySplit="1" topLeftCell="A2" activePane="bottomLeft" state="frozen"/>
      <selection pane="bottomLeft" activeCell="F14" sqref="F14"/>
    </sheetView>
  </sheetViews>
  <sheetFormatPr defaultRowHeight="14.5" x14ac:dyDescent="0.35"/>
  <cols>
    <col min="1" max="1" width="10.08984375" bestFit="1" customWidth="1"/>
    <col min="2" max="2" width="9.7265625" customWidth="1"/>
    <col min="3" max="3" width="9.453125" customWidth="1"/>
    <col min="4" max="4" width="10.1796875" style="9" customWidth="1"/>
    <col min="5" max="5" width="13" style="7" bestFit="1" customWidth="1"/>
    <col min="6" max="6" width="14.36328125" customWidth="1"/>
    <col min="7" max="7" width="15" customWidth="1"/>
    <col min="8" max="8" width="10.1796875" style="12" customWidth="1"/>
    <col min="9" max="9" width="12.81640625" customWidth="1"/>
    <col min="10" max="10" width="11.1796875" style="7" customWidth="1"/>
    <col min="11" max="11" width="17" customWidth="1"/>
    <col min="12" max="12" width="11.81640625" customWidth="1"/>
    <col min="13" max="13" width="10.6328125" customWidth="1"/>
    <col min="14" max="14" width="12.08984375" bestFit="1" customWidth="1"/>
    <col min="15" max="15" width="15.90625" customWidth="1"/>
    <col min="16" max="16" width="13.6328125" customWidth="1"/>
    <col min="17" max="17" width="14.26953125" bestFit="1" customWidth="1"/>
    <col min="18" max="18" width="14.26953125" customWidth="1"/>
    <col min="19" max="19" width="13.54296875" customWidth="1"/>
    <col min="20" max="20" width="15.90625" customWidth="1"/>
  </cols>
  <sheetData>
    <row r="1" spans="1:20" s="5" customFormat="1" x14ac:dyDescent="0.35">
      <c r="A1" s="4" t="s">
        <v>0</v>
      </c>
      <c r="B1" s="4" t="s">
        <v>1</v>
      </c>
      <c r="C1" s="4" t="s">
        <v>2</v>
      </c>
      <c r="D1" s="8" t="s">
        <v>3</v>
      </c>
      <c r="E1" s="10" t="s">
        <v>4</v>
      </c>
      <c r="F1" s="4" t="s">
        <v>5</v>
      </c>
      <c r="G1" s="4" t="s">
        <v>6</v>
      </c>
      <c r="H1" s="13" t="s">
        <v>7</v>
      </c>
      <c r="I1" s="4" t="s">
        <v>8</v>
      </c>
      <c r="J1" s="10" t="s">
        <v>9</v>
      </c>
      <c r="K1" s="4" t="s">
        <v>10</v>
      </c>
      <c r="L1" s="4" t="s">
        <v>11</v>
      </c>
      <c r="M1" s="4" t="s">
        <v>12</v>
      </c>
      <c r="N1" s="4" t="s">
        <v>13</v>
      </c>
      <c r="O1" s="4" t="s">
        <v>14</v>
      </c>
      <c r="P1" s="4" t="s">
        <v>15</v>
      </c>
      <c r="Q1" s="4" t="s">
        <v>16</v>
      </c>
      <c r="R1" s="4" t="s">
        <v>2924</v>
      </c>
      <c r="S1" s="4" t="s">
        <v>17</v>
      </c>
      <c r="T1" s="4" t="s">
        <v>18</v>
      </c>
    </row>
    <row r="2" spans="1:20" x14ac:dyDescent="0.35">
      <c r="A2" s="1">
        <v>44980</v>
      </c>
      <c r="B2" t="s">
        <v>2930</v>
      </c>
      <c r="C2" t="s">
        <v>19</v>
      </c>
      <c r="D2" s="9">
        <v>14</v>
      </c>
      <c r="E2" s="7">
        <v>163.6</v>
      </c>
      <c r="F2" t="s">
        <v>26</v>
      </c>
      <c r="G2" t="s">
        <v>30</v>
      </c>
      <c r="H2" s="12">
        <v>0</v>
      </c>
      <c r="I2" t="s">
        <v>32</v>
      </c>
      <c r="J2" s="7">
        <f>Table2[[#This Row],[UnitPrice]]*Table2[[#This Row],[Quantity]]*(1-Table2[[#This Row],[Discount]])</f>
        <v>2290.4</v>
      </c>
      <c r="K2" t="s">
        <v>38</v>
      </c>
      <c r="L2" t="s">
        <v>43</v>
      </c>
      <c r="M2">
        <v>0</v>
      </c>
      <c r="N2" t="s">
        <v>46</v>
      </c>
      <c r="O2" t="s">
        <v>1546</v>
      </c>
      <c r="P2" s="7">
        <v>43.34</v>
      </c>
      <c r="Q2" s="1">
        <v>44980</v>
      </c>
      <c r="R2">
        <f>WEEKNUM(Table2[[#This Row],[OrderDate]])</f>
        <v>8</v>
      </c>
      <c r="S2" s="1">
        <v>44984</v>
      </c>
      <c r="T2" t="s">
        <v>2917</v>
      </c>
    </row>
    <row r="3" spans="1:20" x14ac:dyDescent="0.35">
      <c r="A3" s="1">
        <v>45645</v>
      </c>
      <c r="B3" t="s">
        <v>2932</v>
      </c>
      <c r="C3" t="s">
        <v>20</v>
      </c>
      <c r="D3" s="9">
        <v>1</v>
      </c>
      <c r="E3" s="7">
        <v>544.01</v>
      </c>
      <c r="F3" t="s">
        <v>27</v>
      </c>
      <c r="G3" t="s">
        <v>31</v>
      </c>
      <c r="H3" s="12">
        <v>0</v>
      </c>
      <c r="I3" t="s">
        <v>33</v>
      </c>
      <c r="J3" s="7">
        <f>Table2[[#This Row],[UnitPrice]]*Table2[[#This Row],[Quantity]]*(1-Table2[[#This Row],[Discount]])</f>
        <v>544.01</v>
      </c>
      <c r="K3" t="s">
        <v>39</v>
      </c>
      <c r="L3" t="s">
        <v>44</v>
      </c>
      <c r="M3">
        <v>0</v>
      </c>
      <c r="N3" t="s">
        <v>47</v>
      </c>
      <c r="O3" t="s">
        <v>1547</v>
      </c>
      <c r="P3" s="7">
        <v>5.3</v>
      </c>
      <c r="Q3" s="1">
        <v>45645</v>
      </c>
      <c r="R3">
        <f>WEEKNUM(Table2[[#This Row],[OrderDate]])</f>
        <v>51</v>
      </c>
      <c r="S3" s="1">
        <v>45654</v>
      </c>
      <c r="T3" t="s">
        <v>2918</v>
      </c>
    </row>
    <row r="4" spans="1:20" x14ac:dyDescent="0.35">
      <c r="A4" s="1">
        <v>45056</v>
      </c>
      <c r="B4" t="s">
        <v>2931</v>
      </c>
      <c r="C4" t="s">
        <v>21</v>
      </c>
      <c r="D4" s="9">
        <v>14</v>
      </c>
      <c r="E4" s="7">
        <v>346.18</v>
      </c>
      <c r="F4" t="s">
        <v>26</v>
      </c>
      <c r="G4" t="s">
        <v>30</v>
      </c>
      <c r="H4" s="12">
        <v>0.1</v>
      </c>
      <c r="I4" t="s">
        <v>33</v>
      </c>
      <c r="J4" s="7">
        <f>Table2[[#This Row],[UnitPrice]]*Table2[[#This Row],[Quantity]]*(1-Table2[[#This Row],[Discount]])</f>
        <v>4361.8680000000004</v>
      </c>
      <c r="K4" t="s">
        <v>38</v>
      </c>
      <c r="L4" t="s">
        <v>45</v>
      </c>
      <c r="M4">
        <v>0</v>
      </c>
      <c r="N4" t="s">
        <v>48</v>
      </c>
      <c r="O4" t="s">
        <v>1548</v>
      </c>
      <c r="P4" s="7">
        <v>20.46</v>
      </c>
      <c r="Q4" s="1">
        <v>45056</v>
      </c>
      <c r="R4">
        <f>WEEKNUM(Table2[[#This Row],[OrderDate]])</f>
        <v>19</v>
      </c>
      <c r="S4" s="1">
        <v>45065</v>
      </c>
      <c r="T4" t="s">
        <v>2919</v>
      </c>
    </row>
    <row r="5" spans="1:20" x14ac:dyDescent="0.35">
      <c r="A5" s="1">
        <v>45714</v>
      </c>
      <c r="B5" t="s">
        <v>2934</v>
      </c>
      <c r="C5" t="s">
        <v>22</v>
      </c>
      <c r="D5" s="9">
        <v>18</v>
      </c>
      <c r="E5" s="7">
        <v>384.82</v>
      </c>
      <c r="F5" t="s">
        <v>27</v>
      </c>
      <c r="G5" t="s">
        <v>30</v>
      </c>
      <c r="H5" s="12">
        <v>0.15</v>
      </c>
      <c r="I5" t="s">
        <v>34</v>
      </c>
      <c r="J5" s="7">
        <f>Table2[[#This Row],[UnitPrice]]*Table2[[#This Row],[Quantity]]*(1-Table2[[#This Row],[Discount]])</f>
        <v>5887.7460000000001</v>
      </c>
      <c r="K5" t="s">
        <v>39</v>
      </c>
      <c r="L5" t="s">
        <v>43</v>
      </c>
      <c r="M5">
        <v>0</v>
      </c>
      <c r="N5" t="s">
        <v>49</v>
      </c>
      <c r="O5" t="s">
        <v>1549</v>
      </c>
      <c r="P5" s="7">
        <v>27.95</v>
      </c>
      <c r="Q5" s="1">
        <v>45714</v>
      </c>
      <c r="R5">
        <f>WEEKNUM(Table2[[#This Row],[OrderDate]])</f>
        <v>9</v>
      </c>
      <c r="S5" s="1">
        <v>45718</v>
      </c>
      <c r="T5" t="s">
        <v>2920</v>
      </c>
    </row>
    <row r="6" spans="1:20" x14ac:dyDescent="0.35">
      <c r="A6" s="1">
        <v>45101</v>
      </c>
      <c r="B6" t="s">
        <v>2930</v>
      </c>
      <c r="C6" t="s">
        <v>21</v>
      </c>
      <c r="D6" s="9">
        <v>18</v>
      </c>
      <c r="E6" s="7">
        <v>237.76</v>
      </c>
      <c r="F6" t="s">
        <v>28</v>
      </c>
      <c r="G6" t="s">
        <v>31</v>
      </c>
      <c r="H6" s="12">
        <v>0</v>
      </c>
      <c r="I6" t="s">
        <v>35</v>
      </c>
      <c r="J6" s="7">
        <f>Table2[[#This Row],[UnitPrice]]*Table2[[#This Row],[Quantity]]*(1-Table2[[#This Row],[Discount]])</f>
        <v>4279.68</v>
      </c>
      <c r="K6" t="s">
        <v>38</v>
      </c>
      <c r="L6" t="s">
        <v>44</v>
      </c>
      <c r="M6">
        <v>0</v>
      </c>
      <c r="N6" t="s">
        <v>50</v>
      </c>
      <c r="O6" t="s">
        <v>1550</v>
      </c>
      <c r="P6" s="7">
        <v>5.73</v>
      </c>
      <c r="Q6" s="1">
        <v>45101</v>
      </c>
      <c r="R6">
        <f>WEEKNUM(Table2[[#This Row],[OrderDate]])</f>
        <v>25</v>
      </c>
      <c r="S6" s="1">
        <v>45104</v>
      </c>
      <c r="T6" t="s">
        <v>2917</v>
      </c>
    </row>
    <row r="7" spans="1:20" x14ac:dyDescent="0.35">
      <c r="A7" s="1">
        <v>45342</v>
      </c>
      <c r="B7" t="s">
        <v>2934</v>
      </c>
      <c r="C7" t="s">
        <v>23</v>
      </c>
      <c r="D7" s="9">
        <v>2</v>
      </c>
      <c r="E7" s="7">
        <v>385.09</v>
      </c>
      <c r="F7" t="s">
        <v>29</v>
      </c>
      <c r="G7" t="s">
        <v>30</v>
      </c>
      <c r="H7" s="12">
        <v>0.15</v>
      </c>
      <c r="I7" t="s">
        <v>36</v>
      </c>
      <c r="J7" s="7">
        <f>Table2[[#This Row],[UnitPrice]]*Table2[[#This Row],[Quantity]]*(1-Table2[[#This Row],[Discount]])</f>
        <v>654.65299999999991</v>
      </c>
      <c r="K7" t="s">
        <v>40</v>
      </c>
      <c r="L7" t="s">
        <v>2937</v>
      </c>
      <c r="M7">
        <v>0</v>
      </c>
      <c r="N7" t="s">
        <v>51</v>
      </c>
      <c r="O7" t="s">
        <v>1551</v>
      </c>
      <c r="P7" s="7">
        <v>11.92</v>
      </c>
      <c r="Q7" s="1">
        <v>45342</v>
      </c>
      <c r="R7">
        <f>WEEKNUM(Table2[[#This Row],[OrderDate]])</f>
        <v>8</v>
      </c>
      <c r="S7" s="1">
        <v>45352</v>
      </c>
      <c r="T7" t="s">
        <v>2920</v>
      </c>
    </row>
    <row r="8" spans="1:20" x14ac:dyDescent="0.35">
      <c r="A8" s="1">
        <v>44937</v>
      </c>
      <c r="B8" t="s">
        <v>2932</v>
      </c>
      <c r="C8" t="s">
        <v>22</v>
      </c>
      <c r="D8" s="9">
        <v>7</v>
      </c>
      <c r="E8" s="7">
        <v>17.5</v>
      </c>
      <c r="F8" t="s">
        <v>28</v>
      </c>
      <c r="G8" t="s">
        <v>31</v>
      </c>
      <c r="H8" s="12">
        <v>0.1</v>
      </c>
      <c r="I8" t="s">
        <v>33</v>
      </c>
      <c r="J8" s="7">
        <f>Table2[[#This Row],[UnitPrice]]*Table2[[#This Row],[Quantity]]*(1-Table2[[#This Row],[Discount]])</f>
        <v>110.25</v>
      </c>
      <c r="K8" t="s">
        <v>41</v>
      </c>
      <c r="L8" t="s">
        <v>45</v>
      </c>
      <c r="M8">
        <v>0</v>
      </c>
      <c r="N8" t="s">
        <v>52</v>
      </c>
      <c r="O8" t="s">
        <v>1552</v>
      </c>
      <c r="P8" s="7">
        <v>5.0199999999999996</v>
      </c>
      <c r="Q8" s="1">
        <v>44937</v>
      </c>
      <c r="R8">
        <f>WEEKNUM(Table2[[#This Row],[OrderDate]])</f>
        <v>2</v>
      </c>
      <c r="S8" s="1">
        <v>44940</v>
      </c>
      <c r="T8" t="s">
        <v>2918</v>
      </c>
    </row>
    <row r="9" spans="1:20" x14ac:dyDescent="0.35">
      <c r="A9" s="1">
        <v>44935</v>
      </c>
      <c r="B9" t="s">
        <v>2934</v>
      </c>
      <c r="C9" t="s">
        <v>22</v>
      </c>
      <c r="D9" s="9">
        <v>3</v>
      </c>
      <c r="E9" s="7">
        <v>330.22</v>
      </c>
      <c r="F9" t="s">
        <v>28</v>
      </c>
      <c r="G9" t="s">
        <v>30</v>
      </c>
      <c r="H9" s="12">
        <v>0.15</v>
      </c>
      <c r="I9" t="s">
        <v>35</v>
      </c>
      <c r="J9" s="7">
        <f>Table2[[#This Row],[UnitPrice]]*Table2[[#This Row],[Quantity]]*(1-Table2[[#This Row],[Discount]])</f>
        <v>842.06100000000004</v>
      </c>
      <c r="K9" t="s">
        <v>42</v>
      </c>
      <c r="L9" t="s">
        <v>2937</v>
      </c>
      <c r="M9">
        <v>0</v>
      </c>
      <c r="N9" t="s">
        <v>53</v>
      </c>
      <c r="O9" t="s">
        <v>1553</v>
      </c>
      <c r="P9" s="7">
        <v>48.01</v>
      </c>
      <c r="Q9" s="1">
        <v>44935</v>
      </c>
      <c r="R9">
        <f>WEEKNUM(Table2[[#This Row],[OrderDate]])</f>
        <v>2</v>
      </c>
      <c r="S9" s="1">
        <v>44937</v>
      </c>
      <c r="T9" t="s">
        <v>2920</v>
      </c>
    </row>
    <row r="10" spans="1:20" x14ac:dyDescent="0.35">
      <c r="A10" s="1">
        <v>45581</v>
      </c>
      <c r="B10" t="s">
        <v>2932</v>
      </c>
      <c r="C10" t="s">
        <v>22</v>
      </c>
      <c r="D10" s="9">
        <v>3</v>
      </c>
      <c r="E10" s="7">
        <v>432.04</v>
      </c>
      <c r="F10" t="s">
        <v>29</v>
      </c>
      <c r="G10" t="s">
        <v>30</v>
      </c>
      <c r="H10" s="12">
        <v>0.05</v>
      </c>
      <c r="I10" t="s">
        <v>37</v>
      </c>
      <c r="J10" s="7">
        <f>Table2[[#This Row],[UnitPrice]]*Table2[[#This Row],[Quantity]]*(1-Table2[[#This Row],[Discount]])</f>
        <v>1231.3140000000001</v>
      </c>
      <c r="K10" t="s">
        <v>41</v>
      </c>
      <c r="L10" t="s">
        <v>43</v>
      </c>
      <c r="M10">
        <v>1</v>
      </c>
      <c r="N10" t="s">
        <v>54</v>
      </c>
      <c r="O10" t="s">
        <v>1554</v>
      </c>
      <c r="P10" s="7">
        <v>42.11</v>
      </c>
      <c r="Q10" s="1">
        <v>45581</v>
      </c>
      <c r="R10">
        <f>WEEKNUM(Table2[[#This Row],[OrderDate]])</f>
        <v>42</v>
      </c>
      <c r="S10" s="1">
        <v>45583</v>
      </c>
      <c r="T10" t="s">
        <v>2918</v>
      </c>
    </row>
    <row r="11" spans="1:20" x14ac:dyDescent="0.35">
      <c r="A11" s="1">
        <v>45721</v>
      </c>
      <c r="B11" t="s">
        <v>2933</v>
      </c>
      <c r="C11" t="s">
        <v>21</v>
      </c>
      <c r="D11" s="9">
        <v>5</v>
      </c>
      <c r="E11" s="7">
        <v>323.27999999999997</v>
      </c>
      <c r="F11" t="s">
        <v>29</v>
      </c>
      <c r="G11" t="s">
        <v>31</v>
      </c>
      <c r="H11" s="12">
        <v>0.1</v>
      </c>
      <c r="I11" t="s">
        <v>34</v>
      </c>
      <c r="J11" s="7">
        <f>Table2[[#This Row],[UnitPrice]]*Table2[[#This Row],[Quantity]]*(1-Table2[[#This Row],[Discount]])</f>
        <v>1454.76</v>
      </c>
      <c r="K11" t="s">
        <v>39</v>
      </c>
      <c r="L11" t="s">
        <v>44</v>
      </c>
      <c r="M11">
        <v>0</v>
      </c>
      <c r="N11" t="s">
        <v>55</v>
      </c>
      <c r="O11" t="s">
        <v>1555</v>
      </c>
      <c r="P11" s="7">
        <v>41.1</v>
      </c>
      <c r="Q11" s="1">
        <v>45721</v>
      </c>
      <c r="R11">
        <f>WEEKNUM(Table2[[#This Row],[OrderDate]])</f>
        <v>10</v>
      </c>
      <c r="S11" s="1">
        <v>45729</v>
      </c>
      <c r="T11" t="s">
        <v>2921</v>
      </c>
    </row>
    <row r="12" spans="1:20" x14ac:dyDescent="0.35">
      <c r="A12" s="1">
        <v>45392</v>
      </c>
      <c r="B12" t="s">
        <v>2931</v>
      </c>
      <c r="C12" t="s">
        <v>21</v>
      </c>
      <c r="D12" s="9">
        <v>15</v>
      </c>
      <c r="E12" s="7">
        <v>523.29</v>
      </c>
      <c r="F12" t="s">
        <v>26</v>
      </c>
      <c r="G12" t="s">
        <v>30</v>
      </c>
      <c r="H12" s="12">
        <v>0.15</v>
      </c>
      <c r="I12" t="s">
        <v>32</v>
      </c>
      <c r="J12" s="7">
        <f>Table2[[#This Row],[UnitPrice]]*Table2[[#This Row],[Quantity]]*(1-Table2[[#This Row],[Discount]])</f>
        <v>6671.9474999999993</v>
      </c>
      <c r="K12" t="s">
        <v>41</v>
      </c>
      <c r="L12" t="s">
        <v>2937</v>
      </c>
      <c r="M12">
        <v>0</v>
      </c>
      <c r="N12" t="s">
        <v>56</v>
      </c>
      <c r="O12" t="s">
        <v>1556</v>
      </c>
      <c r="P12" s="7">
        <v>12.14</v>
      </c>
      <c r="Q12" s="1">
        <v>45392</v>
      </c>
      <c r="R12">
        <f>WEEKNUM(Table2[[#This Row],[OrderDate]])</f>
        <v>15</v>
      </c>
      <c r="S12" s="1">
        <v>45399</v>
      </c>
      <c r="T12" t="s">
        <v>2919</v>
      </c>
    </row>
    <row r="13" spans="1:20" x14ac:dyDescent="0.35">
      <c r="A13" s="1">
        <v>45485</v>
      </c>
      <c r="B13" t="s">
        <v>2930</v>
      </c>
      <c r="C13" t="s">
        <v>20</v>
      </c>
      <c r="D13" s="9">
        <v>19</v>
      </c>
      <c r="E13" s="7">
        <v>207.35</v>
      </c>
      <c r="F13" t="s">
        <v>29</v>
      </c>
      <c r="G13" t="s">
        <v>31</v>
      </c>
      <c r="H13" s="12">
        <v>0.1</v>
      </c>
      <c r="I13" t="s">
        <v>32</v>
      </c>
      <c r="J13" s="7">
        <f>Table2[[#This Row],[UnitPrice]]*Table2[[#This Row],[Quantity]]*(1-Table2[[#This Row],[Discount]])</f>
        <v>3545.6849999999999</v>
      </c>
      <c r="K13" t="s">
        <v>39</v>
      </c>
      <c r="L13" t="s">
        <v>2937</v>
      </c>
      <c r="M13">
        <v>1</v>
      </c>
      <c r="N13" t="s">
        <v>57</v>
      </c>
      <c r="O13" t="s">
        <v>1557</v>
      </c>
      <c r="P13" s="7">
        <v>44.89</v>
      </c>
      <c r="Q13" s="1">
        <v>45485</v>
      </c>
      <c r="R13">
        <f>WEEKNUM(Table2[[#This Row],[OrderDate]])</f>
        <v>28</v>
      </c>
      <c r="S13" s="1">
        <v>45491</v>
      </c>
      <c r="T13" t="s">
        <v>2917</v>
      </c>
    </row>
    <row r="14" spans="1:20" x14ac:dyDescent="0.35">
      <c r="A14" s="1">
        <v>45128</v>
      </c>
      <c r="B14" t="s">
        <v>2934</v>
      </c>
      <c r="C14" t="s">
        <v>20</v>
      </c>
      <c r="D14" s="9">
        <v>1</v>
      </c>
      <c r="E14" s="7">
        <v>120.53</v>
      </c>
      <c r="F14" t="s">
        <v>26</v>
      </c>
      <c r="G14" t="s">
        <v>31</v>
      </c>
      <c r="H14" s="12">
        <v>0.05</v>
      </c>
      <c r="I14" t="s">
        <v>36</v>
      </c>
      <c r="J14" s="7">
        <f>Table2[[#This Row],[UnitPrice]]*Table2[[#This Row],[Quantity]]*(1-Table2[[#This Row],[Discount]])</f>
        <v>114.5035</v>
      </c>
      <c r="K14" t="s">
        <v>42</v>
      </c>
      <c r="L14" t="s">
        <v>45</v>
      </c>
      <c r="M14">
        <v>0</v>
      </c>
      <c r="N14" t="s">
        <v>58</v>
      </c>
      <c r="O14" t="s">
        <v>1558</v>
      </c>
      <c r="P14" s="7">
        <v>20.350000000000001</v>
      </c>
      <c r="Q14" s="1">
        <v>45128</v>
      </c>
      <c r="R14">
        <f>WEEKNUM(Table2[[#This Row],[OrderDate]])</f>
        <v>29</v>
      </c>
      <c r="S14" s="1">
        <v>45138</v>
      </c>
      <c r="T14" t="s">
        <v>2920</v>
      </c>
    </row>
    <row r="15" spans="1:20" x14ac:dyDescent="0.35">
      <c r="A15" s="1">
        <v>45675</v>
      </c>
      <c r="B15" t="s">
        <v>2933</v>
      </c>
      <c r="C15" t="s">
        <v>24</v>
      </c>
      <c r="D15" s="9">
        <v>1</v>
      </c>
      <c r="E15" s="7">
        <v>157.83000000000001</v>
      </c>
      <c r="F15" t="s">
        <v>27</v>
      </c>
      <c r="G15" t="s">
        <v>30</v>
      </c>
      <c r="H15" s="12">
        <v>0.15</v>
      </c>
      <c r="I15" t="s">
        <v>35</v>
      </c>
      <c r="J15" s="7">
        <f>Table2[[#This Row],[UnitPrice]]*Table2[[#This Row],[Quantity]]*(1-Table2[[#This Row],[Discount]])</f>
        <v>134.15550000000002</v>
      </c>
      <c r="K15" t="s">
        <v>41</v>
      </c>
      <c r="L15" t="s">
        <v>2937</v>
      </c>
      <c r="M15">
        <v>0</v>
      </c>
      <c r="N15" t="s">
        <v>59</v>
      </c>
      <c r="O15" t="s">
        <v>1559</v>
      </c>
      <c r="P15" s="7">
        <v>42.82</v>
      </c>
      <c r="Q15" s="1">
        <v>45675</v>
      </c>
      <c r="R15">
        <f>WEEKNUM(Table2[[#This Row],[OrderDate]])</f>
        <v>3</v>
      </c>
      <c r="S15" s="1">
        <v>45679</v>
      </c>
      <c r="T15" t="s">
        <v>2921</v>
      </c>
    </row>
    <row r="16" spans="1:20" x14ac:dyDescent="0.35">
      <c r="A16" s="1">
        <v>45634</v>
      </c>
      <c r="B16" t="s">
        <v>2931</v>
      </c>
      <c r="C16" t="s">
        <v>21</v>
      </c>
      <c r="D16" s="9">
        <v>15</v>
      </c>
      <c r="E16" s="7">
        <v>220.3</v>
      </c>
      <c r="F16" t="s">
        <v>26</v>
      </c>
      <c r="G16" t="s">
        <v>31</v>
      </c>
      <c r="H16" s="12">
        <v>0.15</v>
      </c>
      <c r="I16" t="s">
        <v>36</v>
      </c>
      <c r="J16" s="7">
        <f>Table2[[#This Row],[UnitPrice]]*Table2[[#This Row],[Quantity]]*(1-Table2[[#This Row],[Discount]])</f>
        <v>2808.8249999999998</v>
      </c>
      <c r="K16" t="s">
        <v>41</v>
      </c>
      <c r="L16" t="s">
        <v>2937</v>
      </c>
      <c r="M16">
        <v>0</v>
      </c>
      <c r="N16" t="s">
        <v>60</v>
      </c>
      <c r="O16" t="s">
        <v>1560</v>
      </c>
      <c r="P16" s="7">
        <v>39.659999999999997</v>
      </c>
      <c r="Q16" s="1">
        <v>45634</v>
      </c>
      <c r="R16">
        <f>WEEKNUM(Table2[[#This Row],[OrderDate]])</f>
        <v>50</v>
      </c>
      <c r="S16" s="1">
        <v>45641</v>
      </c>
      <c r="T16" t="s">
        <v>2919</v>
      </c>
    </row>
    <row r="17" spans="1:20" x14ac:dyDescent="0.35">
      <c r="A17" s="1">
        <v>45788</v>
      </c>
      <c r="B17" t="s">
        <v>2933</v>
      </c>
      <c r="C17" t="s">
        <v>22</v>
      </c>
      <c r="D17" s="9">
        <v>17</v>
      </c>
      <c r="E17" s="7">
        <v>162.96</v>
      </c>
      <c r="F17" t="s">
        <v>27</v>
      </c>
      <c r="G17" t="s">
        <v>30</v>
      </c>
      <c r="H17" s="12">
        <v>0.05</v>
      </c>
      <c r="I17" t="s">
        <v>32</v>
      </c>
      <c r="J17" s="7">
        <f>Table2[[#This Row],[UnitPrice]]*Table2[[#This Row],[Quantity]]*(1-Table2[[#This Row],[Discount]])</f>
        <v>2631.8040000000001</v>
      </c>
      <c r="K17" t="s">
        <v>39</v>
      </c>
      <c r="L17" t="s">
        <v>43</v>
      </c>
      <c r="M17">
        <v>0</v>
      </c>
      <c r="N17" t="s">
        <v>61</v>
      </c>
      <c r="O17" t="s">
        <v>1561</v>
      </c>
      <c r="P17" s="7">
        <v>8.11</v>
      </c>
      <c r="Q17" s="1">
        <v>45788</v>
      </c>
      <c r="R17">
        <f>WEEKNUM(Table2[[#This Row],[OrderDate]])</f>
        <v>20</v>
      </c>
      <c r="S17" s="1">
        <v>45794</v>
      </c>
      <c r="T17" t="s">
        <v>2921</v>
      </c>
    </row>
    <row r="18" spans="1:20" x14ac:dyDescent="0.35">
      <c r="A18" s="1">
        <v>44983</v>
      </c>
      <c r="B18" t="s">
        <v>2933</v>
      </c>
      <c r="C18" t="s">
        <v>19</v>
      </c>
      <c r="D18" s="9">
        <v>19</v>
      </c>
      <c r="E18" s="7">
        <v>236.11</v>
      </c>
      <c r="F18" t="s">
        <v>29</v>
      </c>
      <c r="G18" t="s">
        <v>30</v>
      </c>
      <c r="H18" s="12">
        <v>0</v>
      </c>
      <c r="I18" t="s">
        <v>37</v>
      </c>
      <c r="J18" s="7">
        <f>Table2[[#This Row],[UnitPrice]]*Table2[[#This Row],[Quantity]]*(1-Table2[[#This Row],[Discount]])</f>
        <v>4486.09</v>
      </c>
      <c r="K18" t="s">
        <v>38</v>
      </c>
      <c r="L18" t="s">
        <v>45</v>
      </c>
      <c r="M18">
        <v>0</v>
      </c>
      <c r="N18" t="s">
        <v>62</v>
      </c>
      <c r="O18" t="s">
        <v>1562</v>
      </c>
      <c r="P18" s="7">
        <v>34.11</v>
      </c>
      <c r="Q18" s="1">
        <v>44983</v>
      </c>
      <c r="R18">
        <f>WEEKNUM(Table2[[#This Row],[OrderDate]])</f>
        <v>9</v>
      </c>
      <c r="S18" s="1">
        <v>44989</v>
      </c>
      <c r="T18" t="s">
        <v>2921</v>
      </c>
    </row>
    <row r="19" spans="1:20" x14ac:dyDescent="0.35">
      <c r="A19" s="1">
        <v>45440</v>
      </c>
      <c r="B19" t="s">
        <v>2934</v>
      </c>
      <c r="C19" t="s">
        <v>21</v>
      </c>
      <c r="D19" s="9">
        <v>11</v>
      </c>
      <c r="E19" s="7">
        <v>573.14</v>
      </c>
      <c r="F19" t="s">
        <v>29</v>
      </c>
      <c r="G19" t="s">
        <v>31</v>
      </c>
      <c r="H19" s="12">
        <v>0.05</v>
      </c>
      <c r="I19" t="s">
        <v>36</v>
      </c>
      <c r="J19" s="7">
        <f>Table2[[#This Row],[UnitPrice]]*Table2[[#This Row],[Quantity]]*(1-Table2[[#This Row],[Discount]])</f>
        <v>5989.3130000000001</v>
      </c>
      <c r="K19" t="s">
        <v>42</v>
      </c>
      <c r="L19" t="s">
        <v>44</v>
      </c>
      <c r="M19">
        <v>0</v>
      </c>
      <c r="N19" t="s">
        <v>63</v>
      </c>
      <c r="O19" t="s">
        <v>1563</v>
      </c>
      <c r="P19" s="7">
        <v>34.71</v>
      </c>
      <c r="Q19" s="1">
        <v>45440</v>
      </c>
      <c r="R19">
        <f>WEEKNUM(Table2[[#This Row],[OrderDate]])</f>
        <v>22</v>
      </c>
      <c r="S19" s="1">
        <v>45444</v>
      </c>
      <c r="T19" t="s">
        <v>2920</v>
      </c>
    </row>
    <row r="20" spans="1:20" x14ac:dyDescent="0.35">
      <c r="A20" s="1">
        <v>45260</v>
      </c>
      <c r="B20" t="s">
        <v>2930</v>
      </c>
      <c r="C20" t="s">
        <v>20</v>
      </c>
      <c r="D20" s="9">
        <v>20</v>
      </c>
      <c r="E20" s="7">
        <v>519.04</v>
      </c>
      <c r="F20" t="s">
        <v>26</v>
      </c>
      <c r="G20" t="s">
        <v>31</v>
      </c>
      <c r="H20" s="12">
        <v>0.15</v>
      </c>
      <c r="I20" t="s">
        <v>35</v>
      </c>
      <c r="J20" s="7">
        <f>Table2[[#This Row],[UnitPrice]]*Table2[[#This Row],[Quantity]]*(1-Table2[[#This Row],[Discount]])</f>
        <v>8823.6799999999985</v>
      </c>
      <c r="K20" t="s">
        <v>39</v>
      </c>
      <c r="L20" t="s">
        <v>43</v>
      </c>
      <c r="M20">
        <v>0</v>
      </c>
      <c r="N20" t="s">
        <v>64</v>
      </c>
      <c r="O20" t="s">
        <v>1564</v>
      </c>
      <c r="P20" s="7">
        <v>19.43</v>
      </c>
      <c r="Q20" s="1">
        <v>45260</v>
      </c>
      <c r="R20">
        <f>WEEKNUM(Table2[[#This Row],[OrderDate]])</f>
        <v>48</v>
      </c>
      <c r="S20" s="1">
        <v>45268</v>
      </c>
      <c r="T20" t="s">
        <v>2917</v>
      </c>
    </row>
    <row r="21" spans="1:20" x14ac:dyDescent="0.35">
      <c r="A21" s="1">
        <v>45099</v>
      </c>
      <c r="B21" t="s">
        <v>2933</v>
      </c>
      <c r="C21" t="s">
        <v>21</v>
      </c>
      <c r="D21" s="9">
        <v>14</v>
      </c>
      <c r="E21" s="7">
        <v>30.83</v>
      </c>
      <c r="F21" t="s">
        <v>26</v>
      </c>
      <c r="G21" t="s">
        <v>31</v>
      </c>
      <c r="H21" s="12">
        <v>0</v>
      </c>
      <c r="I21" t="s">
        <v>35</v>
      </c>
      <c r="J21" s="7">
        <f>Table2[[#This Row],[UnitPrice]]*Table2[[#This Row],[Quantity]]*(1-Table2[[#This Row],[Discount]])</f>
        <v>431.62</v>
      </c>
      <c r="K21" t="s">
        <v>38</v>
      </c>
      <c r="L21" t="s">
        <v>45</v>
      </c>
      <c r="M21">
        <v>1</v>
      </c>
      <c r="N21" t="s">
        <v>65</v>
      </c>
      <c r="O21" t="s">
        <v>1565</v>
      </c>
      <c r="P21" s="7">
        <v>7.1</v>
      </c>
      <c r="Q21" s="1">
        <v>45099</v>
      </c>
      <c r="R21">
        <f>WEEKNUM(Table2[[#This Row],[OrderDate]])</f>
        <v>25</v>
      </c>
      <c r="S21" s="1">
        <v>45109</v>
      </c>
      <c r="T21" t="s">
        <v>2921</v>
      </c>
    </row>
    <row r="22" spans="1:20" x14ac:dyDescent="0.35">
      <c r="A22" s="1">
        <v>45813</v>
      </c>
      <c r="B22" t="s">
        <v>2933</v>
      </c>
      <c r="C22" t="s">
        <v>20</v>
      </c>
      <c r="D22" s="9">
        <v>10</v>
      </c>
      <c r="E22" s="7">
        <v>319.05</v>
      </c>
      <c r="F22" t="s">
        <v>29</v>
      </c>
      <c r="G22" t="s">
        <v>30</v>
      </c>
      <c r="H22" s="12">
        <v>0</v>
      </c>
      <c r="I22" t="s">
        <v>36</v>
      </c>
      <c r="J22" s="7">
        <f>Table2[[#This Row],[UnitPrice]]*Table2[[#This Row],[Quantity]]*(1-Table2[[#This Row],[Discount]])</f>
        <v>3190.5</v>
      </c>
      <c r="K22" t="s">
        <v>38</v>
      </c>
      <c r="L22" t="s">
        <v>2937</v>
      </c>
      <c r="M22">
        <v>0</v>
      </c>
      <c r="N22" t="s">
        <v>66</v>
      </c>
      <c r="O22" t="s">
        <v>1566</v>
      </c>
      <c r="P22" s="7">
        <v>28.43</v>
      </c>
      <c r="Q22" s="1">
        <v>45813</v>
      </c>
      <c r="R22">
        <f>WEEKNUM(Table2[[#This Row],[OrderDate]])</f>
        <v>23</v>
      </c>
      <c r="S22" s="1">
        <v>45816</v>
      </c>
      <c r="T22" t="s">
        <v>2921</v>
      </c>
    </row>
    <row r="23" spans="1:20" x14ac:dyDescent="0.35">
      <c r="A23" s="1">
        <v>44988</v>
      </c>
      <c r="B23" t="s">
        <v>2934</v>
      </c>
      <c r="C23" t="s">
        <v>22</v>
      </c>
      <c r="D23" s="9">
        <v>14</v>
      </c>
      <c r="E23" s="7">
        <v>312.79000000000002</v>
      </c>
      <c r="F23" t="s">
        <v>27</v>
      </c>
      <c r="G23" t="s">
        <v>31</v>
      </c>
      <c r="H23" s="12">
        <v>0.05</v>
      </c>
      <c r="I23" t="s">
        <v>37</v>
      </c>
      <c r="J23" s="7">
        <f>Table2[[#This Row],[UnitPrice]]*Table2[[#This Row],[Quantity]]*(1-Table2[[#This Row],[Discount]])</f>
        <v>4160.107</v>
      </c>
      <c r="K23" t="s">
        <v>38</v>
      </c>
      <c r="L23" t="s">
        <v>2937</v>
      </c>
      <c r="M23">
        <v>1</v>
      </c>
      <c r="N23" t="s">
        <v>67</v>
      </c>
      <c r="O23" t="s">
        <v>1567</v>
      </c>
      <c r="P23" s="7">
        <v>46.83</v>
      </c>
      <c r="Q23" s="1">
        <v>44988</v>
      </c>
      <c r="R23">
        <f>WEEKNUM(Table2[[#This Row],[OrderDate]])</f>
        <v>9</v>
      </c>
      <c r="S23" s="1">
        <v>44993</v>
      </c>
      <c r="T23" t="s">
        <v>2920</v>
      </c>
    </row>
    <row r="24" spans="1:20" x14ac:dyDescent="0.35">
      <c r="A24" s="1">
        <v>45340</v>
      </c>
      <c r="B24" t="s">
        <v>2931</v>
      </c>
      <c r="C24" t="s">
        <v>19</v>
      </c>
      <c r="D24" s="9">
        <v>14</v>
      </c>
      <c r="E24" s="7">
        <v>395.45</v>
      </c>
      <c r="F24" t="s">
        <v>28</v>
      </c>
      <c r="G24" t="s">
        <v>31</v>
      </c>
      <c r="H24" s="12">
        <v>0</v>
      </c>
      <c r="I24" t="s">
        <v>35</v>
      </c>
      <c r="J24" s="7">
        <f>Table2[[#This Row],[UnitPrice]]*Table2[[#This Row],[Quantity]]*(1-Table2[[#This Row],[Discount]])</f>
        <v>5536.3</v>
      </c>
      <c r="K24" t="s">
        <v>42</v>
      </c>
      <c r="L24" t="s">
        <v>43</v>
      </c>
      <c r="M24">
        <v>1</v>
      </c>
      <c r="N24" t="s">
        <v>68</v>
      </c>
      <c r="O24" t="s">
        <v>1568</v>
      </c>
      <c r="P24" s="7">
        <v>36.450000000000003</v>
      </c>
      <c r="Q24" s="1">
        <v>45340</v>
      </c>
      <c r="R24">
        <f>WEEKNUM(Table2[[#This Row],[OrderDate]])</f>
        <v>8</v>
      </c>
      <c r="S24" s="1">
        <v>45344</v>
      </c>
      <c r="T24" t="s">
        <v>2919</v>
      </c>
    </row>
    <row r="25" spans="1:20" x14ac:dyDescent="0.35">
      <c r="A25" s="1">
        <v>45144</v>
      </c>
      <c r="B25" t="s">
        <v>2934</v>
      </c>
      <c r="C25" t="s">
        <v>19</v>
      </c>
      <c r="D25" s="9">
        <v>12</v>
      </c>
      <c r="E25" s="7">
        <v>472.72</v>
      </c>
      <c r="F25" t="s">
        <v>29</v>
      </c>
      <c r="G25" t="s">
        <v>31</v>
      </c>
      <c r="H25" s="12">
        <v>0.15</v>
      </c>
      <c r="I25" t="s">
        <v>36</v>
      </c>
      <c r="J25" s="7">
        <f>Table2[[#This Row],[UnitPrice]]*Table2[[#This Row],[Quantity]]*(1-Table2[[#This Row],[Discount]])</f>
        <v>4821.7440000000006</v>
      </c>
      <c r="K25" t="s">
        <v>40</v>
      </c>
      <c r="L25" t="s">
        <v>2937</v>
      </c>
      <c r="M25">
        <v>0</v>
      </c>
      <c r="N25" t="s">
        <v>69</v>
      </c>
      <c r="O25" t="s">
        <v>1569</v>
      </c>
      <c r="P25" s="7">
        <v>27.97</v>
      </c>
      <c r="Q25" s="1">
        <v>45144</v>
      </c>
      <c r="R25">
        <f>WEEKNUM(Table2[[#This Row],[OrderDate]])</f>
        <v>32</v>
      </c>
      <c r="S25" s="1">
        <v>45152</v>
      </c>
      <c r="T25" t="s">
        <v>2920</v>
      </c>
    </row>
    <row r="26" spans="1:20" x14ac:dyDescent="0.35">
      <c r="A26" s="1">
        <v>45435</v>
      </c>
      <c r="B26" t="s">
        <v>2931</v>
      </c>
      <c r="C26" t="s">
        <v>21</v>
      </c>
      <c r="D26" s="9">
        <v>5</v>
      </c>
      <c r="E26" s="7">
        <v>288.01</v>
      </c>
      <c r="F26" t="s">
        <v>27</v>
      </c>
      <c r="G26" t="s">
        <v>30</v>
      </c>
      <c r="H26" s="12">
        <v>0</v>
      </c>
      <c r="I26" t="s">
        <v>32</v>
      </c>
      <c r="J26" s="7">
        <f>Table2[[#This Row],[UnitPrice]]*Table2[[#This Row],[Quantity]]*(1-Table2[[#This Row],[Discount]])</f>
        <v>1440.05</v>
      </c>
      <c r="K26" t="s">
        <v>40</v>
      </c>
      <c r="L26" t="s">
        <v>43</v>
      </c>
      <c r="M26">
        <v>0</v>
      </c>
      <c r="N26" t="s">
        <v>70</v>
      </c>
      <c r="O26" t="s">
        <v>1570</v>
      </c>
      <c r="P26" s="7">
        <v>46.69</v>
      </c>
      <c r="Q26" s="1">
        <v>45435</v>
      </c>
      <c r="R26">
        <f>WEEKNUM(Table2[[#This Row],[OrderDate]])</f>
        <v>21</v>
      </c>
      <c r="S26" s="1">
        <v>45442</v>
      </c>
      <c r="T26" t="s">
        <v>2919</v>
      </c>
    </row>
    <row r="27" spans="1:20" x14ac:dyDescent="0.35">
      <c r="A27" s="1">
        <v>45222</v>
      </c>
      <c r="B27" t="s">
        <v>2930</v>
      </c>
      <c r="C27" t="s">
        <v>20</v>
      </c>
      <c r="D27" s="9">
        <v>13</v>
      </c>
      <c r="E27" s="7">
        <v>562.29</v>
      </c>
      <c r="F27" t="s">
        <v>29</v>
      </c>
      <c r="G27" t="s">
        <v>31</v>
      </c>
      <c r="H27" s="12">
        <v>0</v>
      </c>
      <c r="I27" t="s">
        <v>36</v>
      </c>
      <c r="J27" s="7">
        <f>Table2[[#This Row],[UnitPrice]]*Table2[[#This Row],[Quantity]]*(1-Table2[[#This Row],[Discount]])</f>
        <v>7309.7699999999995</v>
      </c>
      <c r="K27" t="s">
        <v>39</v>
      </c>
      <c r="L27" t="s">
        <v>44</v>
      </c>
      <c r="M27">
        <v>0</v>
      </c>
      <c r="N27" t="s">
        <v>71</v>
      </c>
      <c r="O27" t="s">
        <v>1571</v>
      </c>
      <c r="P27" s="7">
        <v>38.130000000000003</v>
      </c>
      <c r="Q27" s="1">
        <v>45222</v>
      </c>
      <c r="R27">
        <f>WEEKNUM(Table2[[#This Row],[OrderDate]])</f>
        <v>43</v>
      </c>
      <c r="S27" s="1">
        <v>45227</v>
      </c>
      <c r="T27" t="s">
        <v>2917</v>
      </c>
    </row>
    <row r="28" spans="1:20" x14ac:dyDescent="0.35">
      <c r="A28" s="1">
        <v>45824</v>
      </c>
      <c r="B28" t="s">
        <v>2933</v>
      </c>
      <c r="C28" t="s">
        <v>20</v>
      </c>
      <c r="D28" s="9">
        <v>1</v>
      </c>
      <c r="E28" s="7">
        <v>101.73</v>
      </c>
      <c r="F28" t="s">
        <v>29</v>
      </c>
      <c r="G28" t="s">
        <v>31</v>
      </c>
      <c r="H28" s="12">
        <v>0</v>
      </c>
      <c r="I28" t="s">
        <v>34</v>
      </c>
      <c r="J28" s="7">
        <f>Table2[[#This Row],[UnitPrice]]*Table2[[#This Row],[Quantity]]*(1-Table2[[#This Row],[Discount]])</f>
        <v>101.73</v>
      </c>
      <c r="K28" t="s">
        <v>41</v>
      </c>
      <c r="L28" t="s">
        <v>45</v>
      </c>
      <c r="M28">
        <v>0</v>
      </c>
      <c r="N28" t="s">
        <v>72</v>
      </c>
      <c r="O28" t="s">
        <v>1572</v>
      </c>
      <c r="P28" s="7">
        <v>11.59</v>
      </c>
      <c r="Q28" s="1">
        <v>45824</v>
      </c>
      <c r="R28">
        <f>WEEKNUM(Table2[[#This Row],[OrderDate]])</f>
        <v>25</v>
      </c>
      <c r="S28" s="1">
        <v>45833</v>
      </c>
      <c r="T28" t="s">
        <v>2921</v>
      </c>
    </row>
    <row r="29" spans="1:20" x14ac:dyDescent="0.35">
      <c r="A29" s="1">
        <v>44988</v>
      </c>
      <c r="B29" t="s">
        <v>2931</v>
      </c>
      <c r="C29" t="s">
        <v>20</v>
      </c>
      <c r="D29" s="9">
        <v>4</v>
      </c>
      <c r="E29" s="7">
        <v>279.49</v>
      </c>
      <c r="F29" t="s">
        <v>26</v>
      </c>
      <c r="G29" t="s">
        <v>31</v>
      </c>
      <c r="H29" s="12">
        <v>0</v>
      </c>
      <c r="I29" t="s">
        <v>36</v>
      </c>
      <c r="J29" s="7">
        <f>Table2[[#This Row],[UnitPrice]]*Table2[[#This Row],[Quantity]]*(1-Table2[[#This Row],[Discount]])</f>
        <v>1117.96</v>
      </c>
      <c r="K29" t="s">
        <v>40</v>
      </c>
      <c r="L29" t="s">
        <v>43</v>
      </c>
      <c r="M29">
        <v>0</v>
      </c>
      <c r="N29" t="s">
        <v>73</v>
      </c>
      <c r="O29" t="s">
        <v>1573</v>
      </c>
      <c r="P29" s="7">
        <v>24.78</v>
      </c>
      <c r="Q29" s="1">
        <v>44988</v>
      </c>
      <c r="R29">
        <f>WEEKNUM(Table2[[#This Row],[OrderDate]])</f>
        <v>9</v>
      </c>
      <c r="S29" s="1">
        <v>44993</v>
      </c>
      <c r="T29" t="s">
        <v>2919</v>
      </c>
    </row>
    <row r="30" spans="1:20" x14ac:dyDescent="0.35">
      <c r="A30" s="1">
        <v>45614</v>
      </c>
      <c r="B30" t="s">
        <v>2932</v>
      </c>
      <c r="C30" t="s">
        <v>19</v>
      </c>
      <c r="D30" s="9">
        <v>1</v>
      </c>
      <c r="E30" s="7">
        <v>178.55</v>
      </c>
      <c r="F30" t="s">
        <v>27</v>
      </c>
      <c r="G30" t="s">
        <v>31</v>
      </c>
      <c r="H30" s="12">
        <v>0.15</v>
      </c>
      <c r="I30" t="s">
        <v>35</v>
      </c>
      <c r="J30" s="7">
        <f>Table2[[#This Row],[UnitPrice]]*Table2[[#This Row],[Quantity]]*(1-Table2[[#This Row],[Discount]])</f>
        <v>151.76750000000001</v>
      </c>
      <c r="K30" t="s">
        <v>41</v>
      </c>
      <c r="L30" t="s">
        <v>44</v>
      </c>
      <c r="M30">
        <v>1</v>
      </c>
      <c r="N30" t="s">
        <v>74</v>
      </c>
      <c r="O30" t="s">
        <v>1574</v>
      </c>
      <c r="P30" s="7">
        <v>7.61</v>
      </c>
      <c r="Q30" s="1">
        <v>45614</v>
      </c>
      <c r="R30">
        <f>WEEKNUM(Table2[[#This Row],[OrderDate]])</f>
        <v>47</v>
      </c>
      <c r="S30" s="1">
        <v>45617</v>
      </c>
      <c r="T30" t="s">
        <v>2918</v>
      </c>
    </row>
    <row r="31" spans="1:20" x14ac:dyDescent="0.35">
      <c r="A31" s="1">
        <v>45055</v>
      </c>
      <c r="B31" t="s">
        <v>2934</v>
      </c>
      <c r="C31" t="s">
        <v>24</v>
      </c>
      <c r="D31" s="9">
        <v>1</v>
      </c>
      <c r="E31" s="7">
        <v>472.07</v>
      </c>
      <c r="F31" t="s">
        <v>27</v>
      </c>
      <c r="G31" t="s">
        <v>30</v>
      </c>
      <c r="H31" s="12">
        <v>0.1</v>
      </c>
      <c r="I31" t="s">
        <v>35</v>
      </c>
      <c r="J31" s="7">
        <f>Table2[[#This Row],[UnitPrice]]*Table2[[#This Row],[Quantity]]*(1-Table2[[#This Row],[Discount]])</f>
        <v>424.863</v>
      </c>
      <c r="K31" t="s">
        <v>38</v>
      </c>
      <c r="L31" t="s">
        <v>43</v>
      </c>
      <c r="M31">
        <v>0</v>
      </c>
      <c r="N31" t="s">
        <v>75</v>
      </c>
      <c r="O31" t="s">
        <v>1575</v>
      </c>
      <c r="P31" s="7">
        <v>33.17</v>
      </c>
      <c r="Q31" s="1">
        <v>45055</v>
      </c>
      <c r="R31">
        <f>WEEKNUM(Table2[[#This Row],[OrderDate]])</f>
        <v>19</v>
      </c>
      <c r="S31" s="1">
        <v>45063</v>
      </c>
      <c r="T31" t="s">
        <v>2920</v>
      </c>
    </row>
    <row r="32" spans="1:20" x14ac:dyDescent="0.35">
      <c r="A32" s="1">
        <v>45633</v>
      </c>
      <c r="B32" t="s">
        <v>2931</v>
      </c>
      <c r="C32" t="s">
        <v>24</v>
      </c>
      <c r="D32" s="9">
        <v>12</v>
      </c>
      <c r="E32" s="7">
        <v>306.29000000000002</v>
      </c>
      <c r="F32" t="s">
        <v>29</v>
      </c>
      <c r="G32" t="s">
        <v>31</v>
      </c>
      <c r="H32" s="12">
        <v>0</v>
      </c>
      <c r="I32" t="s">
        <v>34</v>
      </c>
      <c r="J32" s="7">
        <f>Table2[[#This Row],[UnitPrice]]*Table2[[#This Row],[Quantity]]*(1-Table2[[#This Row],[Discount]])</f>
        <v>3675.4800000000005</v>
      </c>
      <c r="K32" t="s">
        <v>41</v>
      </c>
      <c r="L32" t="s">
        <v>44</v>
      </c>
      <c r="M32">
        <v>0</v>
      </c>
      <c r="N32" t="s">
        <v>76</v>
      </c>
      <c r="O32" t="s">
        <v>1576</v>
      </c>
      <c r="P32" s="7">
        <v>37.380000000000003</v>
      </c>
      <c r="Q32" s="1">
        <v>45633</v>
      </c>
      <c r="R32">
        <f>WEEKNUM(Table2[[#This Row],[OrderDate]])</f>
        <v>49</v>
      </c>
      <c r="S32" s="1">
        <v>45640</v>
      </c>
      <c r="T32" t="s">
        <v>2919</v>
      </c>
    </row>
    <row r="33" spans="1:20" x14ac:dyDescent="0.35">
      <c r="A33" s="1">
        <v>45335</v>
      </c>
      <c r="B33" t="s">
        <v>2931</v>
      </c>
      <c r="C33" t="s">
        <v>20</v>
      </c>
      <c r="D33" s="9">
        <v>7</v>
      </c>
      <c r="E33" s="7">
        <v>434.77</v>
      </c>
      <c r="F33" t="s">
        <v>28</v>
      </c>
      <c r="G33" t="s">
        <v>31</v>
      </c>
      <c r="H33" s="12">
        <v>0.15</v>
      </c>
      <c r="I33" t="s">
        <v>34</v>
      </c>
      <c r="J33" s="7">
        <f>Table2[[#This Row],[UnitPrice]]*Table2[[#This Row],[Quantity]]*(1-Table2[[#This Row],[Discount]])</f>
        <v>2586.8815</v>
      </c>
      <c r="K33" t="s">
        <v>38</v>
      </c>
      <c r="L33" t="s">
        <v>44</v>
      </c>
      <c r="M33">
        <v>0</v>
      </c>
      <c r="N33" t="s">
        <v>77</v>
      </c>
      <c r="O33" t="s">
        <v>1577</v>
      </c>
      <c r="P33" s="7">
        <v>12.35</v>
      </c>
      <c r="Q33" s="1">
        <v>45335</v>
      </c>
      <c r="R33">
        <f>WEEKNUM(Table2[[#This Row],[OrderDate]])</f>
        <v>7</v>
      </c>
      <c r="S33" s="1">
        <v>45337</v>
      </c>
      <c r="T33" t="s">
        <v>2919</v>
      </c>
    </row>
    <row r="34" spans="1:20" x14ac:dyDescent="0.35">
      <c r="A34" s="1">
        <v>45725</v>
      </c>
      <c r="B34" t="s">
        <v>2932</v>
      </c>
      <c r="C34" t="s">
        <v>21</v>
      </c>
      <c r="D34" s="9">
        <v>6</v>
      </c>
      <c r="E34" s="7">
        <v>64.98</v>
      </c>
      <c r="F34" t="s">
        <v>28</v>
      </c>
      <c r="G34" t="s">
        <v>31</v>
      </c>
      <c r="H34" s="12">
        <v>0</v>
      </c>
      <c r="I34" t="s">
        <v>35</v>
      </c>
      <c r="J34" s="7">
        <f>Table2[[#This Row],[UnitPrice]]*Table2[[#This Row],[Quantity]]*(1-Table2[[#This Row],[Discount]])</f>
        <v>389.88</v>
      </c>
      <c r="K34" t="s">
        <v>41</v>
      </c>
      <c r="L34" t="s">
        <v>45</v>
      </c>
      <c r="M34">
        <v>0</v>
      </c>
      <c r="N34" t="s">
        <v>78</v>
      </c>
      <c r="O34" t="s">
        <v>1578</v>
      </c>
      <c r="P34" s="7">
        <v>21.25</v>
      </c>
      <c r="Q34" s="1">
        <v>45725</v>
      </c>
      <c r="R34">
        <f>WEEKNUM(Table2[[#This Row],[OrderDate]])</f>
        <v>11</v>
      </c>
      <c r="S34" s="1">
        <v>45731</v>
      </c>
      <c r="T34" t="s">
        <v>2918</v>
      </c>
    </row>
    <row r="35" spans="1:20" x14ac:dyDescent="0.35">
      <c r="A35" s="1">
        <v>45021</v>
      </c>
      <c r="B35" t="s">
        <v>2934</v>
      </c>
      <c r="C35" t="s">
        <v>21</v>
      </c>
      <c r="D35" s="9">
        <v>17</v>
      </c>
      <c r="E35" s="7">
        <v>476.49</v>
      </c>
      <c r="F35" t="s">
        <v>29</v>
      </c>
      <c r="G35" t="s">
        <v>31</v>
      </c>
      <c r="H35" s="12">
        <v>0</v>
      </c>
      <c r="I35" t="s">
        <v>33</v>
      </c>
      <c r="J35" s="7">
        <f>Table2[[#This Row],[UnitPrice]]*Table2[[#This Row],[Quantity]]*(1-Table2[[#This Row],[Discount]])</f>
        <v>8100.33</v>
      </c>
      <c r="K35" t="s">
        <v>39</v>
      </c>
      <c r="L35" t="s">
        <v>2937</v>
      </c>
      <c r="M35">
        <v>0</v>
      </c>
      <c r="N35" t="s">
        <v>79</v>
      </c>
      <c r="O35" t="s">
        <v>1579</v>
      </c>
      <c r="P35" s="7">
        <v>17.91</v>
      </c>
      <c r="Q35" s="1">
        <v>45021</v>
      </c>
      <c r="R35">
        <f>WEEKNUM(Table2[[#This Row],[OrderDate]])</f>
        <v>14</v>
      </c>
      <c r="S35" s="1">
        <v>45027</v>
      </c>
      <c r="T35" t="s">
        <v>2920</v>
      </c>
    </row>
    <row r="36" spans="1:20" x14ac:dyDescent="0.35">
      <c r="A36" s="1">
        <v>45785</v>
      </c>
      <c r="B36" t="s">
        <v>2931</v>
      </c>
      <c r="C36" t="s">
        <v>23</v>
      </c>
      <c r="D36" s="9">
        <v>4</v>
      </c>
      <c r="E36" s="7">
        <v>559.72</v>
      </c>
      <c r="F36" t="s">
        <v>29</v>
      </c>
      <c r="G36" t="s">
        <v>31</v>
      </c>
      <c r="H36" s="12">
        <v>0.15</v>
      </c>
      <c r="I36" t="s">
        <v>36</v>
      </c>
      <c r="J36" s="7">
        <f>Table2[[#This Row],[UnitPrice]]*Table2[[#This Row],[Quantity]]*(1-Table2[[#This Row],[Discount]])</f>
        <v>1903.048</v>
      </c>
      <c r="K36" t="s">
        <v>38</v>
      </c>
      <c r="L36" t="s">
        <v>44</v>
      </c>
      <c r="M36">
        <v>0</v>
      </c>
      <c r="N36" t="s">
        <v>80</v>
      </c>
      <c r="O36" t="s">
        <v>1580</v>
      </c>
      <c r="P36" s="7">
        <v>41.91</v>
      </c>
      <c r="Q36" s="1">
        <v>45785</v>
      </c>
      <c r="R36">
        <f>WEEKNUM(Table2[[#This Row],[OrderDate]])</f>
        <v>19</v>
      </c>
      <c r="S36" s="1">
        <v>45789</v>
      </c>
      <c r="T36" t="s">
        <v>2919</v>
      </c>
    </row>
    <row r="37" spans="1:20" x14ac:dyDescent="0.35">
      <c r="A37" s="1">
        <v>45172</v>
      </c>
      <c r="B37" t="s">
        <v>2931</v>
      </c>
      <c r="C37" t="s">
        <v>24</v>
      </c>
      <c r="D37" s="9">
        <v>14</v>
      </c>
      <c r="E37" s="7">
        <v>82.14</v>
      </c>
      <c r="F37" t="s">
        <v>28</v>
      </c>
      <c r="G37" t="s">
        <v>31</v>
      </c>
      <c r="H37" s="12">
        <v>0</v>
      </c>
      <c r="I37" t="s">
        <v>33</v>
      </c>
      <c r="J37" s="7">
        <f>Table2[[#This Row],[UnitPrice]]*Table2[[#This Row],[Quantity]]*(1-Table2[[#This Row],[Discount]])</f>
        <v>1149.96</v>
      </c>
      <c r="K37" t="s">
        <v>40</v>
      </c>
      <c r="L37" t="s">
        <v>2937</v>
      </c>
      <c r="M37">
        <v>0</v>
      </c>
      <c r="N37" t="s">
        <v>81</v>
      </c>
      <c r="O37" t="s">
        <v>1581</v>
      </c>
      <c r="P37" s="7">
        <v>12.57</v>
      </c>
      <c r="Q37" s="1">
        <v>45172</v>
      </c>
      <c r="R37">
        <f>WEEKNUM(Table2[[#This Row],[OrderDate]])</f>
        <v>36</v>
      </c>
      <c r="S37" s="1">
        <v>45180</v>
      </c>
      <c r="T37" t="s">
        <v>2919</v>
      </c>
    </row>
    <row r="38" spans="1:20" x14ac:dyDescent="0.35">
      <c r="A38" s="1">
        <v>45737</v>
      </c>
      <c r="B38" t="s">
        <v>2934</v>
      </c>
      <c r="C38" t="s">
        <v>22</v>
      </c>
      <c r="D38" s="9">
        <v>9</v>
      </c>
      <c r="E38" s="7">
        <v>343.21</v>
      </c>
      <c r="F38" t="s">
        <v>27</v>
      </c>
      <c r="G38" t="s">
        <v>31</v>
      </c>
      <c r="H38" s="12">
        <v>0.05</v>
      </c>
      <c r="I38" t="s">
        <v>35</v>
      </c>
      <c r="J38" s="7">
        <f>Table2[[#This Row],[UnitPrice]]*Table2[[#This Row],[Quantity]]*(1-Table2[[#This Row],[Discount]])</f>
        <v>2934.4454999999998</v>
      </c>
      <c r="K38" t="s">
        <v>41</v>
      </c>
      <c r="L38" t="s">
        <v>43</v>
      </c>
      <c r="M38">
        <v>0</v>
      </c>
      <c r="N38" t="s">
        <v>82</v>
      </c>
      <c r="O38" t="s">
        <v>1582</v>
      </c>
      <c r="P38" s="7">
        <v>40.29</v>
      </c>
      <c r="Q38" s="1">
        <v>45737</v>
      </c>
      <c r="R38">
        <f>WEEKNUM(Table2[[#This Row],[OrderDate]])</f>
        <v>12</v>
      </c>
      <c r="S38" s="1">
        <v>45744</v>
      </c>
      <c r="T38" t="s">
        <v>2920</v>
      </c>
    </row>
    <row r="39" spans="1:20" x14ac:dyDescent="0.35">
      <c r="A39" s="1">
        <v>45828</v>
      </c>
      <c r="B39" t="s">
        <v>2932</v>
      </c>
      <c r="C39" t="s">
        <v>22</v>
      </c>
      <c r="D39" s="9">
        <v>7</v>
      </c>
      <c r="E39" s="7">
        <v>301.01</v>
      </c>
      <c r="F39" t="s">
        <v>26</v>
      </c>
      <c r="G39" t="s">
        <v>31</v>
      </c>
      <c r="H39" s="12">
        <v>0.15</v>
      </c>
      <c r="I39" t="s">
        <v>36</v>
      </c>
      <c r="J39" s="7">
        <f>Table2[[#This Row],[UnitPrice]]*Table2[[#This Row],[Quantity]]*(1-Table2[[#This Row],[Discount]])</f>
        <v>1791.0094999999997</v>
      </c>
      <c r="K39" t="s">
        <v>42</v>
      </c>
      <c r="L39" t="s">
        <v>44</v>
      </c>
      <c r="M39">
        <v>1</v>
      </c>
      <c r="N39" t="s">
        <v>83</v>
      </c>
      <c r="O39" t="s">
        <v>1583</v>
      </c>
      <c r="P39" s="7">
        <v>34.97</v>
      </c>
      <c r="Q39" s="1">
        <v>45828</v>
      </c>
      <c r="R39">
        <f>WEEKNUM(Table2[[#This Row],[OrderDate]])</f>
        <v>25</v>
      </c>
      <c r="S39" s="1">
        <v>45838</v>
      </c>
      <c r="T39" t="s">
        <v>2918</v>
      </c>
    </row>
    <row r="40" spans="1:20" x14ac:dyDescent="0.35">
      <c r="A40" s="1">
        <v>45337</v>
      </c>
      <c r="B40" t="s">
        <v>2934</v>
      </c>
      <c r="C40" t="s">
        <v>25</v>
      </c>
      <c r="D40" s="9">
        <v>14</v>
      </c>
      <c r="E40" s="7">
        <v>428.13</v>
      </c>
      <c r="F40" t="s">
        <v>28</v>
      </c>
      <c r="G40" t="s">
        <v>31</v>
      </c>
      <c r="H40" s="12">
        <v>0.1</v>
      </c>
      <c r="I40" t="s">
        <v>37</v>
      </c>
      <c r="J40" s="7">
        <f>Table2[[#This Row],[UnitPrice]]*Table2[[#This Row],[Quantity]]*(1-Table2[[#This Row],[Discount]])</f>
        <v>5394.4380000000001</v>
      </c>
      <c r="K40" t="s">
        <v>42</v>
      </c>
      <c r="L40" t="s">
        <v>2937</v>
      </c>
      <c r="M40">
        <v>1</v>
      </c>
      <c r="N40" t="s">
        <v>84</v>
      </c>
      <c r="O40" t="s">
        <v>1584</v>
      </c>
      <c r="P40" s="7">
        <v>24.77</v>
      </c>
      <c r="Q40" s="1">
        <v>45337</v>
      </c>
      <c r="R40">
        <f>WEEKNUM(Table2[[#This Row],[OrderDate]])</f>
        <v>7</v>
      </c>
      <c r="S40" s="1">
        <v>45347</v>
      </c>
      <c r="T40" t="s">
        <v>2920</v>
      </c>
    </row>
    <row r="41" spans="1:20" x14ac:dyDescent="0.35">
      <c r="A41" s="1">
        <v>45086</v>
      </c>
      <c r="B41" t="s">
        <v>2934</v>
      </c>
      <c r="C41" t="s">
        <v>19</v>
      </c>
      <c r="D41" s="9">
        <v>2</v>
      </c>
      <c r="E41" s="7">
        <v>503.28</v>
      </c>
      <c r="F41" t="s">
        <v>29</v>
      </c>
      <c r="G41" t="s">
        <v>31</v>
      </c>
      <c r="H41" s="12">
        <v>0.15</v>
      </c>
      <c r="I41" t="s">
        <v>33</v>
      </c>
      <c r="J41" s="7">
        <f>Table2[[#This Row],[UnitPrice]]*Table2[[#This Row],[Quantity]]*(1-Table2[[#This Row],[Discount]])</f>
        <v>855.57599999999991</v>
      </c>
      <c r="K41" t="s">
        <v>39</v>
      </c>
      <c r="L41" t="s">
        <v>2937</v>
      </c>
      <c r="M41">
        <v>0</v>
      </c>
      <c r="N41" t="s">
        <v>85</v>
      </c>
      <c r="O41" t="s">
        <v>1585</v>
      </c>
      <c r="P41" s="7">
        <v>34.79</v>
      </c>
      <c r="Q41" s="1">
        <v>45086</v>
      </c>
      <c r="R41">
        <f>WEEKNUM(Table2[[#This Row],[OrderDate]])</f>
        <v>23</v>
      </c>
      <c r="S41" s="1">
        <v>45094</v>
      </c>
      <c r="T41" t="s">
        <v>2920</v>
      </c>
    </row>
    <row r="42" spans="1:20" x14ac:dyDescent="0.35">
      <c r="A42" s="1">
        <v>45148</v>
      </c>
      <c r="B42" t="s">
        <v>2932</v>
      </c>
      <c r="C42" t="s">
        <v>25</v>
      </c>
      <c r="D42" s="9">
        <v>5</v>
      </c>
      <c r="E42" s="7">
        <v>470.32</v>
      </c>
      <c r="F42" t="s">
        <v>27</v>
      </c>
      <c r="G42" t="s">
        <v>31</v>
      </c>
      <c r="H42" s="12">
        <v>0.1</v>
      </c>
      <c r="I42" t="s">
        <v>32</v>
      </c>
      <c r="J42" s="7">
        <f>Table2[[#This Row],[UnitPrice]]*Table2[[#This Row],[Quantity]]*(1-Table2[[#This Row],[Discount]])</f>
        <v>2116.44</v>
      </c>
      <c r="K42" t="s">
        <v>41</v>
      </c>
      <c r="L42" t="s">
        <v>44</v>
      </c>
      <c r="M42">
        <v>0</v>
      </c>
      <c r="N42" t="s">
        <v>86</v>
      </c>
      <c r="O42" t="s">
        <v>1586</v>
      </c>
      <c r="P42" s="7">
        <v>17.77</v>
      </c>
      <c r="Q42" s="1">
        <v>45148</v>
      </c>
      <c r="R42">
        <f>WEEKNUM(Table2[[#This Row],[OrderDate]])</f>
        <v>32</v>
      </c>
      <c r="S42" s="1">
        <v>45152</v>
      </c>
      <c r="T42" t="s">
        <v>2918</v>
      </c>
    </row>
    <row r="43" spans="1:20" x14ac:dyDescent="0.35">
      <c r="A43" s="1">
        <v>45459</v>
      </c>
      <c r="B43" t="s">
        <v>2934</v>
      </c>
      <c r="C43" t="s">
        <v>25</v>
      </c>
      <c r="D43" s="9">
        <v>20</v>
      </c>
      <c r="E43" s="7">
        <v>65.17</v>
      </c>
      <c r="F43" t="s">
        <v>28</v>
      </c>
      <c r="G43" t="s">
        <v>30</v>
      </c>
      <c r="H43" s="12">
        <v>0.05</v>
      </c>
      <c r="I43" t="s">
        <v>32</v>
      </c>
      <c r="J43" s="7">
        <f>Table2[[#This Row],[UnitPrice]]*Table2[[#This Row],[Quantity]]*(1-Table2[[#This Row],[Discount]])</f>
        <v>1238.23</v>
      </c>
      <c r="K43" t="s">
        <v>39</v>
      </c>
      <c r="L43" t="s">
        <v>43</v>
      </c>
      <c r="M43">
        <v>0</v>
      </c>
      <c r="N43" t="s">
        <v>87</v>
      </c>
      <c r="O43" t="s">
        <v>1587</v>
      </c>
      <c r="P43" s="7">
        <v>21.72</v>
      </c>
      <c r="Q43" s="1">
        <v>45459</v>
      </c>
      <c r="R43">
        <f>WEEKNUM(Table2[[#This Row],[OrderDate]])</f>
        <v>25</v>
      </c>
      <c r="S43" s="1">
        <v>45468</v>
      </c>
      <c r="T43" t="s">
        <v>2920</v>
      </c>
    </row>
    <row r="44" spans="1:20" x14ac:dyDescent="0.35">
      <c r="A44" s="1">
        <v>45130</v>
      </c>
      <c r="B44" t="s">
        <v>2932</v>
      </c>
      <c r="C44" t="s">
        <v>19</v>
      </c>
      <c r="D44" s="9">
        <v>12</v>
      </c>
      <c r="E44" s="7">
        <v>36.17</v>
      </c>
      <c r="F44" t="s">
        <v>27</v>
      </c>
      <c r="G44" t="s">
        <v>31</v>
      </c>
      <c r="H44" s="12">
        <v>0</v>
      </c>
      <c r="I44" t="s">
        <v>32</v>
      </c>
      <c r="J44" s="7">
        <f>Table2[[#This Row],[UnitPrice]]*Table2[[#This Row],[Quantity]]*(1-Table2[[#This Row],[Discount]])</f>
        <v>434.04</v>
      </c>
      <c r="K44" t="s">
        <v>38</v>
      </c>
      <c r="L44" t="s">
        <v>45</v>
      </c>
      <c r="M44">
        <v>0</v>
      </c>
      <c r="N44" t="s">
        <v>88</v>
      </c>
      <c r="O44" t="s">
        <v>1588</v>
      </c>
      <c r="P44" s="7">
        <v>34.85</v>
      </c>
      <c r="Q44" s="1">
        <v>45130</v>
      </c>
      <c r="R44">
        <f>WEEKNUM(Table2[[#This Row],[OrderDate]])</f>
        <v>30</v>
      </c>
      <c r="S44" s="1">
        <v>45133</v>
      </c>
      <c r="T44" t="s">
        <v>2918</v>
      </c>
    </row>
    <row r="45" spans="1:20" x14ac:dyDescent="0.35">
      <c r="A45" s="1">
        <v>45066</v>
      </c>
      <c r="B45" t="s">
        <v>2934</v>
      </c>
      <c r="C45" t="s">
        <v>25</v>
      </c>
      <c r="D45" s="9">
        <v>4</v>
      </c>
      <c r="E45" s="7">
        <v>459.31</v>
      </c>
      <c r="F45" t="s">
        <v>29</v>
      </c>
      <c r="G45" t="s">
        <v>30</v>
      </c>
      <c r="H45" s="12">
        <v>0.15</v>
      </c>
      <c r="I45" t="s">
        <v>35</v>
      </c>
      <c r="J45" s="7">
        <f>Table2[[#This Row],[UnitPrice]]*Table2[[#This Row],[Quantity]]*(1-Table2[[#This Row],[Discount]])</f>
        <v>1561.654</v>
      </c>
      <c r="K45" t="s">
        <v>39</v>
      </c>
      <c r="L45" t="s">
        <v>45</v>
      </c>
      <c r="M45">
        <v>1</v>
      </c>
      <c r="N45" t="s">
        <v>89</v>
      </c>
      <c r="O45" t="s">
        <v>1589</v>
      </c>
      <c r="P45" s="7">
        <v>27.39</v>
      </c>
      <c r="Q45" s="1">
        <v>45066</v>
      </c>
      <c r="R45">
        <f>WEEKNUM(Table2[[#This Row],[OrderDate]])</f>
        <v>20</v>
      </c>
      <c r="S45" s="1">
        <v>45073</v>
      </c>
      <c r="T45" t="s">
        <v>2920</v>
      </c>
    </row>
    <row r="46" spans="1:20" x14ac:dyDescent="0.35">
      <c r="A46" s="1">
        <v>45107</v>
      </c>
      <c r="B46" t="s">
        <v>2932</v>
      </c>
      <c r="C46" t="s">
        <v>19</v>
      </c>
      <c r="D46" s="9">
        <v>2</v>
      </c>
      <c r="E46" s="7">
        <v>416.06</v>
      </c>
      <c r="F46" t="s">
        <v>29</v>
      </c>
      <c r="G46" t="s">
        <v>31</v>
      </c>
      <c r="H46" s="12">
        <v>0.05</v>
      </c>
      <c r="I46" t="s">
        <v>32</v>
      </c>
      <c r="J46" s="7">
        <f>Table2[[#This Row],[UnitPrice]]*Table2[[#This Row],[Quantity]]*(1-Table2[[#This Row],[Discount]])</f>
        <v>790.51400000000001</v>
      </c>
      <c r="K46" t="s">
        <v>41</v>
      </c>
      <c r="L46" t="s">
        <v>44</v>
      </c>
      <c r="M46">
        <v>0</v>
      </c>
      <c r="N46" t="s">
        <v>90</v>
      </c>
      <c r="O46" t="s">
        <v>1590</v>
      </c>
      <c r="P46" s="7">
        <v>11.62</v>
      </c>
      <c r="Q46" s="1">
        <v>45107</v>
      </c>
      <c r="R46">
        <f>WEEKNUM(Table2[[#This Row],[OrderDate]])</f>
        <v>26</v>
      </c>
      <c r="S46" s="1">
        <v>45111</v>
      </c>
      <c r="T46" t="s">
        <v>2918</v>
      </c>
    </row>
    <row r="47" spans="1:20" x14ac:dyDescent="0.35">
      <c r="A47" s="1">
        <v>45447</v>
      </c>
      <c r="B47" t="s">
        <v>2932</v>
      </c>
      <c r="C47" t="s">
        <v>24</v>
      </c>
      <c r="D47" s="9">
        <v>16</v>
      </c>
      <c r="E47" s="7">
        <v>302.58</v>
      </c>
      <c r="F47" t="s">
        <v>29</v>
      </c>
      <c r="G47" t="s">
        <v>31</v>
      </c>
      <c r="H47" s="12">
        <v>0</v>
      </c>
      <c r="I47" t="s">
        <v>33</v>
      </c>
      <c r="J47" s="7">
        <f>Table2[[#This Row],[UnitPrice]]*Table2[[#This Row],[Quantity]]*(1-Table2[[#This Row],[Discount]])</f>
        <v>4841.28</v>
      </c>
      <c r="K47" t="s">
        <v>38</v>
      </c>
      <c r="L47" t="s">
        <v>45</v>
      </c>
      <c r="M47">
        <v>1</v>
      </c>
      <c r="N47" t="s">
        <v>91</v>
      </c>
      <c r="O47" t="s">
        <v>1591</v>
      </c>
      <c r="P47" s="7">
        <v>20.76</v>
      </c>
      <c r="Q47" s="1">
        <v>45447</v>
      </c>
      <c r="R47">
        <f>WEEKNUM(Table2[[#This Row],[OrderDate]])</f>
        <v>23</v>
      </c>
      <c r="S47" s="1">
        <v>45457</v>
      </c>
      <c r="T47" t="s">
        <v>2918</v>
      </c>
    </row>
    <row r="48" spans="1:20" x14ac:dyDescent="0.35">
      <c r="A48" s="1">
        <v>45691</v>
      </c>
      <c r="B48" t="s">
        <v>2933</v>
      </c>
      <c r="C48" t="s">
        <v>22</v>
      </c>
      <c r="D48" s="9">
        <v>11</v>
      </c>
      <c r="E48" s="7">
        <v>33.130000000000003</v>
      </c>
      <c r="F48" t="s">
        <v>27</v>
      </c>
      <c r="G48" t="s">
        <v>31</v>
      </c>
      <c r="H48" s="12">
        <v>0.15</v>
      </c>
      <c r="I48" t="s">
        <v>34</v>
      </c>
      <c r="J48" s="7">
        <f>Table2[[#This Row],[UnitPrice]]*Table2[[#This Row],[Quantity]]*(1-Table2[[#This Row],[Discount]])</f>
        <v>309.76549999999997</v>
      </c>
      <c r="K48" t="s">
        <v>38</v>
      </c>
      <c r="L48" t="s">
        <v>43</v>
      </c>
      <c r="M48">
        <v>0</v>
      </c>
      <c r="N48" t="s">
        <v>92</v>
      </c>
      <c r="O48" t="s">
        <v>1592</v>
      </c>
      <c r="P48" s="7">
        <v>24.95</v>
      </c>
      <c r="Q48" s="1">
        <v>45691</v>
      </c>
      <c r="R48">
        <f>WEEKNUM(Table2[[#This Row],[OrderDate]])</f>
        <v>6</v>
      </c>
      <c r="S48" s="1">
        <v>45693</v>
      </c>
      <c r="T48" t="s">
        <v>2921</v>
      </c>
    </row>
    <row r="49" spans="1:20" x14ac:dyDescent="0.35">
      <c r="A49" s="1">
        <v>45300</v>
      </c>
      <c r="B49" t="s">
        <v>2930</v>
      </c>
      <c r="C49" t="s">
        <v>24</v>
      </c>
      <c r="D49" s="9">
        <v>8</v>
      </c>
      <c r="E49" s="7">
        <v>582.52</v>
      </c>
      <c r="F49" t="s">
        <v>29</v>
      </c>
      <c r="G49" t="s">
        <v>31</v>
      </c>
      <c r="H49" s="12">
        <v>0.15</v>
      </c>
      <c r="I49" t="s">
        <v>34</v>
      </c>
      <c r="J49" s="7">
        <f>Table2[[#This Row],[UnitPrice]]*Table2[[#This Row],[Quantity]]*(1-Table2[[#This Row],[Discount]])</f>
        <v>3961.136</v>
      </c>
      <c r="K49" t="s">
        <v>39</v>
      </c>
      <c r="L49" t="s">
        <v>45</v>
      </c>
      <c r="M49">
        <v>0</v>
      </c>
      <c r="N49" t="s">
        <v>93</v>
      </c>
      <c r="O49" t="s">
        <v>1593</v>
      </c>
      <c r="P49" s="7">
        <v>6.47</v>
      </c>
      <c r="Q49" s="1">
        <v>45300</v>
      </c>
      <c r="R49">
        <f>WEEKNUM(Table2[[#This Row],[OrderDate]])</f>
        <v>2</v>
      </c>
      <c r="S49" s="1">
        <v>45304</v>
      </c>
      <c r="T49" t="s">
        <v>2917</v>
      </c>
    </row>
    <row r="50" spans="1:20" x14ac:dyDescent="0.35">
      <c r="A50" s="1">
        <v>45365</v>
      </c>
      <c r="B50" t="s">
        <v>2931</v>
      </c>
      <c r="C50" t="s">
        <v>21</v>
      </c>
      <c r="D50" s="9">
        <v>5</v>
      </c>
      <c r="E50" s="7">
        <v>165.15</v>
      </c>
      <c r="F50" t="s">
        <v>27</v>
      </c>
      <c r="G50" t="s">
        <v>31</v>
      </c>
      <c r="H50" s="12">
        <v>0.1</v>
      </c>
      <c r="I50" t="s">
        <v>32</v>
      </c>
      <c r="J50" s="7">
        <f>Table2[[#This Row],[UnitPrice]]*Table2[[#This Row],[Quantity]]*(1-Table2[[#This Row],[Discount]])</f>
        <v>743.17500000000007</v>
      </c>
      <c r="K50" t="s">
        <v>39</v>
      </c>
      <c r="L50" t="s">
        <v>2937</v>
      </c>
      <c r="M50">
        <v>0</v>
      </c>
      <c r="N50" t="s">
        <v>94</v>
      </c>
      <c r="O50" t="s">
        <v>1594</v>
      </c>
      <c r="P50" s="7">
        <v>20.57</v>
      </c>
      <c r="Q50" s="1">
        <v>45365</v>
      </c>
      <c r="R50">
        <f>WEEKNUM(Table2[[#This Row],[OrderDate]])</f>
        <v>11</v>
      </c>
      <c r="S50" s="1">
        <v>45367</v>
      </c>
      <c r="T50" t="s">
        <v>2919</v>
      </c>
    </row>
    <row r="51" spans="1:20" x14ac:dyDescent="0.35">
      <c r="A51" s="1">
        <v>45541</v>
      </c>
      <c r="B51" t="s">
        <v>2933</v>
      </c>
      <c r="C51" t="s">
        <v>23</v>
      </c>
      <c r="D51" s="9">
        <v>14</v>
      </c>
      <c r="E51" s="7">
        <v>242.82</v>
      </c>
      <c r="F51" t="s">
        <v>29</v>
      </c>
      <c r="G51" t="s">
        <v>30</v>
      </c>
      <c r="H51" s="12">
        <v>0.15</v>
      </c>
      <c r="I51" t="s">
        <v>33</v>
      </c>
      <c r="J51" s="7">
        <f>Table2[[#This Row],[UnitPrice]]*Table2[[#This Row],[Quantity]]*(1-Table2[[#This Row],[Discount]])</f>
        <v>2889.558</v>
      </c>
      <c r="K51" t="s">
        <v>42</v>
      </c>
      <c r="L51" t="s">
        <v>45</v>
      </c>
      <c r="M51">
        <v>1</v>
      </c>
      <c r="N51" t="s">
        <v>95</v>
      </c>
      <c r="O51" t="s">
        <v>1595</v>
      </c>
      <c r="P51" s="7">
        <v>20.71</v>
      </c>
      <c r="Q51" s="1">
        <v>45541</v>
      </c>
      <c r="R51">
        <f>WEEKNUM(Table2[[#This Row],[OrderDate]])</f>
        <v>36</v>
      </c>
      <c r="S51" s="1">
        <v>45548</v>
      </c>
      <c r="T51" t="s">
        <v>2921</v>
      </c>
    </row>
    <row r="52" spans="1:20" x14ac:dyDescent="0.35">
      <c r="A52" s="1">
        <v>45002</v>
      </c>
      <c r="B52" t="s">
        <v>2930</v>
      </c>
      <c r="C52" t="s">
        <v>23</v>
      </c>
      <c r="D52" s="9">
        <v>13</v>
      </c>
      <c r="E52" s="7">
        <v>65.989999999999995</v>
      </c>
      <c r="F52" t="s">
        <v>27</v>
      </c>
      <c r="G52" t="s">
        <v>30</v>
      </c>
      <c r="H52" s="12">
        <v>0.1</v>
      </c>
      <c r="I52" t="s">
        <v>34</v>
      </c>
      <c r="J52" s="7">
        <f>Table2[[#This Row],[UnitPrice]]*Table2[[#This Row],[Quantity]]*(1-Table2[[#This Row],[Discount]])</f>
        <v>772.08299999999997</v>
      </c>
      <c r="K52" t="s">
        <v>42</v>
      </c>
      <c r="L52" t="s">
        <v>45</v>
      </c>
      <c r="M52">
        <v>0</v>
      </c>
      <c r="N52" t="s">
        <v>96</v>
      </c>
      <c r="O52" t="s">
        <v>1596</v>
      </c>
      <c r="P52" s="7">
        <v>12.87</v>
      </c>
      <c r="Q52" s="1">
        <v>45002</v>
      </c>
      <c r="R52">
        <f>WEEKNUM(Table2[[#This Row],[OrderDate]])</f>
        <v>11</v>
      </c>
      <c r="S52" s="1">
        <v>45005</v>
      </c>
      <c r="T52" t="s">
        <v>2917</v>
      </c>
    </row>
    <row r="53" spans="1:20" x14ac:dyDescent="0.35">
      <c r="A53" s="1">
        <v>45674</v>
      </c>
      <c r="B53" t="s">
        <v>2933</v>
      </c>
      <c r="C53" t="s">
        <v>22</v>
      </c>
      <c r="D53" s="9">
        <v>2</v>
      </c>
      <c r="E53" s="7">
        <v>251.69</v>
      </c>
      <c r="F53" t="s">
        <v>28</v>
      </c>
      <c r="G53" t="s">
        <v>30</v>
      </c>
      <c r="H53" s="12">
        <v>0</v>
      </c>
      <c r="I53" t="s">
        <v>33</v>
      </c>
      <c r="J53" s="7">
        <f>Table2[[#This Row],[UnitPrice]]*Table2[[#This Row],[Quantity]]*(1-Table2[[#This Row],[Discount]])</f>
        <v>503.38</v>
      </c>
      <c r="K53" t="s">
        <v>41</v>
      </c>
      <c r="L53" t="s">
        <v>43</v>
      </c>
      <c r="M53">
        <v>0</v>
      </c>
      <c r="N53" t="s">
        <v>97</v>
      </c>
      <c r="O53" t="s">
        <v>1597</v>
      </c>
      <c r="P53" s="7">
        <v>42.49</v>
      </c>
      <c r="Q53" s="1">
        <v>45674</v>
      </c>
      <c r="R53">
        <f>WEEKNUM(Table2[[#This Row],[OrderDate]])</f>
        <v>3</v>
      </c>
      <c r="S53" s="1">
        <v>45681</v>
      </c>
      <c r="T53" t="s">
        <v>2921</v>
      </c>
    </row>
    <row r="54" spans="1:20" x14ac:dyDescent="0.35">
      <c r="A54" s="1">
        <v>45547</v>
      </c>
      <c r="B54" t="s">
        <v>2932</v>
      </c>
      <c r="C54" t="s">
        <v>19</v>
      </c>
      <c r="D54" s="9">
        <v>1</v>
      </c>
      <c r="E54" s="7">
        <v>269.41000000000003</v>
      </c>
      <c r="F54" t="s">
        <v>26</v>
      </c>
      <c r="G54" t="s">
        <v>30</v>
      </c>
      <c r="H54" s="12">
        <v>0.1</v>
      </c>
      <c r="I54" t="s">
        <v>32</v>
      </c>
      <c r="J54" s="7">
        <f>Table2[[#This Row],[UnitPrice]]*Table2[[#This Row],[Quantity]]*(1-Table2[[#This Row],[Discount]])</f>
        <v>242.46900000000002</v>
      </c>
      <c r="K54" t="s">
        <v>42</v>
      </c>
      <c r="L54" t="s">
        <v>45</v>
      </c>
      <c r="M54">
        <v>1</v>
      </c>
      <c r="N54" t="s">
        <v>98</v>
      </c>
      <c r="O54" t="s">
        <v>1598</v>
      </c>
      <c r="P54" s="7">
        <v>19.22</v>
      </c>
      <c r="Q54" s="1">
        <v>45547</v>
      </c>
      <c r="R54">
        <f>WEEKNUM(Table2[[#This Row],[OrderDate]])</f>
        <v>37</v>
      </c>
      <c r="S54" s="1">
        <v>45553</v>
      </c>
      <c r="T54" t="s">
        <v>2918</v>
      </c>
    </row>
    <row r="55" spans="1:20" x14ac:dyDescent="0.35">
      <c r="A55" s="1">
        <v>45296</v>
      </c>
      <c r="B55" t="s">
        <v>2932</v>
      </c>
      <c r="C55" t="s">
        <v>23</v>
      </c>
      <c r="D55" s="9">
        <v>2</v>
      </c>
      <c r="E55" s="7">
        <v>371.3</v>
      </c>
      <c r="F55" t="s">
        <v>26</v>
      </c>
      <c r="G55" t="s">
        <v>30</v>
      </c>
      <c r="H55" s="12">
        <v>0.05</v>
      </c>
      <c r="I55" t="s">
        <v>37</v>
      </c>
      <c r="J55" s="7">
        <f>Table2[[#This Row],[UnitPrice]]*Table2[[#This Row],[Quantity]]*(1-Table2[[#This Row],[Discount]])</f>
        <v>705.47</v>
      </c>
      <c r="K55" t="s">
        <v>40</v>
      </c>
      <c r="L55" t="s">
        <v>44</v>
      </c>
      <c r="M55">
        <v>0</v>
      </c>
      <c r="N55" t="s">
        <v>99</v>
      </c>
      <c r="O55" t="s">
        <v>1599</v>
      </c>
      <c r="P55" s="7">
        <v>36.51</v>
      </c>
      <c r="Q55" s="1">
        <v>45296</v>
      </c>
      <c r="R55">
        <f>WEEKNUM(Table2[[#This Row],[OrderDate]])</f>
        <v>1</v>
      </c>
      <c r="S55" s="1">
        <v>45306</v>
      </c>
      <c r="T55" t="s">
        <v>2918</v>
      </c>
    </row>
    <row r="56" spans="1:20" x14ac:dyDescent="0.35">
      <c r="A56" s="1">
        <v>45401</v>
      </c>
      <c r="B56" t="s">
        <v>2933</v>
      </c>
      <c r="C56" t="s">
        <v>24</v>
      </c>
      <c r="D56" s="9">
        <v>11</v>
      </c>
      <c r="E56" s="7">
        <v>288.24</v>
      </c>
      <c r="F56" t="s">
        <v>27</v>
      </c>
      <c r="G56" t="s">
        <v>30</v>
      </c>
      <c r="H56" s="12">
        <v>0.15</v>
      </c>
      <c r="I56" t="s">
        <v>36</v>
      </c>
      <c r="J56" s="7">
        <f>Table2[[#This Row],[UnitPrice]]*Table2[[#This Row],[Quantity]]*(1-Table2[[#This Row],[Discount]])</f>
        <v>2695.0440000000003</v>
      </c>
      <c r="K56" t="s">
        <v>38</v>
      </c>
      <c r="L56" t="s">
        <v>2937</v>
      </c>
      <c r="M56">
        <v>0</v>
      </c>
      <c r="N56" t="s">
        <v>100</v>
      </c>
      <c r="O56" t="s">
        <v>1600</v>
      </c>
      <c r="P56" s="7">
        <v>37.39</v>
      </c>
      <c r="Q56" s="1">
        <v>45401</v>
      </c>
      <c r="R56">
        <f>WEEKNUM(Table2[[#This Row],[OrderDate]])</f>
        <v>16</v>
      </c>
      <c r="S56" s="1">
        <v>45407</v>
      </c>
      <c r="T56" t="s">
        <v>2921</v>
      </c>
    </row>
    <row r="57" spans="1:20" x14ac:dyDescent="0.35">
      <c r="A57" s="1">
        <v>45819</v>
      </c>
      <c r="B57" t="s">
        <v>2934</v>
      </c>
      <c r="C57" t="s">
        <v>24</v>
      </c>
      <c r="D57" s="9">
        <v>11</v>
      </c>
      <c r="E57" s="7">
        <v>232.75</v>
      </c>
      <c r="F57" t="s">
        <v>29</v>
      </c>
      <c r="G57" t="s">
        <v>30</v>
      </c>
      <c r="H57" s="12">
        <v>0.05</v>
      </c>
      <c r="I57" t="s">
        <v>32</v>
      </c>
      <c r="J57" s="7">
        <f>Table2[[#This Row],[UnitPrice]]*Table2[[#This Row],[Quantity]]*(1-Table2[[#This Row],[Discount]])</f>
        <v>2432.2374999999997</v>
      </c>
      <c r="K57" t="s">
        <v>40</v>
      </c>
      <c r="L57" t="s">
        <v>44</v>
      </c>
      <c r="M57">
        <v>0</v>
      </c>
      <c r="N57" t="s">
        <v>101</v>
      </c>
      <c r="O57" t="s">
        <v>1601</v>
      </c>
      <c r="P57" s="7">
        <v>36.33</v>
      </c>
      <c r="Q57" s="1">
        <v>45819</v>
      </c>
      <c r="R57">
        <f>WEEKNUM(Table2[[#This Row],[OrderDate]])</f>
        <v>24</v>
      </c>
      <c r="S57" s="1">
        <v>45829</v>
      </c>
      <c r="T57" t="s">
        <v>2920</v>
      </c>
    </row>
    <row r="58" spans="1:20" x14ac:dyDescent="0.35">
      <c r="A58" s="1">
        <v>45722</v>
      </c>
      <c r="B58" t="s">
        <v>2930</v>
      </c>
      <c r="C58" t="s">
        <v>20</v>
      </c>
      <c r="D58" s="9">
        <v>17</v>
      </c>
      <c r="E58" s="7">
        <v>146.28</v>
      </c>
      <c r="F58" t="s">
        <v>26</v>
      </c>
      <c r="G58" t="s">
        <v>31</v>
      </c>
      <c r="H58" s="12">
        <v>0.15</v>
      </c>
      <c r="I58" t="s">
        <v>35</v>
      </c>
      <c r="J58" s="7">
        <f>Table2[[#This Row],[UnitPrice]]*Table2[[#This Row],[Quantity]]*(1-Table2[[#This Row],[Discount]])</f>
        <v>2113.7460000000001</v>
      </c>
      <c r="K58" t="s">
        <v>42</v>
      </c>
      <c r="L58" t="s">
        <v>44</v>
      </c>
      <c r="M58">
        <v>0</v>
      </c>
      <c r="N58" t="s">
        <v>102</v>
      </c>
      <c r="O58" t="s">
        <v>1602</v>
      </c>
      <c r="P58" s="7">
        <v>7.84</v>
      </c>
      <c r="Q58" s="1">
        <v>45722</v>
      </c>
      <c r="R58">
        <f>WEEKNUM(Table2[[#This Row],[OrderDate]])</f>
        <v>10</v>
      </c>
      <c r="S58" s="1">
        <v>45731</v>
      </c>
      <c r="T58" t="s">
        <v>2917</v>
      </c>
    </row>
    <row r="59" spans="1:20" x14ac:dyDescent="0.35">
      <c r="A59" s="1">
        <v>45070</v>
      </c>
      <c r="B59" t="s">
        <v>2930</v>
      </c>
      <c r="C59" t="s">
        <v>22</v>
      </c>
      <c r="D59" s="9">
        <v>5</v>
      </c>
      <c r="E59" s="7">
        <v>100.38</v>
      </c>
      <c r="F59" t="s">
        <v>28</v>
      </c>
      <c r="G59" t="s">
        <v>31</v>
      </c>
      <c r="H59" s="12">
        <v>0.1</v>
      </c>
      <c r="I59" t="s">
        <v>32</v>
      </c>
      <c r="J59" s="7">
        <f>Table2[[#This Row],[UnitPrice]]*Table2[[#This Row],[Quantity]]*(1-Table2[[#This Row],[Discount]])</f>
        <v>451.71</v>
      </c>
      <c r="K59" t="s">
        <v>39</v>
      </c>
      <c r="L59" t="s">
        <v>45</v>
      </c>
      <c r="M59">
        <v>1</v>
      </c>
      <c r="N59" t="s">
        <v>103</v>
      </c>
      <c r="O59" t="s">
        <v>1603</v>
      </c>
      <c r="P59" s="7">
        <v>18.350000000000001</v>
      </c>
      <c r="Q59" s="1">
        <v>45070</v>
      </c>
      <c r="R59">
        <f>WEEKNUM(Table2[[#This Row],[OrderDate]])</f>
        <v>21</v>
      </c>
      <c r="S59" s="1">
        <v>45072</v>
      </c>
      <c r="T59" t="s">
        <v>2917</v>
      </c>
    </row>
    <row r="60" spans="1:20" x14ac:dyDescent="0.35">
      <c r="A60" s="1">
        <v>44953</v>
      </c>
      <c r="B60" t="s">
        <v>2932</v>
      </c>
      <c r="C60" t="s">
        <v>20</v>
      </c>
      <c r="D60" s="9">
        <v>11</v>
      </c>
      <c r="E60" s="7">
        <v>375.48</v>
      </c>
      <c r="F60" t="s">
        <v>26</v>
      </c>
      <c r="G60" t="s">
        <v>31</v>
      </c>
      <c r="H60" s="12">
        <v>0.05</v>
      </c>
      <c r="I60" t="s">
        <v>37</v>
      </c>
      <c r="J60" s="7">
        <f>Table2[[#This Row],[UnitPrice]]*Table2[[#This Row],[Quantity]]*(1-Table2[[#This Row],[Discount]])</f>
        <v>3923.7660000000005</v>
      </c>
      <c r="K60" t="s">
        <v>41</v>
      </c>
      <c r="L60" t="s">
        <v>45</v>
      </c>
      <c r="M60">
        <v>0</v>
      </c>
      <c r="N60" t="s">
        <v>104</v>
      </c>
      <c r="O60" t="s">
        <v>1604</v>
      </c>
      <c r="P60" s="7">
        <v>15.95</v>
      </c>
      <c r="Q60" s="1">
        <v>44953</v>
      </c>
      <c r="R60">
        <f>WEEKNUM(Table2[[#This Row],[OrderDate]])</f>
        <v>4</v>
      </c>
      <c r="S60" s="1">
        <v>44960</v>
      </c>
      <c r="T60" t="s">
        <v>2918</v>
      </c>
    </row>
    <row r="61" spans="1:20" x14ac:dyDescent="0.35">
      <c r="A61" s="1">
        <v>45372</v>
      </c>
      <c r="B61" t="s">
        <v>2932</v>
      </c>
      <c r="C61" t="s">
        <v>19</v>
      </c>
      <c r="D61" s="9">
        <v>18</v>
      </c>
      <c r="E61" s="7">
        <v>316.89</v>
      </c>
      <c r="F61" t="s">
        <v>26</v>
      </c>
      <c r="G61" t="s">
        <v>30</v>
      </c>
      <c r="H61" s="12">
        <v>0.05</v>
      </c>
      <c r="I61" t="s">
        <v>37</v>
      </c>
      <c r="J61" s="7">
        <f>Table2[[#This Row],[UnitPrice]]*Table2[[#This Row],[Quantity]]*(1-Table2[[#This Row],[Discount]])</f>
        <v>5418.8189999999995</v>
      </c>
      <c r="K61" t="s">
        <v>42</v>
      </c>
      <c r="L61" t="s">
        <v>43</v>
      </c>
      <c r="M61">
        <v>0</v>
      </c>
      <c r="N61" t="s">
        <v>105</v>
      </c>
      <c r="O61" t="s">
        <v>1605</v>
      </c>
      <c r="P61" s="7">
        <v>15.69</v>
      </c>
      <c r="Q61" s="1">
        <v>45372</v>
      </c>
      <c r="R61">
        <f>WEEKNUM(Table2[[#This Row],[OrderDate]])</f>
        <v>12</v>
      </c>
      <c r="S61" s="1">
        <v>45378</v>
      </c>
      <c r="T61" t="s">
        <v>2918</v>
      </c>
    </row>
    <row r="62" spans="1:20" x14ac:dyDescent="0.35">
      <c r="A62" s="1">
        <v>45682</v>
      </c>
      <c r="B62" t="s">
        <v>2933</v>
      </c>
      <c r="C62" t="s">
        <v>19</v>
      </c>
      <c r="D62" s="9">
        <v>20</v>
      </c>
      <c r="E62" s="7">
        <v>295.06</v>
      </c>
      <c r="F62" t="s">
        <v>29</v>
      </c>
      <c r="G62" t="s">
        <v>31</v>
      </c>
      <c r="H62" s="12">
        <v>0.15</v>
      </c>
      <c r="I62" t="s">
        <v>34</v>
      </c>
      <c r="J62" s="7">
        <f>Table2[[#This Row],[UnitPrice]]*Table2[[#This Row],[Quantity]]*(1-Table2[[#This Row],[Discount]])</f>
        <v>5016.0199999999995</v>
      </c>
      <c r="K62" t="s">
        <v>38</v>
      </c>
      <c r="L62" t="s">
        <v>44</v>
      </c>
      <c r="M62">
        <v>1</v>
      </c>
      <c r="N62" t="s">
        <v>106</v>
      </c>
      <c r="O62" t="s">
        <v>1606</v>
      </c>
      <c r="P62" s="7">
        <v>13.66</v>
      </c>
      <c r="Q62" s="1">
        <v>45682</v>
      </c>
      <c r="R62">
        <f>WEEKNUM(Table2[[#This Row],[OrderDate]])</f>
        <v>4</v>
      </c>
      <c r="S62" s="1">
        <v>45688</v>
      </c>
      <c r="T62" t="s">
        <v>2921</v>
      </c>
    </row>
    <row r="63" spans="1:20" x14ac:dyDescent="0.35">
      <c r="A63" s="1">
        <v>45089</v>
      </c>
      <c r="B63" t="s">
        <v>2934</v>
      </c>
      <c r="C63" t="s">
        <v>20</v>
      </c>
      <c r="D63" s="9">
        <v>8</v>
      </c>
      <c r="E63" s="7">
        <v>301.68</v>
      </c>
      <c r="F63" t="s">
        <v>29</v>
      </c>
      <c r="G63" t="s">
        <v>31</v>
      </c>
      <c r="H63" s="12">
        <v>0</v>
      </c>
      <c r="I63" t="s">
        <v>32</v>
      </c>
      <c r="J63" s="7">
        <f>Table2[[#This Row],[UnitPrice]]*Table2[[#This Row],[Quantity]]*(1-Table2[[#This Row],[Discount]])</f>
        <v>2413.44</v>
      </c>
      <c r="K63" t="s">
        <v>42</v>
      </c>
      <c r="L63" t="s">
        <v>44</v>
      </c>
      <c r="M63">
        <v>0</v>
      </c>
      <c r="N63" t="s">
        <v>107</v>
      </c>
      <c r="O63" t="s">
        <v>1607</v>
      </c>
      <c r="P63" s="7">
        <v>36.54</v>
      </c>
      <c r="Q63" s="1">
        <v>45089</v>
      </c>
      <c r="R63">
        <f>WEEKNUM(Table2[[#This Row],[OrderDate]])</f>
        <v>24</v>
      </c>
      <c r="S63" s="1">
        <v>45098</v>
      </c>
      <c r="T63" t="s">
        <v>2920</v>
      </c>
    </row>
    <row r="64" spans="1:20" x14ac:dyDescent="0.35">
      <c r="A64" s="1">
        <v>45738</v>
      </c>
      <c r="B64" t="s">
        <v>2934</v>
      </c>
      <c r="C64" t="s">
        <v>22</v>
      </c>
      <c r="D64" s="9">
        <v>3</v>
      </c>
      <c r="E64" s="7">
        <v>475.39</v>
      </c>
      <c r="F64" t="s">
        <v>26</v>
      </c>
      <c r="G64" t="s">
        <v>31</v>
      </c>
      <c r="H64" s="12">
        <v>0.1</v>
      </c>
      <c r="I64" t="s">
        <v>33</v>
      </c>
      <c r="J64" s="7">
        <f>Table2[[#This Row],[UnitPrice]]*Table2[[#This Row],[Quantity]]*(1-Table2[[#This Row],[Discount]])</f>
        <v>1283.5530000000001</v>
      </c>
      <c r="K64" t="s">
        <v>39</v>
      </c>
      <c r="L64" t="s">
        <v>2937</v>
      </c>
      <c r="M64">
        <v>0</v>
      </c>
      <c r="N64" t="s">
        <v>108</v>
      </c>
      <c r="O64" t="s">
        <v>1608</v>
      </c>
      <c r="P64" s="7">
        <v>15.62</v>
      </c>
      <c r="Q64" s="1">
        <v>45738</v>
      </c>
      <c r="R64">
        <f>WEEKNUM(Table2[[#This Row],[OrderDate]])</f>
        <v>12</v>
      </c>
      <c r="S64" s="1">
        <v>45742</v>
      </c>
      <c r="T64" t="s">
        <v>2920</v>
      </c>
    </row>
    <row r="65" spans="1:20" x14ac:dyDescent="0.35">
      <c r="A65" s="1">
        <v>45346</v>
      </c>
      <c r="B65" t="s">
        <v>2934</v>
      </c>
      <c r="C65" t="s">
        <v>21</v>
      </c>
      <c r="D65" s="9">
        <v>16</v>
      </c>
      <c r="E65" s="7">
        <v>47.25</v>
      </c>
      <c r="F65" t="s">
        <v>29</v>
      </c>
      <c r="G65" t="s">
        <v>31</v>
      </c>
      <c r="H65" s="12">
        <v>0.15</v>
      </c>
      <c r="I65" t="s">
        <v>37</v>
      </c>
      <c r="J65" s="7">
        <f>Table2[[#This Row],[UnitPrice]]*Table2[[#This Row],[Quantity]]*(1-Table2[[#This Row],[Discount]])</f>
        <v>642.6</v>
      </c>
      <c r="K65" t="s">
        <v>41</v>
      </c>
      <c r="L65" t="s">
        <v>43</v>
      </c>
      <c r="M65">
        <v>0</v>
      </c>
      <c r="N65" t="s">
        <v>109</v>
      </c>
      <c r="O65" t="s">
        <v>1609</v>
      </c>
      <c r="P65" s="7">
        <v>29.5</v>
      </c>
      <c r="Q65" s="1">
        <v>45346</v>
      </c>
      <c r="R65">
        <f>WEEKNUM(Table2[[#This Row],[OrderDate]])</f>
        <v>8</v>
      </c>
      <c r="S65" s="1">
        <v>45349</v>
      </c>
      <c r="T65" t="s">
        <v>2920</v>
      </c>
    </row>
    <row r="66" spans="1:20" x14ac:dyDescent="0.35">
      <c r="A66" s="1">
        <v>45269</v>
      </c>
      <c r="B66" t="s">
        <v>2932</v>
      </c>
      <c r="C66" t="s">
        <v>22</v>
      </c>
      <c r="D66" s="9">
        <v>15</v>
      </c>
      <c r="E66" s="7">
        <v>511.17</v>
      </c>
      <c r="F66" t="s">
        <v>26</v>
      </c>
      <c r="G66" t="s">
        <v>30</v>
      </c>
      <c r="H66" s="12">
        <v>0</v>
      </c>
      <c r="I66" t="s">
        <v>34</v>
      </c>
      <c r="J66" s="7">
        <f>Table2[[#This Row],[UnitPrice]]*Table2[[#This Row],[Quantity]]*(1-Table2[[#This Row],[Discount]])</f>
        <v>7667.55</v>
      </c>
      <c r="K66" t="s">
        <v>38</v>
      </c>
      <c r="L66" t="s">
        <v>43</v>
      </c>
      <c r="M66">
        <v>0</v>
      </c>
      <c r="N66" t="s">
        <v>110</v>
      </c>
      <c r="O66" t="s">
        <v>1610</v>
      </c>
      <c r="P66" s="7">
        <v>21.77</v>
      </c>
      <c r="Q66" s="1">
        <v>45269</v>
      </c>
      <c r="R66">
        <f>WEEKNUM(Table2[[#This Row],[OrderDate]])</f>
        <v>49</v>
      </c>
      <c r="S66" s="1">
        <v>45272</v>
      </c>
      <c r="T66" t="s">
        <v>2918</v>
      </c>
    </row>
    <row r="67" spans="1:20" x14ac:dyDescent="0.35">
      <c r="A67" s="1">
        <v>45200</v>
      </c>
      <c r="B67" t="s">
        <v>2934</v>
      </c>
      <c r="C67" t="s">
        <v>23</v>
      </c>
      <c r="D67" s="9">
        <v>3</v>
      </c>
      <c r="E67" s="7">
        <v>66.58</v>
      </c>
      <c r="F67" t="s">
        <v>26</v>
      </c>
      <c r="G67" t="s">
        <v>31</v>
      </c>
      <c r="H67" s="12">
        <v>0.1</v>
      </c>
      <c r="I67" t="s">
        <v>34</v>
      </c>
      <c r="J67" s="7">
        <f>Table2[[#This Row],[UnitPrice]]*Table2[[#This Row],[Quantity]]*(1-Table2[[#This Row],[Discount]])</f>
        <v>179.76600000000002</v>
      </c>
      <c r="K67" t="s">
        <v>41</v>
      </c>
      <c r="L67" t="s">
        <v>43</v>
      </c>
      <c r="M67">
        <v>0</v>
      </c>
      <c r="N67" t="s">
        <v>111</v>
      </c>
      <c r="O67" t="s">
        <v>1611</v>
      </c>
      <c r="P67" s="7">
        <v>22.43</v>
      </c>
      <c r="Q67" s="1">
        <v>45200</v>
      </c>
      <c r="R67">
        <f>WEEKNUM(Table2[[#This Row],[OrderDate]])</f>
        <v>40</v>
      </c>
      <c r="S67" s="1">
        <v>45204</v>
      </c>
      <c r="T67" t="s">
        <v>2920</v>
      </c>
    </row>
    <row r="68" spans="1:20" x14ac:dyDescent="0.35">
      <c r="A68" s="1">
        <v>45138</v>
      </c>
      <c r="B68" t="s">
        <v>2933</v>
      </c>
      <c r="C68" t="s">
        <v>24</v>
      </c>
      <c r="D68" s="9">
        <v>5</v>
      </c>
      <c r="E68" s="7">
        <v>490.52</v>
      </c>
      <c r="F68" t="s">
        <v>29</v>
      </c>
      <c r="G68" t="s">
        <v>30</v>
      </c>
      <c r="H68" s="12">
        <v>0.05</v>
      </c>
      <c r="I68" t="s">
        <v>34</v>
      </c>
      <c r="J68" s="7">
        <f>Table2[[#This Row],[UnitPrice]]*Table2[[#This Row],[Quantity]]*(1-Table2[[#This Row],[Discount]])</f>
        <v>2329.9699999999998</v>
      </c>
      <c r="K68" t="s">
        <v>38</v>
      </c>
      <c r="L68" t="s">
        <v>2937</v>
      </c>
      <c r="M68">
        <v>0</v>
      </c>
      <c r="N68" t="s">
        <v>112</v>
      </c>
      <c r="O68" t="s">
        <v>1612</v>
      </c>
      <c r="P68" s="7">
        <v>12.24</v>
      </c>
      <c r="Q68" s="1">
        <v>45138</v>
      </c>
      <c r="R68">
        <f>WEEKNUM(Table2[[#This Row],[OrderDate]])</f>
        <v>31</v>
      </c>
      <c r="S68" s="1">
        <v>45145</v>
      </c>
      <c r="T68" t="s">
        <v>2921</v>
      </c>
    </row>
    <row r="69" spans="1:20" x14ac:dyDescent="0.35">
      <c r="A69" s="1">
        <v>45650</v>
      </c>
      <c r="B69" t="s">
        <v>2932</v>
      </c>
      <c r="C69" t="s">
        <v>22</v>
      </c>
      <c r="D69" s="9">
        <v>8</v>
      </c>
      <c r="E69" s="7">
        <v>405.96</v>
      </c>
      <c r="F69" t="s">
        <v>27</v>
      </c>
      <c r="G69" t="s">
        <v>30</v>
      </c>
      <c r="H69" s="12">
        <v>0.05</v>
      </c>
      <c r="I69" t="s">
        <v>35</v>
      </c>
      <c r="J69" s="7">
        <f>Table2[[#This Row],[UnitPrice]]*Table2[[#This Row],[Quantity]]*(1-Table2[[#This Row],[Discount]])</f>
        <v>3085.2959999999998</v>
      </c>
      <c r="K69" t="s">
        <v>40</v>
      </c>
      <c r="L69" t="s">
        <v>45</v>
      </c>
      <c r="M69">
        <v>0</v>
      </c>
      <c r="N69" t="s">
        <v>113</v>
      </c>
      <c r="O69" t="s">
        <v>1613</v>
      </c>
      <c r="P69" s="7">
        <v>41.27</v>
      </c>
      <c r="Q69" s="1">
        <v>45650</v>
      </c>
      <c r="R69">
        <f>WEEKNUM(Table2[[#This Row],[OrderDate]])</f>
        <v>52</v>
      </c>
      <c r="S69" s="1">
        <v>45657</v>
      </c>
      <c r="T69" t="s">
        <v>2918</v>
      </c>
    </row>
    <row r="70" spans="1:20" x14ac:dyDescent="0.35">
      <c r="A70" s="1">
        <v>45611</v>
      </c>
      <c r="B70" t="s">
        <v>2931</v>
      </c>
      <c r="C70" t="s">
        <v>20</v>
      </c>
      <c r="D70" s="9">
        <v>1</v>
      </c>
      <c r="E70" s="7">
        <v>159.41</v>
      </c>
      <c r="F70" t="s">
        <v>26</v>
      </c>
      <c r="G70" t="s">
        <v>31</v>
      </c>
      <c r="H70" s="12">
        <v>0.1</v>
      </c>
      <c r="I70" t="s">
        <v>37</v>
      </c>
      <c r="J70" s="7">
        <f>Table2[[#This Row],[UnitPrice]]*Table2[[#This Row],[Quantity]]*(1-Table2[[#This Row],[Discount]])</f>
        <v>143.46899999999999</v>
      </c>
      <c r="K70" t="s">
        <v>40</v>
      </c>
      <c r="L70" t="s">
        <v>43</v>
      </c>
      <c r="M70">
        <v>0</v>
      </c>
      <c r="N70" t="s">
        <v>114</v>
      </c>
      <c r="O70" t="s">
        <v>1614</v>
      </c>
      <c r="P70" s="7">
        <v>35.14</v>
      </c>
      <c r="Q70" s="1">
        <v>45611</v>
      </c>
      <c r="R70">
        <f>WEEKNUM(Table2[[#This Row],[OrderDate]])</f>
        <v>46</v>
      </c>
      <c r="S70" s="1">
        <v>45615</v>
      </c>
      <c r="T70" t="s">
        <v>2919</v>
      </c>
    </row>
    <row r="71" spans="1:20" x14ac:dyDescent="0.35">
      <c r="A71" s="1">
        <v>45729</v>
      </c>
      <c r="B71" t="s">
        <v>2933</v>
      </c>
      <c r="C71" t="s">
        <v>23</v>
      </c>
      <c r="D71" s="9">
        <v>16</v>
      </c>
      <c r="E71" s="7">
        <v>38.49</v>
      </c>
      <c r="F71" t="s">
        <v>28</v>
      </c>
      <c r="G71" t="s">
        <v>31</v>
      </c>
      <c r="H71" s="12">
        <v>0.15</v>
      </c>
      <c r="I71" t="s">
        <v>35</v>
      </c>
      <c r="J71" s="7">
        <f>Table2[[#This Row],[UnitPrice]]*Table2[[#This Row],[Quantity]]*(1-Table2[[#This Row],[Discount]])</f>
        <v>523.46400000000006</v>
      </c>
      <c r="K71" t="s">
        <v>41</v>
      </c>
      <c r="L71" t="s">
        <v>44</v>
      </c>
      <c r="M71">
        <v>0</v>
      </c>
      <c r="N71" t="s">
        <v>115</v>
      </c>
      <c r="O71" t="s">
        <v>1615</v>
      </c>
      <c r="P71" s="7">
        <v>8.3800000000000008</v>
      </c>
      <c r="Q71" s="1">
        <v>45729</v>
      </c>
      <c r="R71">
        <f>WEEKNUM(Table2[[#This Row],[OrderDate]])</f>
        <v>11</v>
      </c>
      <c r="S71" s="1">
        <v>45738</v>
      </c>
      <c r="T71" t="s">
        <v>2921</v>
      </c>
    </row>
    <row r="72" spans="1:20" x14ac:dyDescent="0.35">
      <c r="A72" s="1">
        <v>45354</v>
      </c>
      <c r="B72" t="s">
        <v>2930</v>
      </c>
      <c r="C72" t="s">
        <v>24</v>
      </c>
      <c r="D72" s="9">
        <v>15</v>
      </c>
      <c r="E72" s="7">
        <v>328.36</v>
      </c>
      <c r="F72" t="s">
        <v>29</v>
      </c>
      <c r="G72" t="s">
        <v>31</v>
      </c>
      <c r="H72" s="12">
        <v>0.15</v>
      </c>
      <c r="I72" t="s">
        <v>33</v>
      </c>
      <c r="J72" s="7">
        <f>Table2[[#This Row],[UnitPrice]]*Table2[[#This Row],[Quantity]]*(1-Table2[[#This Row],[Discount]])</f>
        <v>4186.59</v>
      </c>
      <c r="K72" t="s">
        <v>39</v>
      </c>
      <c r="L72" t="s">
        <v>45</v>
      </c>
      <c r="M72">
        <v>0</v>
      </c>
      <c r="N72" t="s">
        <v>116</v>
      </c>
      <c r="O72" t="s">
        <v>1616</v>
      </c>
      <c r="P72" s="7">
        <v>15.76</v>
      </c>
      <c r="Q72" s="1">
        <v>45354</v>
      </c>
      <c r="R72">
        <f>WEEKNUM(Table2[[#This Row],[OrderDate]])</f>
        <v>10</v>
      </c>
      <c r="S72" s="1">
        <v>45363</v>
      </c>
      <c r="T72" t="s">
        <v>2917</v>
      </c>
    </row>
    <row r="73" spans="1:20" x14ac:dyDescent="0.35">
      <c r="A73" s="1">
        <v>44968</v>
      </c>
      <c r="B73" t="s">
        <v>2934</v>
      </c>
      <c r="C73" t="s">
        <v>24</v>
      </c>
      <c r="D73" s="9">
        <v>20</v>
      </c>
      <c r="E73" s="7">
        <v>548.01</v>
      </c>
      <c r="F73" t="s">
        <v>27</v>
      </c>
      <c r="G73" t="s">
        <v>30</v>
      </c>
      <c r="H73" s="12">
        <v>0.1</v>
      </c>
      <c r="I73" t="s">
        <v>32</v>
      </c>
      <c r="J73" s="7">
        <f>Table2[[#This Row],[UnitPrice]]*Table2[[#This Row],[Quantity]]*(1-Table2[[#This Row],[Discount]])</f>
        <v>9864.18</v>
      </c>
      <c r="K73" t="s">
        <v>40</v>
      </c>
      <c r="L73" t="s">
        <v>45</v>
      </c>
      <c r="M73">
        <v>1</v>
      </c>
      <c r="N73" t="s">
        <v>117</v>
      </c>
      <c r="O73" t="s">
        <v>1617</v>
      </c>
      <c r="P73" s="7">
        <v>5.89</v>
      </c>
      <c r="Q73" s="1">
        <v>44968</v>
      </c>
      <c r="R73">
        <f>WEEKNUM(Table2[[#This Row],[OrderDate]])</f>
        <v>6</v>
      </c>
      <c r="S73" s="1">
        <v>44971</v>
      </c>
      <c r="T73" t="s">
        <v>2920</v>
      </c>
    </row>
    <row r="74" spans="1:20" x14ac:dyDescent="0.35">
      <c r="A74" s="1">
        <v>45225</v>
      </c>
      <c r="B74" t="s">
        <v>2932</v>
      </c>
      <c r="C74" t="s">
        <v>21</v>
      </c>
      <c r="D74" s="9">
        <v>13</v>
      </c>
      <c r="E74" s="7">
        <v>484.45</v>
      </c>
      <c r="F74" t="s">
        <v>26</v>
      </c>
      <c r="G74" t="s">
        <v>30</v>
      </c>
      <c r="H74" s="12">
        <v>0.05</v>
      </c>
      <c r="I74" t="s">
        <v>35</v>
      </c>
      <c r="J74" s="7">
        <f>Table2[[#This Row],[UnitPrice]]*Table2[[#This Row],[Quantity]]*(1-Table2[[#This Row],[Discount]])</f>
        <v>5982.9574999999995</v>
      </c>
      <c r="K74" t="s">
        <v>39</v>
      </c>
      <c r="L74" t="s">
        <v>45</v>
      </c>
      <c r="M74">
        <v>1</v>
      </c>
      <c r="N74" t="s">
        <v>118</v>
      </c>
      <c r="O74" t="s">
        <v>1618</v>
      </c>
      <c r="P74" s="7">
        <v>6.57</v>
      </c>
      <c r="Q74" s="1">
        <v>45225</v>
      </c>
      <c r="R74">
        <f>WEEKNUM(Table2[[#This Row],[OrderDate]])</f>
        <v>43</v>
      </c>
      <c r="S74" s="1">
        <v>45235</v>
      </c>
      <c r="T74" t="s">
        <v>2918</v>
      </c>
    </row>
    <row r="75" spans="1:20" x14ac:dyDescent="0.35">
      <c r="A75" s="1">
        <v>45220</v>
      </c>
      <c r="B75" t="s">
        <v>2932</v>
      </c>
      <c r="C75" t="s">
        <v>23</v>
      </c>
      <c r="D75" s="9">
        <v>13</v>
      </c>
      <c r="E75" s="7">
        <v>195.84</v>
      </c>
      <c r="F75" t="s">
        <v>27</v>
      </c>
      <c r="G75" t="s">
        <v>30</v>
      </c>
      <c r="H75" s="12">
        <v>0.05</v>
      </c>
      <c r="I75" t="s">
        <v>33</v>
      </c>
      <c r="J75" s="7">
        <f>Table2[[#This Row],[UnitPrice]]*Table2[[#This Row],[Quantity]]*(1-Table2[[#This Row],[Discount]])</f>
        <v>2418.6239999999998</v>
      </c>
      <c r="K75" t="s">
        <v>40</v>
      </c>
      <c r="L75" t="s">
        <v>2937</v>
      </c>
      <c r="M75">
        <v>0</v>
      </c>
      <c r="N75" t="s">
        <v>119</v>
      </c>
      <c r="O75" t="s">
        <v>1619</v>
      </c>
      <c r="P75" s="7">
        <v>33.520000000000003</v>
      </c>
      <c r="Q75" s="1">
        <v>45220</v>
      </c>
      <c r="R75">
        <f>WEEKNUM(Table2[[#This Row],[OrderDate]])</f>
        <v>42</v>
      </c>
      <c r="S75" s="1">
        <v>45227</v>
      </c>
      <c r="T75" t="s">
        <v>2918</v>
      </c>
    </row>
    <row r="76" spans="1:20" x14ac:dyDescent="0.35">
      <c r="A76" s="1">
        <v>45305</v>
      </c>
      <c r="B76" t="s">
        <v>2934</v>
      </c>
      <c r="C76" t="s">
        <v>24</v>
      </c>
      <c r="D76" s="9">
        <v>19</v>
      </c>
      <c r="E76" s="7">
        <v>29.94</v>
      </c>
      <c r="F76" t="s">
        <v>29</v>
      </c>
      <c r="G76" t="s">
        <v>31</v>
      </c>
      <c r="H76" s="12">
        <v>0.15</v>
      </c>
      <c r="I76" t="s">
        <v>36</v>
      </c>
      <c r="J76" s="7">
        <f>Table2[[#This Row],[UnitPrice]]*Table2[[#This Row],[Quantity]]*(1-Table2[[#This Row],[Discount]])</f>
        <v>483.53100000000001</v>
      </c>
      <c r="K76" t="s">
        <v>41</v>
      </c>
      <c r="L76" t="s">
        <v>43</v>
      </c>
      <c r="M76">
        <v>0</v>
      </c>
      <c r="N76" t="s">
        <v>120</v>
      </c>
      <c r="O76" t="s">
        <v>1620</v>
      </c>
      <c r="P76" s="7">
        <v>33.590000000000003</v>
      </c>
      <c r="Q76" s="1">
        <v>45305</v>
      </c>
      <c r="R76">
        <f>WEEKNUM(Table2[[#This Row],[OrderDate]])</f>
        <v>3</v>
      </c>
      <c r="S76" s="1">
        <v>45311</v>
      </c>
      <c r="T76" t="s">
        <v>2920</v>
      </c>
    </row>
    <row r="77" spans="1:20" x14ac:dyDescent="0.35">
      <c r="A77" s="1">
        <v>45134</v>
      </c>
      <c r="B77" t="s">
        <v>2934</v>
      </c>
      <c r="C77" t="s">
        <v>21</v>
      </c>
      <c r="D77" s="9">
        <v>10</v>
      </c>
      <c r="E77" s="7">
        <v>553.91</v>
      </c>
      <c r="F77" t="s">
        <v>29</v>
      </c>
      <c r="G77" t="s">
        <v>30</v>
      </c>
      <c r="H77" s="12">
        <v>0.1</v>
      </c>
      <c r="I77" t="s">
        <v>32</v>
      </c>
      <c r="J77" s="7">
        <f>Table2[[#This Row],[UnitPrice]]*Table2[[#This Row],[Quantity]]*(1-Table2[[#This Row],[Discount]])</f>
        <v>4985.1899999999996</v>
      </c>
      <c r="K77" t="s">
        <v>38</v>
      </c>
      <c r="L77" t="s">
        <v>2937</v>
      </c>
      <c r="M77">
        <v>0</v>
      </c>
      <c r="N77" t="s">
        <v>121</v>
      </c>
      <c r="O77" t="s">
        <v>1621</v>
      </c>
      <c r="P77" s="7">
        <v>31.3</v>
      </c>
      <c r="Q77" s="1">
        <v>45134</v>
      </c>
      <c r="R77">
        <f>WEEKNUM(Table2[[#This Row],[OrderDate]])</f>
        <v>30</v>
      </c>
      <c r="S77" s="1">
        <v>45138</v>
      </c>
      <c r="T77" t="s">
        <v>2920</v>
      </c>
    </row>
    <row r="78" spans="1:20" x14ac:dyDescent="0.35">
      <c r="A78" s="1">
        <v>45588</v>
      </c>
      <c r="B78" t="s">
        <v>2932</v>
      </c>
      <c r="C78" t="s">
        <v>20</v>
      </c>
      <c r="D78" s="9">
        <v>14</v>
      </c>
      <c r="E78" s="7">
        <v>445.52</v>
      </c>
      <c r="F78" t="s">
        <v>26</v>
      </c>
      <c r="G78" t="s">
        <v>31</v>
      </c>
      <c r="H78" s="12">
        <v>0.1</v>
      </c>
      <c r="I78" t="s">
        <v>37</v>
      </c>
      <c r="J78" s="7">
        <f>Table2[[#This Row],[UnitPrice]]*Table2[[#This Row],[Quantity]]*(1-Table2[[#This Row],[Discount]])</f>
        <v>5613.5519999999997</v>
      </c>
      <c r="K78" t="s">
        <v>38</v>
      </c>
      <c r="L78" t="s">
        <v>44</v>
      </c>
      <c r="M78">
        <v>0</v>
      </c>
      <c r="N78" t="s">
        <v>122</v>
      </c>
      <c r="O78" t="s">
        <v>1622</v>
      </c>
      <c r="P78" s="7">
        <v>14.41</v>
      </c>
      <c r="Q78" s="1">
        <v>45588</v>
      </c>
      <c r="R78">
        <f>WEEKNUM(Table2[[#This Row],[OrderDate]])</f>
        <v>43</v>
      </c>
      <c r="S78" s="1">
        <v>45590</v>
      </c>
      <c r="T78" t="s">
        <v>2918</v>
      </c>
    </row>
    <row r="79" spans="1:20" x14ac:dyDescent="0.35">
      <c r="A79" s="1">
        <v>45195</v>
      </c>
      <c r="B79" t="s">
        <v>2932</v>
      </c>
      <c r="C79" t="s">
        <v>22</v>
      </c>
      <c r="D79" s="9">
        <v>5</v>
      </c>
      <c r="E79" s="7">
        <v>551.58000000000004</v>
      </c>
      <c r="F79" t="s">
        <v>26</v>
      </c>
      <c r="G79" t="s">
        <v>31</v>
      </c>
      <c r="H79" s="12">
        <v>0.15</v>
      </c>
      <c r="I79" t="s">
        <v>33</v>
      </c>
      <c r="J79" s="7">
        <f>Table2[[#This Row],[UnitPrice]]*Table2[[#This Row],[Quantity]]*(1-Table2[[#This Row],[Discount]])</f>
        <v>2344.2150000000001</v>
      </c>
      <c r="K79" t="s">
        <v>38</v>
      </c>
      <c r="L79" t="s">
        <v>45</v>
      </c>
      <c r="M79">
        <v>1</v>
      </c>
      <c r="N79" t="s">
        <v>123</v>
      </c>
      <c r="O79" t="s">
        <v>1623</v>
      </c>
      <c r="P79" s="7">
        <v>7.87</v>
      </c>
      <c r="Q79" s="1">
        <v>45195</v>
      </c>
      <c r="R79">
        <f>WEEKNUM(Table2[[#This Row],[OrderDate]])</f>
        <v>39</v>
      </c>
      <c r="S79" s="1">
        <v>45200</v>
      </c>
      <c r="T79" t="s">
        <v>2918</v>
      </c>
    </row>
    <row r="80" spans="1:20" x14ac:dyDescent="0.35">
      <c r="A80" s="1">
        <v>45276</v>
      </c>
      <c r="B80" t="s">
        <v>2930</v>
      </c>
      <c r="C80" t="s">
        <v>20</v>
      </c>
      <c r="D80" s="9">
        <v>13</v>
      </c>
      <c r="E80" s="7">
        <v>241.4</v>
      </c>
      <c r="F80" t="s">
        <v>29</v>
      </c>
      <c r="G80" t="s">
        <v>31</v>
      </c>
      <c r="H80" s="12">
        <v>0</v>
      </c>
      <c r="I80" t="s">
        <v>35</v>
      </c>
      <c r="J80" s="7">
        <f>Table2[[#This Row],[UnitPrice]]*Table2[[#This Row],[Quantity]]*(1-Table2[[#This Row],[Discount]])</f>
        <v>3138.2000000000003</v>
      </c>
      <c r="K80" t="s">
        <v>39</v>
      </c>
      <c r="L80" t="s">
        <v>44</v>
      </c>
      <c r="M80">
        <v>0</v>
      </c>
      <c r="N80" t="s">
        <v>124</v>
      </c>
      <c r="O80" t="s">
        <v>1624</v>
      </c>
      <c r="P80" s="7">
        <v>49.05</v>
      </c>
      <c r="Q80" s="1">
        <v>45276</v>
      </c>
      <c r="R80">
        <f>WEEKNUM(Table2[[#This Row],[OrderDate]])</f>
        <v>50</v>
      </c>
      <c r="S80" s="1">
        <v>45280</v>
      </c>
      <c r="T80" t="s">
        <v>2917</v>
      </c>
    </row>
    <row r="81" spans="1:20" x14ac:dyDescent="0.35">
      <c r="A81" s="1">
        <v>45293</v>
      </c>
      <c r="B81" t="s">
        <v>2934</v>
      </c>
      <c r="C81" t="s">
        <v>25</v>
      </c>
      <c r="D81" s="9">
        <v>19</v>
      </c>
      <c r="E81" s="7">
        <v>351.93</v>
      </c>
      <c r="F81" t="s">
        <v>27</v>
      </c>
      <c r="G81" t="s">
        <v>30</v>
      </c>
      <c r="H81" s="12">
        <v>0</v>
      </c>
      <c r="I81" t="s">
        <v>33</v>
      </c>
      <c r="J81" s="7">
        <f>Table2[[#This Row],[UnitPrice]]*Table2[[#This Row],[Quantity]]*(1-Table2[[#This Row],[Discount]])</f>
        <v>6686.67</v>
      </c>
      <c r="K81" t="s">
        <v>40</v>
      </c>
      <c r="L81" t="s">
        <v>2937</v>
      </c>
      <c r="M81">
        <v>0</v>
      </c>
      <c r="N81" t="s">
        <v>125</v>
      </c>
      <c r="O81" t="s">
        <v>1625</v>
      </c>
      <c r="P81" s="7">
        <v>39.979999999999997</v>
      </c>
      <c r="Q81" s="1">
        <v>45293</v>
      </c>
      <c r="R81">
        <f>WEEKNUM(Table2[[#This Row],[OrderDate]])</f>
        <v>1</v>
      </c>
      <c r="S81" s="1">
        <v>45296</v>
      </c>
      <c r="T81" t="s">
        <v>2920</v>
      </c>
    </row>
    <row r="82" spans="1:20" x14ac:dyDescent="0.35">
      <c r="A82" s="1">
        <v>45338</v>
      </c>
      <c r="B82" t="s">
        <v>2931</v>
      </c>
      <c r="C82" t="s">
        <v>20</v>
      </c>
      <c r="D82" s="9">
        <v>4</v>
      </c>
      <c r="E82" s="7">
        <v>83.75</v>
      </c>
      <c r="F82" t="s">
        <v>27</v>
      </c>
      <c r="G82" t="s">
        <v>31</v>
      </c>
      <c r="H82" s="12">
        <v>0.05</v>
      </c>
      <c r="I82" t="s">
        <v>33</v>
      </c>
      <c r="J82" s="7">
        <f>Table2[[#This Row],[UnitPrice]]*Table2[[#This Row],[Quantity]]*(1-Table2[[#This Row],[Discount]])</f>
        <v>318.25</v>
      </c>
      <c r="K82" t="s">
        <v>41</v>
      </c>
      <c r="L82" t="s">
        <v>44</v>
      </c>
      <c r="M82">
        <v>1</v>
      </c>
      <c r="N82" t="s">
        <v>126</v>
      </c>
      <c r="O82" t="s">
        <v>1626</v>
      </c>
      <c r="P82" s="7">
        <v>38.82</v>
      </c>
      <c r="Q82" s="1">
        <v>45338</v>
      </c>
      <c r="R82">
        <f>WEEKNUM(Table2[[#This Row],[OrderDate]])</f>
        <v>7</v>
      </c>
      <c r="S82" s="1">
        <v>45347</v>
      </c>
      <c r="T82" t="s">
        <v>2919</v>
      </c>
    </row>
    <row r="83" spans="1:20" x14ac:dyDescent="0.35">
      <c r="A83" s="1">
        <v>45415</v>
      </c>
      <c r="B83" t="s">
        <v>2930</v>
      </c>
      <c r="C83" t="s">
        <v>23</v>
      </c>
      <c r="D83" s="9">
        <v>5</v>
      </c>
      <c r="E83" s="7">
        <v>416.95</v>
      </c>
      <c r="F83" t="s">
        <v>27</v>
      </c>
      <c r="G83" t="s">
        <v>30</v>
      </c>
      <c r="H83" s="12">
        <v>0.15</v>
      </c>
      <c r="I83" t="s">
        <v>34</v>
      </c>
      <c r="J83" s="7">
        <f>Table2[[#This Row],[UnitPrice]]*Table2[[#This Row],[Quantity]]*(1-Table2[[#This Row],[Discount]])</f>
        <v>1772.0374999999999</v>
      </c>
      <c r="K83" t="s">
        <v>38</v>
      </c>
      <c r="L83" t="s">
        <v>2937</v>
      </c>
      <c r="M83">
        <v>1</v>
      </c>
      <c r="N83" t="s">
        <v>127</v>
      </c>
      <c r="O83" t="s">
        <v>1627</v>
      </c>
      <c r="P83" s="7">
        <v>24.03</v>
      </c>
      <c r="Q83" s="1">
        <v>45415</v>
      </c>
      <c r="R83">
        <f>WEEKNUM(Table2[[#This Row],[OrderDate]])</f>
        <v>18</v>
      </c>
      <c r="S83" s="1">
        <v>45424</v>
      </c>
      <c r="T83" t="s">
        <v>2917</v>
      </c>
    </row>
    <row r="84" spans="1:20" x14ac:dyDescent="0.35">
      <c r="A84" s="1">
        <v>45073</v>
      </c>
      <c r="B84" t="s">
        <v>2933</v>
      </c>
      <c r="C84" t="s">
        <v>23</v>
      </c>
      <c r="D84" s="9">
        <v>18</v>
      </c>
      <c r="E84" s="7">
        <v>142.43</v>
      </c>
      <c r="F84" t="s">
        <v>28</v>
      </c>
      <c r="G84" t="s">
        <v>31</v>
      </c>
      <c r="H84" s="12">
        <v>0.05</v>
      </c>
      <c r="I84" t="s">
        <v>37</v>
      </c>
      <c r="J84" s="7">
        <f>Table2[[#This Row],[UnitPrice]]*Table2[[#This Row],[Quantity]]*(1-Table2[[#This Row],[Discount]])</f>
        <v>2435.5529999999999</v>
      </c>
      <c r="K84" t="s">
        <v>40</v>
      </c>
      <c r="L84" t="s">
        <v>44</v>
      </c>
      <c r="M84">
        <v>1</v>
      </c>
      <c r="N84" t="s">
        <v>128</v>
      </c>
      <c r="O84" t="s">
        <v>1628</v>
      </c>
      <c r="P84" s="7">
        <v>12.38</v>
      </c>
      <c r="Q84" s="1">
        <v>45073</v>
      </c>
      <c r="R84">
        <f>WEEKNUM(Table2[[#This Row],[OrderDate]])</f>
        <v>21</v>
      </c>
      <c r="S84" s="1">
        <v>45079</v>
      </c>
      <c r="T84" t="s">
        <v>2921</v>
      </c>
    </row>
    <row r="85" spans="1:20" x14ac:dyDescent="0.35">
      <c r="A85" s="1">
        <v>44931</v>
      </c>
      <c r="B85" t="s">
        <v>2930</v>
      </c>
      <c r="C85" t="s">
        <v>21</v>
      </c>
      <c r="D85" s="9">
        <v>12</v>
      </c>
      <c r="E85" s="7">
        <v>582.52</v>
      </c>
      <c r="F85" t="s">
        <v>27</v>
      </c>
      <c r="G85" t="s">
        <v>30</v>
      </c>
      <c r="H85" s="12">
        <v>0</v>
      </c>
      <c r="I85" t="s">
        <v>37</v>
      </c>
      <c r="J85" s="7">
        <f>Table2[[#This Row],[UnitPrice]]*Table2[[#This Row],[Quantity]]*(1-Table2[[#This Row],[Discount]])</f>
        <v>6990.24</v>
      </c>
      <c r="K85" t="s">
        <v>40</v>
      </c>
      <c r="L85" t="s">
        <v>43</v>
      </c>
      <c r="M85">
        <v>0</v>
      </c>
      <c r="N85" t="s">
        <v>129</v>
      </c>
      <c r="O85" t="s">
        <v>1629</v>
      </c>
      <c r="P85" s="7">
        <v>41.16</v>
      </c>
      <c r="Q85" s="1">
        <v>44931</v>
      </c>
      <c r="R85">
        <f>WEEKNUM(Table2[[#This Row],[OrderDate]])</f>
        <v>1</v>
      </c>
      <c r="S85" s="1">
        <v>44937</v>
      </c>
      <c r="T85" t="s">
        <v>2917</v>
      </c>
    </row>
    <row r="86" spans="1:20" x14ac:dyDescent="0.35">
      <c r="A86" s="1">
        <v>45798</v>
      </c>
      <c r="B86" t="s">
        <v>2930</v>
      </c>
      <c r="C86" t="s">
        <v>22</v>
      </c>
      <c r="D86" s="9">
        <v>20</v>
      </c>
      <c r="E86" s="7">
        <v>129.56</v>
      </c>
      <c r="F86" t="s">
        <v>27</v>
      </c>
      <c r="G86" t="s">
        <v>31</v>
      </c>
      <c r="H86" s="12">
        <v>0.15</v>
      </c>
      <c r="I86" t="s">
        <v>36</v>
      </c>
      <c r="J86" s="7">
        <f>Table2[[#This Row],[UnitPrice]]*Table2[[#This Row],[Quantity]]*(1-Table2[[#This Row],[Discount]])</f>
        <v>2202.52</v>
      </c>
      <c r="K86" t="s">
        <v>38</v>
      </c>
      <c r="L86" t="s">
        <v>45</v>
      </c>
      <c r="M86">
        <v>0</v>
      </c>
      <c r="N86" t="s">
        <v>130</v>
      </c>
      <c r="O86" t="s">
        <v>1630</v>
      </c>
      <c r="P86" s="7">
        <v>40.21</v>
      </c>
      <c r="Q86" s="1">
        <v>45798</v>
      </c>
      <c r="R86">
        <f>WEEKNUM(Table2[[#This Row],[OrderDate]])</f>
        <v>21</v>
      </c>
      <c r="S86" s="1">
        <v>45800</v>
      </c>
      <c r="T86" t="s">
        <v>2917</v>
      </c>
    </row>
    <row r="87" spans="1:20" x14ac:dyDescent="0.35">
      <c r="A87" s="1">
        <v>45128</v>
      </c>
      <c r="B87" t="s">
        <v>2934</v>
      </c>
      <c r="C87" t="s">
        <v>24</v>
      </c>
      <c r="D87" s="9">
        <v>17</v>
      </c>
      <c r="E87" s="7">
        <v>431.82</v>
      </c>
      <c r="F87" t="s">
        <v>26</v>
      </c>
      <c r="G87" t="s">
        <v>31</v>
      </c>
      <c r="H87" s="12">
        <v>0</v>
      </c>
      <c r="I87" t="s">
        <v>32</v>
      </c>
      <c r="J87" s="7">
        <f>Table2[[#This Row],[UnitPrice]]*Table2[[#This Row],[Quantity]]*(1-Table2[[#This Row],[Discount]])</f>
        <v>7340.94</v>
      </c>
      <c r="K87" t="s">
        <v>39</v>
      </c>
      <c r="L87" t="s">
        <v>43</v>
      </c>
      <c r="M87">
        <v>1</v>
      </c>
      <c r="N87" t="s">
        <v>131</v>
      </c>
      <c r="O87" t="s">
        <v>1631</v>
      </c>
      <c r="P87" s="7">
        <v>37.75</v>
      </c>
      <c r="Q87" s="1">
        <v>45128</v>
      </c>
      <c r="R87">
        <f>WEEKNUM(Table2[[#This Row],[OrderDate]])</f>
        <v>29</v>
      </c>
      <c r="S87" s="1">
        <v>45132</v>
      </c>
      <c r="T87" t="s">
        <v>2920</v>
      </c>
    </row>
    <row r="88" spans="1:20" x14ac:dyDescent="0.35">
      <c r="A88" s="1">
        <v>45802</v>
      </c>
      <c r="B88" t="s">
        <v>2930</v>
      </c>
      <c r="C88" t="s">
        <v>19</v>
      </c>
      <c r="D88" s="9">
        <v>15</v>
      </c>
      <c r="E88" s="7">
        <v>15.85</v>
      </c>
      <c r="F88" t="s">
        <v>28</v>
      </c>
      <c r="G88" t="s">
        <v>31</v>
      </c>
      <c r="H88" s="12">
        <v>0</v>
      </c>
      <c r="I88" t="s">
        <v>37</v>
      </c>
      <c r="J88" s="7">
        <f>Table2[[#This Row],[UnitPrice]]*Table2[[#This Row],[Quantity]]*(1-Table2[[#This Row],[Discount]])</f>
        <v>237.75</v>
      </c>
      <c r="K88" t="s">
        <v>41</v>
      </c>
      <c r="L88" t="s">
        <v>45</v>
      </c>
      <c r="M88">
        <v>0</v>
      </c>
      <c r="N88" t="s">
        <v>132</v>
      </c>
      <c r="O88" t="s">
        <v>1632</v>
      </c>
      <c r="P88" s="7">
        <v>23.49</v>
      </c>
      <c r="Q88" s="1">
        <v>45802</v>
      </c>
      <c r="R88">
        <f>WEEKNUM(Table2[[#This Row],[OrderDate]])</f>
        <v>22</v>
      </c>
      <c r="S88" s="1">
        <v>45811</v>
      </c>
      <c r="T88" t="s">
        <v>2917</v>
      </c>
    </row>
    <row r="89" spans="1:20" x14ac:dyDescent="0.35">
      <c r="A89" s="1">
        <v>45612</v>
      </c>
      <c r="B89" t="s">
        <v>2932</v>
      </c>
      <c r="C89" t="s">
        <v>24</v>
      </c>
      <c r="D89" s="9">
        <v>20</v>
      </c>
      <c r="E89" s="7">
        <v>548.34</v>
      </c>
      <c r="F89" t="s">
        <v>26</v>
      </c>
      <c r="G89" t="s">
        <v>31</v>
      </c>
      <c r="H89" s="12">
        <v>0.1</v>
      </c>
      <c r="I89" t="s">
        <v>37</v>
      </c>
      <c r="J89" s="7">
        <f>Table2[[#This Row],[UnitPrice]]*Table2[[#This Row],[Quantity]]*(1-Table2[[#This Row],[Discount]])</f>
        <v>9870.1200000000008</v>
      </c>
      <c r="K89" t="s">
        <v>39</v>
      </c>
      <c r="L89" t="s">
        <v>45</v>
      </c>
      <c r="M89">
        <v>0</v>
      </c>
      <c r="N89" t="s">
        <v>133</v>
      </c>
      <c r="O89" t="s">
        <v>1633</v>
      </c>
      <c r="P89" s="7">
        <v>33.47</v>
      </c>
      <c r="Q89" s="1">
        <v>45612</v>
      </c>
      <c r="R89">
        <f>WEEKNUM(Table2[[#This Row],[OrderDate]])</f>
        <v>46</v>
      </c>
      <c r="S89" s="1">
        <v>45618</v>
      </c>
      <c r="T89" t="s">
        <v>2918</v>
      </c>
    </row>
    <row r="90" spans="1:20" x14ac:dyDescent="0.35">
      <c r="A90" s="1">
        <v>45249</v>
      </c>
      <c r="B90" t="s">
        <v>2931</v>
      </c>
      <c r="C90" t="s">
        <v>19</v>
      </c>
      <c r="D90" s="9">
        <v>16</v>
      </c>
      <c r="E90" s="7">
        <v>525.83000000000004</v>
      </c>
      <c r="F90" t="s">
        <v>28</v>
      </c>
      <c r="G90" t="s">
        <v>30</v>
      </c>
      <c r="H90" s="12">
        <v>0.05</v>
      </c>
      <c r="I90" t="s">
        <v>34</v>
      </c>
      <c r="J90" s="7">
        <f>Table2[[#This Row],[UnitPrice]]*Table2[[#This Row],[Quantity]]*(1-Table2[[#This Row],[Discount]])</f>
        <v>7992.616</v>
      </c>
      <c r="K90" t="s">
        <v>38</v>
      </c>
      <c r="L90" t="s">
        <v>2937</v>
      </c>
      <c r="M90">
        <v>0</v>
      </c>
      <c r="N90" t="s">
        <v>134</v>
      </c>
      <c r="O90" t="s">
        <v>1634</v>
      </c>
      <c r="P90" s="7">
        <v>36.47</v>
      </c>
      <c r="Q90" s="1">
        <v>45249</v>
      </c>
      <c r="R90">
        <f>WEEKNUM(Table2[[#This Row],[OrderDate]])</f>
        <v>47</v>
      </c>
      <c r="S90" s="1">
        <v>45255</v>
      </c>
      <c r="T90" t="s">
        <v>2919</v>
      </c>
    </row>
    <row r="91" spans="1:20" x14ac:dyDescent="0.35">
      <c r="A91" s="1">
        <v>45669</v>
      </c>
      <c r="B91" t="s">
        <v>2934</v>
      </c>
      <c r="C91" t="s">
        <v>19</v>
      </c>
      <c r="D91" s="9">
        <v>15</v>
      </c>
      <c r="E91" s="7">
        <v>411.38</v>
      </c>
      <c r="F91" t="s">
        <v>27</v>
      </c>
      <c r="G91" t="s">
        <v>30</v>
      </c>
      <c r="H91" s="12">
        <v>0.05</v>
      </c>
      <c r="I91" t="s">
        <v>37</v>
      </c>
      <c r="J91" s="7">
        <f>Table2[[#This Row],[UnitPrice]]*Table2[[#This Row],[Quantity]]*(1-Table2[[#This Row],[Discount]])</f>
        <v>5862.165</v>
      </c>
      <c r="K91" t="s">
        <v>38</v>
      </c>
      <c r="L91" t="s">
        <v>44</v>
      </c>
      <c r="M91">
        <v>0</v>
      </c>
      <c r="N91" t="s">
        <v>135</v>
      </c>
      <c r="O91" t="s">
        <v>1635</v>
      </c>
      <c r="P91" s="7">
        <v>48.51</v>
      </c>
      <c r="Q91" s="1">
        <v>45669</v>
      </c>
      <c r="R91">
        <f>WEEKNUM(Table2[[#This Row],[OrderDate]])</f>
        <v>3</v>
      </c>
      <c r="S91" s="1">
        <v>45678</v>
      </c>
      <c r="T91" t="s">
        <v>2920</v>
      </c>
    </row>
    <row r="92" spans="1:20" x14ac:dyDescent="0.35">
      <c r="A92" s="1">
        <v>45014</v>
      </c>
      <c r="B92" t="s">
        <v>2931</v>
      </c>
      <c r="C92" t="s">
        <v>23</v>
      </c>
      <c r="D92" s="9">
        <v>19</v>
      </c>
      <c r="E92" s="7">
        <v>559.95000000000005</v>
      </c>
      <c r="F92" t="s">
        <v>27</v>
      </c>
      <c r="G92" t="s">
        <v>30</v>
      </c>
      <c r="H92" s="12">
        <v>0.1</v>
      </c>
      <c r="I92" t="s">
        <v>35</v>
      </c>
      <c r="J92" s="7">
        <f>Table2[[#This Row],[UnitPrice]]*Table2[[#This Row],[Quantity]]*(1-Table2[[#This Row],[Discount]])</f>
        <v>9575.1450000000004</v>
      </c>
      <c r="K92" t="s">
        <v>40</v>
      </c>
      <c r="L92" t="s">
        <v>45</v>
      </c>
      <c r="M92">
        <v>0</v>
      </c>
      <c r="N92" t="s">
        <v>136</v>
      </c>
      <c r="O92" t="s">
        <v>1636</v>
      </c>
      <c r="P92" s="7">
        <v>18.3</v>
      </c>
      <c r="Q92" s="1">
        <v>45014</v>
      </c>
      <c r="R92">
        <f>WEEKNUM(Table2[[#This Row],[OrderDate]])</f>
        <v>13</v>
      </c>
      <c r="S92" s="1">
        <v>45019</v>
      </c>
      <c r="T92" t="s">
        <v>2919</v>
      </c>
    </row>
    <row r="93" spans="1:20" x14ac:dyDescent="0.35">
      <c r="A93" s="1">
        <v>45717</v>
      </c>
      <c r="B93" t="s">
        <v>2931</v>
      </c>
      <c r="C93" t="s">
        <v>21</v>
      </c>
      <c r="D93" s="9">
        <v>8</v>
      </c>
      <c r="E93" s="7">
        <v>179.9</v>
      </c>
      <c r="F93" t="s">
        <v>28</v>
      </c>
      <c r="G93" t="s">
        <v>31</v>
      </c>
      <c r="H93" s="12">
        <v>0.05</v>
      </c>
      <c r="I93" t="s">
        <v>35</v>
      </c>
      <c r="J93" s="7">
        <f>Table2[[#This Row],[UnitPrice]]*Table2[[#This Row],[Quantity]]*(1-Table2[[#This Row],[Discount]])</f>
        <v>1367.24</v>
      </c>
      <c r="K93" t="s">
        <v>38</v>
      </c>
      <c r="L93" t="s">
        <v>44</v>
      </c>
      <c r="M93">
        <v>0</v>
      </c>
      <c r="N93" t="s">
        <v>137</v>
      </c>
      <c r="O93" t="s">
        <v>1637</v>
      </c>
      <c r="P93" s="7">
        <v>14.8</v>
      </c>
      <c r="Q93" s="1">
        <v>45717</v>
      </c>
      <c r="R93">
        <f>WEEKNUM(Table2[[#This Row],[OrderDate]])</f>
        <v>9</v>
      </c>
      <c r="S93" s="1">
        <v>45721</v>
      </c>
      <c r="T93" t="s">
        <v>2919</v>
      </c>
    </row>
    <row r="94" spans="1:20" x14ac:dyDescent="0.35">
      <c r="A94" s="1">
        <v>45217</v>
      </c>
      <c r="B94" t="s">
        <v>2931</v>
      </c>
      <c r="C94" t="s">
        <v>22</v>
      </c>
      <c r="D94" s="9">
        <v>12</v>
      </c>
      <c r="E94" s="7">
        <v>494.15</v>
      </c>
      <c r="F94" t="s">
        <v>26</v>
      </c>
      <c r="G94" t="s">
        <v>30</v>
      </c>
      <c r="H94" s="12">
        <v>0.15</v>
      </c>
      <c r="I94" t="s">
        <v>36</v>
      </c>
      <c r="J94" s="7">
        <f>Table2[[#This Row],[UnitPrice]]*Table2[[#This Row],[Quantity]]*(1-Table2[[#This Row],[Discount]])</f>
        <v>5040.329999999999</v>
      </c>
      <c r="K94" t="s">
        <v>38</v>
      </c>
      <c r="L94" t="s">
        <v>44</v>
      </c>
      <c r="M94">
        <v>1</v>
      </c>
      <c r="N94" t="s">
        <v>138</v>
      </c>
      <c r="O94" t="s">
        <v>1638</v>
      </c>
      <c r="P94" s="7">
        <v>18.05</v>
      </c>
      <c r="Q94" s="1">
        <v>45217</v>
      </c>
      <c r="R94">
        <f>WEEKNUM(Table2[[#This Row],[OrderDate]])</f>
        <v>42</v>
      </c>
      <c r="S94" s="1">
        <v>45219</v>
      </c>
      <c r="T94" t="s">
        <v>2919</v>
      </c>
    </row>
    <row r="95" spans="1:20" x14ac:dyDescent="0.35">
      <c r="A95" s="1">
        <v>45760</v>
      </c>
      <c r="B95" t="s">
        <v>2930</v>
      </c>
      <c r="C95" t="s">
        <v>21</v>
      </c>
      <c r="D95" s="9">
        <v>10</v>
      </c>
      <c r="E95" s="7">
        <v>462.99</v>
      </c>
      <c r="F95" t="s">
        <v>28</v>
      </c>
      <c r="G95" t="s">
        <v>30</v>
      </c>
      <c r="H95" s="12">
        <v>0</v>
      </c>
      <c r="I95" t="s">
        <v>37</v>
      </c>
      <c r="J95" s="7">
        <f>Table2[[#This Row],[UnitPrice]]*Table2[[#This Row],[Quantity]]*(1-Table2[[#This Row],[Discount]])</f>
        <v>4629.8999999999996</v>
      </c>
      <c r="K95" t="s">
        <v>40</v>
      </c>
      <c r="L95" t="s">
        <v>45</v>
      </c>
      <c r="M95">
        <v>0</v>
      </c>
      <c r="N95" t="s">
        <v>139</v>
      </c>
      <c r="O95" t="s">
        <v>1639</v>
      </c>
      <c r="P95" s="7">
        <v>5.01</v>
      </c>
      <c r="Q95" s="1">
        <v>45760</v>
      </c>
      <c r="R95">
        <f>WEEKNUM(Table2[[#This Row],[OrderDate]])</f>
        <v>16</v>
      </c>
      <c r="S95" s="1">
        <v>45762</v>
      </c>
      <c r="T95" t="s">
        <v>2917</v>
      </c>
    </row>
    <row r="96" spans="1:20" x14ac:dyDescent="0.35">
      <c r="A96" s="1">
        <v>45790</v>
      </c>
      <c r="B96" t="s">
        <v>2934</v>
      </c>
      <c r="C96" t="s">
        <v>19</v>
      </c>
      <c r="D96" s="9">
        <v>7</v>
      </c>
      <c r="E96" s="7">
        <v>460.24</v>
      </c>
      <c r="F96" t="s">
        <v>27</v>
      </c>
      <c r="G96" t="s">
        <v>31</v>
      </c>
      <c r="H96" s="12">
        <v>0.05</v>
      </c>
      <c r="I96" t="s">
        <v>33</v>
      </c>
      <c r="J96" s="7">
        <f>Table2[[#This Row],[UnitPrice]]*Table2[[#This Row],[Quantity]]*(1-Table2[[#This Row],[Discount]])</f>
        <v>3060.596</v>
      </c>
      <c r="K96" t="s">
        <v>42</v>
      </c>
      <c r="L96" t="s">
        <v>44</v>
      </c>
      <c r="M96">
        <v>1</v>
      </c>
      <c r="N96" t="s">
        <v>140</v>
      </c>
      <c r="O96" t="s">
        <v>1640</v>
      </c>
      <c r="P96" s="7">
        <v>11.54</v>
      </c>
      <c r="Q96" s="1">
        <v>45790</v>
      </c>
      <c r="R96">
        <f>WEEKNUM(Table2[[#This Row],[OrderDate]])</f>
        <v>20</v>
      </c>
      <c r="S96" s="1">
        <v>45800</v>
      </c>
      <c r="T96" t="s">
        <v>2920</v>
      </c>
    </row>
    <row r="97" spans="1:20" x14ac:dyDescent="0.35">
      <c r="A97" s="1">
        <v>45403</v>
      </c>
      <c r="B97" t="s">
        <v>2933</v>
      </c>
      <c r="C97" t="s">
        <v>25</v>
      </c>
      <c r="D97" s="9">
        <v>17</v>
      </c>
      <c r="E97" s="7">
        <v>309.52</v>
      </c>
      <c r="F97" t="s">
        <v>26</v>
      </c>
      <c r="G97" t="s">
        <v>30</v>
      </c>
      <c r="H97" s="12">
        <v>0.05</v>
      </c>
      <c r="I97" t="s">
        <v>32</v>
      </c>
      <c r="J97" s="7">
        <f>Table2[[#This Row],[UnitPrice]]*Table2[[#This Row],[Quantity]]*(1-Table2[[#This Row],[Discount]])</f>
        <v>4998.7479999999996</v>
      </c>
      <c r="K97" t="s">
        <v>38</v>
      </c>
      <c r="L97" t="s">
        <v>43</v>
      </c>
      <c r="M97">
        <v>0</v>
      </c>
      <c r="N97" t="s">
        <v>141</v>
      </c>
      <c r="O97" t="s">
        <v>1641</v>
      </c>
      <c r="P97" s="7">
        <v>6.11</v>
      </c>
      <c r="Q97" s="1">
        <v>45403</v>
      </c>
      <c r="R97">
        <f>WEEKNUM(Table2[[#This Row],[OrderDate]])</f>
        <v>17</v>
      </c>
      <c r="S97" s="1">
        <v>45409</v>
      </c>
      <c r="T97" t="s">
        <v>2921</v>
      </c>
    </row>
    <row r="98" spans="1:20" x14ac:dyDescent="0.35">
      <c r="A98" s="1">
        <v>45688</v>
      </c>
      <c r="B98" t="s">
        <v>2934</v>
      </c>
      <c r="C98" t="s">
        <v>23</v>
      </c>
      <c r="D98" s="9">
        <v>1</v>
      </c>
      <c r="E98" s="7">
        <v>323.83</v>
      </c>
      <c r="F98" t="s">
        <v>26</v>
      </c>
      <c r="G98" t="s">
        <v>30</v>
      </c>
      <c r="H98" s="12">
        <v>0.05</v>
      </c>
      <c r="I98" t="s">
        <v>32</v>
      </c>
      <c r="J98" s="7">
        <f>Table2[[#This Row],[UnitPrice]]*Table2[[#This Row],[Quantity]]*(1-Table2[[#This Row],[Discount]])</f>
        <v>307.63849999999996</v>
      </c>
      <c r="K98" t="s">
        <v>40</v>
      </c>
      <c r="L98" t="s">
        <v>45</v>
      </c>
      <c r="M98">
        <v>0</v>
      </c>
      <c r="N98" t="s">
        <v>142</v>
      </c>
      <c r="O98" t="s">
        <v>1642</v>
      </c>
      <c r="P98" s="7">
        <v>27.48</v>
      </c>
      <c r="Q98" s="1">
        <v>45688</v>
      </c>
      <c r="R98">
        <f>WEEKNUM(Table2[[#This Row],[OrderDate]])</f>
        <v>5</v>
      </c>
      <c r="S98" s="1">
        <v>45696</v>
      </c>
      <c r="T98" t="s">
        <v>2920</v>
      </c>
    </row>
    <row r="99" spans="1:20" x14ac:dyDescent="0.35">
      <c r="A99" s="1">
        <v>45730</v>
      </c>
      <c r="B99" t="s">
        <v>2934</v>
      </c>
      <c r="C99" t="s">
        <v>22</v>
      </c>
      <c r="D99" s="9">
        <v>10</v>
      </c>
      <c r="E99" s="7">
        <v>503.07</v>
      </c>
      <c r="F99" t="s">
        <v>28</v>
      </c>
      <c r="G99" t="s">
        <v>31</v>
      </c>
      <c r="H99" s="12">
        <v>0</v>
      </c>
      <c r="I99" t="s">
        <v>37</v>
      </c>
      <c r="J99" s="7">
        <f>Table2[[#This Row],[UnitPrice]]*Table2[[#This Row],[Quantity]]*(1-Table2[[#This Row],[Discount]])</f>
        <v>5030.7</v>
      </c>
      <c r="K99" t="s">
        <v>40</v>
      </c>
      <c r="L99" t="s">
        <v>43</v>
      </c>
      <c r="M99">
        <v>0</v>
      </c>
      <c r="N99" t="s">
        <v>143</v>
      </c>
      <c r="O99" t="s">
        <v>1643</v>
      </c>
      <c r="P99" s="7">
        <v>44.61</v>
      </c>
      <c r="Q99" s="1">
        <v>45730</v>
      </c>
      <c r="R99">
        <f>WEEKNUM(Table2[[#This Row],[OrderDate]])</f>
        <v>11</v>
      </c>
      <c r="S99" s="1">
        <v>45735</v>
      </c>
      <c r="T99" t="s">
        <v>2920</v>
      </c>
    </row>
    <row r="100" spans="1:20" x14ac:dyDescent="0.35">
      <c r="A100" s="1">
        <v>45438</v>
      </c>
      <c r="B100" t="s">
        <v>2933</v>
      </c>
      <c r="C100" t="s">
        <v>19</v>
      </c>
      <c r="D100" s="9">
        <v>20</v>
      </c>
      <c r="E100" s="7">
        <v>491.68</v>
      </c>
      <c r="F100" t="s">
        <v>29</v>
      </c>
      <c r="G100" t="s">
        <v>30</v>
      </c>
      <c r="H100" s="12">
        <v>0.15</v>
      </c>
      <c r="I100" t="s">
        <v>33</v>
      </c>
      <c r="J100" s="7">
        <f>Table2[[#This Row],[UnitPrice]]*Table2[[#This Row],[Quantity]]*(1-Table2[[#This Row],[Discount]])</f>
        <v>8358.56</v>
      </c>
      <c r="K100" t="s">
        <v>38</v>
      </c>
      <c r="L100" t="s">
        <v>44</v>
      </c>
      <c r="M100">
        <v>1</v>
      </c>
      <c r="N100" t="s">
        <v>144</v>
      </c>
      <c r="O100" t="s">
        <v>1644</v>
      </c>
      <c r="P100" s="7">
        <v>43.46</v>
      </c>
      <c r="Q100" s="1">
        <v>45438</v>
      </c>
      <c r="R100">
        <f>WEEKNUM(Table2[[#This Row],[OrderDate]])</f>
        <v>22</v>
      </c>
      <c r="S100" s="1">
        <v>45441</v>
      </c>
      <c r="T100" t="s">
        <v>2921</v>
      </c>
    </row>
    <row r="101" spans="1:20" x14ac:dyDescent="0.35">
      <c r="A101" s="1">
        <v>45129</v>
      </c>
      <c r="B101" t="s">
        <v>2931</v>
      </c>
      <c r="C101" t="s">
        <v>20</v>
      </c>
      <c r="D101" s="9">
        <v>17</v>
      </c>
      <c r="E101" s="7">
        <v>468.45</v>
      </c>
      <c r="F101" t="s">
        <v>27</v>
      </c>
      <c r="G101" t="s">
        <v>31</v>
      </c>
      <c r="H101" s="12">
        <v>0.05</v>
      </c>
      <c r="I101" t="s">
        <v>35</v>
      </c>
      <c r="J101" s="7">
        <f>Table2[[#This Row],[UnitPrice]]*Table2[[#This Row],[Quantity]]*(1-Table2[[#This Row],[Discount]])</f>
        <v>7565.4674999999997</v>
      </c>
      <c r="K101" t="s">
        <v>40</v>
      </c>
      <c r="L101" t="s">
        <v>43</v>
      </c>
      <c r="M101">
        <v>0</v>
      </c>
      <c r="N101" t="s">
        <v>145</v>
      </c>
      <c r="O101" t="s">
        <v>1645</v>
      </c>
      <c r="P101" s="7">
        <v>17.88</v>
      </c>
      <c r="Q101" s="1">
        <v>45129</v>
      </c>
      <c r="R101">
        <f>WEEKNUM(Table2[[#This Row],[OrderDate]])</f>
        <v>29</v>
      </c>
      <c r="S101" s="1">
        <v>45133</v>
      </c>
      <c r="T101" t="s">
        <v>2919</v>
      </c>
    </row>
    <row r="102" spans="1:20" x14ac:dyDescent="0.35">
      <c r="A102" s="1">
        <v>45372</v>
      </c>
      <c r="B102" t="s">
        <v>2931</v>
      </c>
      <c r="C102" t="s">
        <v>19</v>
      </c>
      <c r="D102" s="9">
        <v>11</v>
      </c>
      <c r="E102" s="7">
        <v>401.76</v>
      </c>
      <c r="F102" t="s">
        <v>29</v>
      </c>
      <c r="G102" t="s">
        <v>31</v>
      </c>
      <c r="H102" s="12">
        <v>0.15</v>
      </c>
      <c r="I102" t="s">
        <v>34</v>
      </c>
      <c r="J102" s="7">
        <f>Table2[[#This Row],[UnitPrice]]*Table2[[#This Row],[Quantity]]*(1-Table2[[#This Row],[Discount]])</f>
        <v>3756.4559999999997</v>
      </c>
      <c r="K102" t="s">
        <v>39</v>
      </c>
      <c r="L102" t="s">
        <v>44</v>
      </c>
      <c r="M102">
        <v>0</v>
      </c>
      <c r="N102" t="s">
        <v>146</v>
      </c>
      <c r="O102" t="s">
        <v>1646</v>
      </c>
      <c r="P102" s="7">
        <v>48.03</v>
      </c>
      <c r="Q102" s="1">
        <v>45372</v>
      </c>
      <c r="R102">
        <f>WEEKNUM(Table2[[#This Row],[OrderDate]])</f>
        <v>12</v>
      </c>
      <c r="S102" s="1">
        <v>45381</v>
      </c>
      <c r="T102" t="s">
        <v>2919</v>
      </c>
    </row>
    <row r="103" spans="1:20" x14ac:dyDescent="0.35">
      <c r="A103" s="1">
        <v>45021</v>
      </c>
      <c r="B103" t="s">
        <v>2933</v>
      </c>
      <c r="C103" t="s">
        <v>25</v>
      </c>
      <c r="D103" s="9">
        <v>3</v>
      </c>
      <c r="E103" s="7">
        <v>221</v>
      </c>
      <c r="F103" t="s">
        <v>26</v>
      </c>
      <c r="G103" t="s">
        <v>30</v>
      </c>
      <c r="H103" s="12">
        <v>0</v>
      </c>
      <c r="I103" t="s">
        <v>34</v>
      </c>
      <c r="J103" s="7">
        <f>Table2[[#This Row],[UnitPrice]]*Table2[[#This Row],[Quantity]]*(1-Table2[[#This Row],[Discount]])</f>
        <v>663</v>
      </c>
      <c r="K103" t="s">
        <v>42</v>
      </c>
      <c r="L103" t="s">
        <v>43</v>
      </c>
      <c r="M103">
        <v>0</v>
      </c>
      <c r="N103" t="s">
        <v>147</v>
      </c>
      <c r="O103" t="s">
        <v>1647</v>
      </c>
      <c r="P103" s="7">
        <v>32.31</v>
      </c>
      <c r="Q103" s="1">
        <v>45021</v>
      </c>
      <c r="R103">
        <f>WEEKNUM(Table2[[#This Row],[OrderDate]])</f>
        <v>14</v>
      </c>
      <c r="S103" s="1">
        <v>45024</v>
      </c>
      <c r="T103" t="s">
        <v>2921</v>
      </c>
    </row>
    <row r="104" spans="1:20" x14ac:dyDescent="0.35">
      <c r="A104" s="1">
        <v>45530</v>
      </c>
      <c r="B104" t="s">
        <v>2930</v>
      </c>
      <c r="C104" t="s">
        <v>23</v>
      </c>
      <c r="D104" s="9">
        <v>6</v>
      </c>
      <c r="E104" s="7">
        <v>188.45</v>
      </c>
      <c r="F104" t="s">
        <v>28</v>
      </c>
      <c r="G104" t="s">
        <v>30</v>
      </c>
      <c r="H104" s="12">
        <v>0.05</v>
      </c>
      <c r="I104" t="s">
        <v>33</v>
      </c>
      <c r="J104" s="7">
        <f>Table2[[#This Row],[UnitPrice]]*Table2[[#This Row],[Quantity]]*(1-Table2[[#This Row],[Discount]])</f>
        <v>1074.1649999999997</v>
      </c>
      <c r="K104" t="s">
        <v>39</v>
      </c>
      <c r="L104" t="s">
        <v>2937</v>
      </c>
      <c r="M104">
        <v>0</v>
      </c>
      <c r="N104" t="s">
        <v>148</v>
      </c>
      <c r="O104" t="s">
        <v>1648</v>
      </c>
      <c r="P104" s="7">
        <v>6.77</v>
      </c>
      <c r="Q104" s="1">
        <v>45530</v>
      </c>
      <c r="R104">
        <f>WEEKNUM(Table2[[#This Row],[OrderDate]])</f>
        <v>35</v>
      </c>
      <c r="S104" s="1">
        <v>45536</v>
      </c>
      <c r="T104" t="s">
        <v>2917</v>
      </c>
    </row>
    <row r="105" spans="1:20" x14ac:dyDescent="0.35">
      <c r="A105" s="1">
        <v>45480</v>
      </c>
      <c r="B105" t="s">
        <v>2931</v>
      </c>
      <c r="C105" t="s">
        <v>21</v>
      </c>
      <c r="D105" s="9">
        <v>3</v>
      </c>
      <c r="E105" s="7">
        <v>566.20000000000005</v>
      </c>
      <c r="F105" t="s">
        <v>29</v>
      </c>
      <c r="G105" t="s">
        <v>31</v>
      </c>
      <c r="H105" s="12">
        <v>0</v>
      </c>
      <c r="I105" t="s">
        <v>37</v>
      </c>
      <c r="J105" s="7">
        <f>Table2[[#This Row],[UnitPrice]]*Table2[[#This Row],[Quantity]]*(1-Table2[[#This Row],[Discount]])</f>
        <v>1698.6000000000001</v>
      </c>
      <c r="K105" t="s">
        <v>39</v>
      </c>
      <c r="L105" t="s">
        <v>43</v>
      </c>
      <c r="M105">
        <v>1</v>
      </c>
      <c r="N105" t="s">
        <v>149</v>
      </c>
      <c r="O105" t="s">
        <v>1649</v>
      </c>
      <c r="P105" s="7">
        <v>28.97</v>
      </c>
      <c r="Q105" s="1">
        <v>45480</v>
      </c>
      <c r="R105">
        <f>WEEKNUM(Table2[[#This Row],[OrderDate]])</f>
        <v>28</v>
      </c>
      <c r="S105" s="1">
        <v>45490</v>
      </c>
      <c r="T105" t="s">
        <v>2919</v>
      </c>
    </row>
    <row r="106" spans="1:20" x14ac:dyDescent="0.35">
      <c r="A106" s="1">
        <v>45198</v>
      </c>
      <c r="B106" t="s">
        <v>2930</v>
      </c>
      <c r="C106" t="s">
        <v>23</v>
      </c>
      <c r="D106" s="9">
        <v>14</v>
      </c>
      <c r="E106" s="7">
        <v>167.09</v>
      </c>
      <c r="F106" t="s">
        <v>29</v>
      </c>
      <c r="G106" t="s">
        <v>31</v>
      </c>
      <c r="H106" s="12">
        <v>0.05</v>
      </c>
      <c r="I106" t="s">
        <v>33</v>
      </c>
      <c r="J106" s="7">
        <f>Table2[[#This Row],[UnitPrice]]*Table2[[#This Row],[Quantity]]*(1-Table2[[#This Row],[Discount]])</f>
        <v>2222.297</v>
      </c>
      <c r="K106" t="s">
        <v>39</v>
      </c>
      <c r="L106" t="s">
        <v>44</v>
      </c>
      <c r="M106">
        <v>1</v>
      </c>
      <c r="N106" t="s">
        <v>150</v>
      </c>
      <c r="O106" t="s">
        <v>1650</v>
      </c>
      <c r="P106" s="7">
        <v>47.05</v>
      </c>
      <c r="Q106" s="1">
        <v>45198</v>
      </c>
      <c r="R106">
        <f>WEEKNUM(Table2[[#This Row],[OrderDate]])</f>
        <v>39</v>
      </c>
      <c r="S106" s="1">
        <v>45207</v>
      </c>
      <c r="T106" t="s">
        <v>2917</v>
      </c>
    </row>
    <row r="107" spans="1:20" x14ac:dyDescent="0.35">
      <c r="A107" s="1">
        <v>45203</v>
      </c>
      <c r="B107" t="s">
        <v>2933</v>
      </c>
      <c r="C107" t="s">
        <v>23</v>
      </c>
      <c r="D107" s="9">
        <v>16</v>
      </c>
      <c r="E107" s="7">
        <v>36.159999999999997</v>
      </c>
      <c r="F107" t="s">
        <v>28</v>
      </c>
      <c r="G107" t="s">
        <v>30</v>
      </c>
      <c r="H107" s="12">
        <v>0.1</v>
      </c>
      <c r="I107" t="s">
        <v>35</v>
      </c>
      <c r="J107" s="7">
        <f>Table2[[#This Row],[UnitPrice]]*Table2[[#This Row],[Quantity]]*(1-Table2[[#This Row],[Discount]])</f>
        <v>520.70399999999995</v>
      </c>
      <c r="K107" t="s">
        <v>41</v>
      </c>
      <c r="L107" t="s">
        <v>43</v>
      </c>
      <c r="M107">
        <v>0</v>
      </c>
      <c r="N107" t="s">
        <v>151</v>
      </c>
      <c r="O107" t="s">
        <v>1651</v>
      </c>
      <c r="P107" s="7">
        <v>26.64</v>
      </c>
      <c r="Q107" s="1">
        <v>45203</v>
      </c>
      <c r="R107">
        <f>WEEKNUM(Table2[[#This Row],[OrderDate]])</f>
        <v>40</v>
      </c>
      <c r="S107" s="1">
        <v>45210</v>
      </c>
      <c r="T107" t="s">
        <v>2921</v>
      </c>
    </row>
    <row r="108" spans="1:20" x14ac:dyDescent="0.35">
      <c r="A108" s="1">
        <v>45817</v>
      </c>
      <c r="B108" t="s">
        <v>2934</v>
      </c>
      <c r="C108" t="s">
        <v>25</v>
      </c>
      <c r="D108" s="9">
        <v>2</v>
      </c>
      <c r="E108" s="7">
        <v>73.94</v>
      </c>
      <c r="F108" t="s">
        <v>26</v>
      </c>
      <c r="G108" t="s">
        <v>30</v>
      </c>
      <c r="H108" s="12">
        <v>0.05</v>
      </c>
      <c r="I108" t="s">
        <v>35</v>
      </c>
      <c r="J108" s="7">
        <f>Table2[[#This Row],[UnitPrice]]*Table2[[#This Row],[Quantity]]*(1-Table2[[#This Row],[Discount]])</f>
        <v>140.48599999999999</v>
      </c>
      <c r="K108" t="s">
        <v>41</v>
      </c>
      <c r="L108" t="s">
        <v>44</v>
      </c>
      <c r="M108">
        <v>0</v>
      </c>
      <c r="N108" t="s">
        <v>152</v>
      </c>
      <c r="O108" t="s">
        <v>1652</v>
      </c>
      <c r="P108" s="7">
        <v>28.05</v>
      </c>
      <c r="Q108" s="1">
        <v>45817</v>
      </c>
      <c r="R108">
        <f>WEEKNUM(Table2[[#This Row],[OrderDate]])</f>
        <v>24</v>
      </c>
      <c r="S108" s="1">
        <v>45824</v>
      </c>
      <c r="T108" t="s">
        <v>2920</v>
      </c>
    </row>
    <row r="109" spans="1:20" x14ac:dyDescent="0.35">
      <c r="A109" s="1">
        <v>45820</v>
      </c>
      <c r="B109" t="s">
        <v>2930</v>
      </c>
      <c r="C109" t="s">
        <v>25</v>
      </c>
      <c r="D109" s="9">
        <v>16</v>
      </c>
      <c r="E109" s="7">
        <v>459.49</v>
      </c>
      <c r="F109" t="s">
        <v>27</v>
      </c>
      <c r="G109" t="s">
        <v>30</v>
      </c>
      <c r="H109" s="12">
        <v>0.1</v>
      </c>
      <c r="I109" t="s">
        <v>32</v>
      </c>
      <c r="J109" s="7">
        <f>Table2[[#This Row],[UnitPrice]]*Table2[[#This Row],[Quantity]]*(1-Table2[[#This Row],[Discount]])</f>
        <v>6616.6559999999999</v>
      </c>
      <c r="K109" t="s">
        <v>38</v>
      </c>
      <c r="L109" t="s">
        <v>44</v>
      </c>
      <c r="M109">
        <v>0</v>
      </c>
      <c r="N109" t="s">
        <v>153</v>
      </c>
      <c r="O109" t="s">
        <v>1653</v>
      </c>
      <c r="P109" s="7">
        <v>26.99</v>
      </c>
      <c r="Q109" s="1">
        <v>45820</v>
      </c>
      <c r="R109">
        <f>WEEKNUM(Table2[[#This Row],[OrderDate]])</f>
        <v>24</v>
      </c>
      <c r="S109" s="1">
        <v>45822</v>
      </c>
      <c r="T109" t="s">
        <v>2917</v>
      </c>
    </row>
    <row r="110" spans="1:20" x14ac:dyDescent="0.35">
      <c r="A110" s="1">
        <v>45472</v>
      </c>
      <c r="B110" t="s">
        <v>2930</v>
      </c>
      <c r="C110" t="s">
        <v>22</v>
      </c>
      <c r="D110" s="9">
        <v>3</v>
      </c>
      <c r="E110" s="7">
        <v>168.05</v>
      </c>
      <c r="F110" t="s">
        <v>27</v>
      </c>
      <c r="G110" t="s">
        <v>31</v>
      </c>
      <c r="H110" s="12">
        <v>0</v>
      </c>
      <c r="I110" t="s">
        <v>35</v>
      </c>
      <c r="J110" s="7">
        <f>Table2[[#This Row],[UnitPrice]]*Table2[[#This Row],[Quantity]]*(1-Table2[[#This Row],[Discount]])</f>
        <v>504.15000000000003</v>
      </c>
      <c r="K110" t="s">
        <v>42</v>
      </c>
      <c r="L110" t="s">
        <v>2937</v>
      </c>
      <c r="M110">
        <v>1</v>
      </c>
      <c r="N110" t="s">
        <v>154</v>
      </c>
      <c r="O110" t="s">
        <v>1654</v>
      </c>
      <c r="P110" s="7">
        <v>21.08</v>
      </c>
      <c r="Q110" s="1">
        <v>45472</v>
      </c>
      <c r="R110">
        <f>WEEKNUM(Table2[[#This Row],[OrderDate]])</f>
        <v>26</v>
      </c>
      <c r="S110" s="1">
        <v>45479</v>
      </c>
      <c r="T110" t="s">
        <v>2917</v>
      </c>
    </row>
    <row r="111" spans="1:20" x14ac:dyDescent="0.35">
      <c r="A111" s="1">
        <v>45374</v>
      </c>
      <c r="B111" t="s">
        <v>2931</v>
      </c>
      <c r="C111" t="s">
        <v>25</v>
      </c>
      <c r="D111" s="9">
        <v>14</v>
      </c>
      <c r="E111" s="7">
        <v>37.54</v>
      </c>
      <c r="F111" t="s">
        <v>26</v>
      </c>
      <c r="G111" t="s">
        <v>31</v>
      </c>
      <c r="H111" s="12">
        <v>0.15</v>
      </c>
      <c r="I111" t="s">
        <v>33</v>
      </c>
      <c r="J111" s="7">
        <f>Table2[[#This Row],[UnitPrice]]*Table2[[#This Row],[Quantity]]*(1-Table2[[#This Row],[Discount]])</f>
        <v>446.72599999999994</v>
      </c>
      <c r="K111" t="s">
        <v>40</v>
      </c>
      <c r="L111" t="s">
        <v>2937</v>
      </c>
      <c r="M111">
        <v>1</v>
      </c>
      <c r="N111" t="s">
        <v>155</v>
      </c>
      <c r="O111" t="s">
        <v>1655</v>
      </c>
      <c r="P111" s="7">
        <v>49.6</v>
      </c>
      <c r="Q111" s="1">
        <v>45374</v>
      </c>
      <c r="R111">
        <f>WEEKNUM(Table2[[#This Row],[OrderDate]])</f>
        <v>12</v>
      </c>
      <c r="S111" s="1">
        <v>45384</v>
      </c>
      <c r="T111" t="s">
        <v>2919</v>
      </c>
    </row>
    <row r="112" spans="1:20" x14ac:dyDescent="0.35">
      <c r="A112" s="1">
        <v>45487</v>
      </c>
      <c r="B112" t="s">
        <v>2932</v>
      </c>
      <c r="C112" t="s">
        <v>24</v>
      </c>
      <c r="D112" s="9">
        <v>4</v>
      </c>
      <c r="E112" s="7">
        <v>151.16</v>
      </c>
      <c r="F112" t="s">
        <v>26</v>
      </c>
      <c r="G112" t="s">
        <v>30</v>
      </c>
      <c r="H112" s="12">
        <v>0</v>
      </c>
      <c r="I112" t="s">
        <v>33</v>
      </c>
      <c r="J112" s="7">
        <f>Table2[[#This Row],[UnitPrice]]*Table2[[#This Row],[Quantity]]*(1-Table2[[#This Row],[Discount]])</f>
        <v>604.64</v>
      </c>
      <c r="K112" t="s">
        <v>39</v>
      </c>
      <c r="L112" t="s">
        <v>44</v>
      </c>
      <c r="M112">
        <v>1</v>
      </c>
      <c r="N112" t="s">
        <v>156</v>
      </c>
      <c r="O112" t="s">
        <v>1656</v>
      </c>
      <c r="P112" s="7">
        <v>41.4</v>
      </c>
      <c r="Q112" s="1">
        <v>45487</v>
      </c>
      <c r="R112">
        <f>WEEKNUM(Table2[[#This Row],[OrderDate]])</f>
        <v>29</v>
      </c>
      <c r="S112" s="1">
        <v>45494</v>
      </c>
      <c r="T112" t="s">
        <v>2918</v>
      </c>
    </row>
    <row r="113" spans="1:20" x14ac:dyDescent="0.35">
      <c r="A113" s="1">
        <v>45366</v>
      </c>
      <c r="B113" t="s">
        <v>2932</v>
      </c>
      <c r="C113" t="s">
        <v>24</v>
      </c>
      <c r="D113" s="9">
        <v>17</v>
      </c>
      <c r="E113" s="7">
        <v>78.58</v>
      </c>
      <c r="F113" t="s">
        <v>27</v>
      </c>
      <c r="G113" t="s">
        <v>30</v>
      </c>
      <c r="H113" s="12">
        <v>0.1</v>
      </c>
      <c r="I113" t="s">
        <v>37</v>
      </c>
      <c r="J113" s="7">
        <f>Table2[[#This Row],[UnitPrice]]*Table2[[#This Row],[Quantity]]*(1-Table2[[#This Row],[Discount]])</f>
        <v>1202.2739999999999</v>
      </c>
      <c r="K113" t="s">
        <v>39</v>
      </c>
      <c r="L113" t="s">
        <v>45</v>
      </c>
      <c r="M113">
        <v>0</v>
      </c>
      <c r="N113" t="s">
        <v>157</v>
      </c>
      <c r="O113" t="s">
        <v>1657</v>
      </c>
      <c r="P113" s="7">
        <v>8.02</v>
      </c>
      <c r="Q113" s="1">
        <v>45366</v>
      </c>
      <c r="R113">
        <f>WEEKNUM(Table2[[#This Row],[OrderDate]])</f>
        <v>11</v>
      </c>
      <c r="S113" s="1">
        <v>45376</v>
      </c>
      <c r="T113" t="s">
        <v>2918</v>
      </c>
    </row>
    <row r="114" spans="1:20" x14ac:dyDescent="0.35">
      <c r="A114" s="1">
        <v>45766</v>
      </c>
      <c r="B114" t="s">
        <v>2934</v>
      </c>
      <c r="C114" t="s">
        <v>22</v>
      </c>
      <c r="D114" s="9">
        <v>15</v>
      </c>
      <c r="E114" s="7">
        <v>37.33</v>
      </c>
      <c r="F114" t="s">
        <v>26</v>
      </c>
      <c r="G114" t="s">
        <v>31</v>
      </c>
      <c r="H114" s="12">
        <v>0.05</v>
      </c>
      <c r="I114" t="s">
        <v>35</v>
      </c>
      <c r="J114" s="7">
        <f>Table2[[#This Row],[UnitPrice]]*Table2[[#This Row],[Quantity]]*(1-Table2[[#This Row],[Discount]])</f>
        <v>531.95249999999987</v>
      </c>
      <c r="K114" t="s">
        <v>42</v>
      </c>
      <c r="L114" t="s">
        <v>2937</v>
      </c>
      <c r="M114">
        <v>1</v>
      </c>
      <c r="N114" t="s">
        <v>158</v>
      </c>
      <c r="O114" t="s">
        <v>1658</v>
      </c>
      <c r="P114" s="7">
        <v>43.69</v>
      </c>
      <c r="Q114" s="1">
        <v>45766</v>
      </c>
      <c r="R114">
        <f>WEEKNUM(Table2[[#This Row],[OrderDate]])</f>
        <v>16</v>
      </c>
      <c r="S114" s="1">
        <v>45771</v>
      </c>
      <c r="T114" t="s">
        <v>2920</v>
      </c>
    </row>
    <row r="115" spans="1:20" x14ac:dyDescent="0.35">
      <c r="A115" s="1">
        <v>45337</v>
      </c>
      <c r="B115" t="s">
        <v>2933</v>
      </c>
      <c r="C115" t="s">
        <v>24</v>
      </c>
      <c r="D115" s="9">
        <v>18</v>
      </c>
      <c r="E115" s="7">
        <v>537.02</v>
      </c>
      <c r="F115" t="s">
        <v>27</v>
      </c>
      <c r="G115" t="s">
        <v>30</v>
      </c>
      <c r="H115" s="12">
        <v>0.15</v>
      </c>
      <c r="I115" t="s">
        <v>35</v>
      </c>
      <c r="J115" s="7">
        <f>Table2[[#This Row],[UnitPrice]]*Table2[[#This Row],[Quantity]]*(1-Table2[[#This Row],[Discount]])</f>
        <v>8216.4060000000009</v>
      </c>
      <c r="K115" t="s">
        <v>41</v>
      </c>
      <c r="L115" t="s">
        <v>44</v>
      </c>
      <c r="M115">
        <v>0</v>
      </c>
      <c r="N115" t="s">
        <v>159</v>
      </c>
      <c r="O115" t="s">
        <v>1659</v>
      </c>
      <c r="P115" s="7">
        <v>23.94</v>
      </c>
      <c r="Q115" s="1">
        <v>45337</v>
      </c>
      <c r="R115">
        <f>WEEKNUM(Table2[[#This Row],[OrderDate]])</f>
        <v>7</v>
      </c>
      <c r="S115" s="1">
        <v>45342</v>
      </c>
      <c r="T115" t="s">
        <v>2921</v>
      </c>
    </row>
    <row r="116" spans="1:20" x14ac:dyDescent="0.35">
      <c r="A116" s="1">
        <v>45316</v>
      </c>
      <c r="B116" t="s">
        <v>2930</v>
      </c>
      <c r="C116" t="s">
        <v>21</v>
      </c>
      <c r="D116" s="9">
        <v>5</v>
      </c>
      <c r="E116" s="7">
        <v>215.6</v>
      </c>
      <c r="F116" t="s">
        <v>28</v>
      </c>
      <c r="G116" t="s">
        <v>30</v>
      </c>
      <c r="H116" s="12">
        <v>0</v>
      </c>
      <c r="I116" t="s">
        <v>34</v>
      </c>
      <c r="J116" s="7">
        <f>Table2[[#This Row],[UnitPrice]]*Table2[[#This Row],[Quantity]]*(1-Table2[[#This Row],[Discount]])</f>
        <v>1078</v>
      </c>
      <c r="K116" t="s">
        <v>38</v>
      </c>
      <c r="L116" t="s">
        <v>45</v>
      </c>
      <c r="M116">
        <v>0</v>
      </c>
      <c r="N116" t="s">
        <v>160</v>
      </c>
      <c r="O116" t="s">
        <v>1660</v>
      </c>
      <c r="P116" s="7">
        <v>28.36</v>
      </c>
      <c r="Q116" s="1">
        <v>45316</v>
      </c>
      <c r="R116">
        <f>WEEKNUM(Table2[[#This Row],[OrderDate]])</f>
        <v>4</v>
      </c>
      <c r="S116" s="1">
        <v>45326</v>
      </c>
      <c r="T116" t="s">
        <v>2917</v>
      </c>
    </row>
    <row r="117" spans="1:20" x14ac:dyDescent="0.35">
      <c r="A117" s="1">
        <v>45762</v>
      </c>
      <c r="B117" t="s">
        <v>2934</v>
      </c>
      <c r="C117" t="s">
        <v>19</v>
      </c>
      <c r="D117" s="9">
        <v>18</v>
      </c>
      <c r="E117" s="7">
        <v>209.5</v>
      </c>
      <c r="F117" t="s">
        <v>29</v>
      </c>
      <c r="G117" t="s">
        <v>30</v>
      </c>
      <c r="H117" s="12">
        <v>0</v>
      </c>
      <c r="I117" t="s">
        <v>35</v>
      </c>
      <c r="J117" s="7">
        <f>Table2[[#This Row],[UnitPrice]]*Table2[[#This Row],[Quantity]]*(1-Table2[[#This Row],[Discount]])</f>
        <v>3771</v>
      </c>
      <c r="K117" t="s">
        <v>40</v>
      </c>
      <c r="L117" t="s">
        <v>43</v>
      </c>
      <c r="M117">
        <v>0</v>
      </c>
      <c r="N117" t="s">
        <v>161</v>
      </c>
      <c r="O117" t="s">
        <v>1661</v>
      </c>
      <c r="P117" s="7">
        <v>38.229999999999997</v>
      </c>
      <c r="Q117" s="1">
        <v>45762</v>
      </c>
      <c r="R117">
        <f>WEEKNUM(Table2[[#This Row],[OrderDate]])</f>
        <v>16</v>
      </c>
      <c r="S117" s="1">
        <v>45770</v>
      </c>
      <c r="T117" t="s">
        <v>2920</v>
      </c>
    </row>
    <row r="118" spans="1:20" x14ac:dyDescent="0.35">
      <c r="A118" s="1">
        <v>45762</v>
      </c>
      <c r="B118" t="s">
        <v>2934</v>
      </c>
      <c r="C118" t="s">
        <v>22</v>
      </c>
      <c r="D118" s="9">
        <v>8</v>
      </c>
      <c r="E118" s="7">
        <v>348.98</v>
      </c>
      <c r="F118" t="s">
        <v>27</v>
      </c>
      <c r="G118" t="s">
        <v>31</v>
      </c>
      <c r="H118" s="12">
        <v>0.1</v>
      </c>
      <c r="I118" t="s">
        <v>34</v>
      </c>
      <c r="J118" s="7">
        <f>Table2[[#This Row],[UnitPrice]]*Table2[[#This Row],[Quantity]]*(1-Table2[[#This Row],[Discount]])</f>
        <v>2512.6560000000004</v>
      </c>
      <c r="K118" t="s">
        <v>38</v>
      </c>
      <c r="L118" t="s">
        <v>43</v>
      </c>
      <c r="M118">
        <v>0</v>
      </c>
      <c r="N118" t="s">
        <v>162</v>
      </c>
      <c r="O118" t="s">
        <v>1662</v>
      </c>
      <c r="P118" s="7">
        <v>19.170000000000002</v>
      </c>
      <c r="Q118" s="1">
        <v>45762</v>
      </c>
      <c r="R118">
        <f>WEEKNUM(Table2[[#This Row],[OrderDate]])</f>
        <v>16</v>
      </c>
      <c r="S118" s="1">
        <v>45767</v>
      </c>
      <c r="T118" t="s">
        <v>2920</v>
      </c>
    </row>
    <row r="119" spans="1:20" x14ac:dyDescent="0.35">
      <c r="A119" s="1">
        <v>45515</v>
      </c>
      <c r="B119" t="s">
        <v>2933</v>
      </c>
      <c r="C119" t="s">
        <v>25</v>
      </c>
      <c r="D119" s="9">
        <v>2</v>
      </c>
      <c r="E119" s="7">
        <v>289.14</v>
      </c>
      <c r="F119" t="s">
        <v>28</v>
      </c>
      <c r="G119" t="s">
        <v>31</v>
      </c>
      <c r="H119" s="12">
        <v>0.05</v>
      </c>
      <c r="I119" t="s">
        <v>36</v>
      </c>
      <c r="J119" s="7">
        <f>Table2[[#This Row],[UnitPrice]]*Table2[[#This Row],[Quantity]]*(1-Table2[[#This Row],[Discount]])</f>
        <v>549.36599999999999</v>
      </c>
      <c r="K119" t="s">
        <v>38</v>
      </c>
      <c r="L119" t="s">
        <v>44</v>
      </c>
      <c r="M119">
        <v>0</v>
      </c>
      <c r="N119" t="s">
        <v>163</v>
      </c>
      <c r="O119" t="s">
        <v>1663</v>
      </c>
      <c r="P119" s="7">
        <v>5.13</v>
      </c>
      <c r="Q119" s="1">
        <v>45515</v>
      </c>
      <c r="R119">
        <f>WEEKNUM(Table2[[#This Row],[OrderDate]])</f>
        <v>33</v>
      </c>
      <c r="S119" s="1">
        <v>45517</v>
      </c>
      <c r="T119" t="s">
        <v>2921</v>
      </c>
    </row>
    <row r="120" spans="1:20" x14ac:dyDescent="0.35">
      <c r="A120" s="1">
        <v>45261</v>
      </c>
      <c r="B120" t="s">
        <v>2932</v>
      </c>
      <c r="C120" t="s">
        <v>21</v>
      </c>
      <c r="D120" s="9">
        <v>5</v>
      </c>
      <c r="E120" s="7">
        <v>396.93</v>
      </c>
      <c r="F120" t="s">
        <v>26</v>
      </c>
      <c r="G120" t="s">
        <v>30</v>
      </c>
      <c r="H120" s="12">
        <v>0</v>
      </c>
      <c r="I120" t="s">
        <v>36</v>
      </c>
      <c r="J120" s="7">
        <f>Table2[[#This Row],[UnitPrice]]*Table2[[#This Row],[Quantity]]*(1-Table2[[#This Row],[Discount]])</f>
        <v>1984.65</v>
      </c>
      <c r="K120" t="s">
        <v>40</v>
      </c>
      <c r="L120" t="s">
        <v>43</v>
      </c>
      <c r="M120">
        <v>0</v>
      </c>
      <c r="N120" t="s">
        <v>164</v>
      </c>
      <c r="O120" t="s">
        <v>1664</v>
      </c>
      <c r="P120" s="7">
        <v>48.63</v>
      </c>
      <c r="Q120" s="1">
        <v>45261</v>
      </c>
      <c r="R120">
        <f>WEEKNUM(Table2[[#This Row],[OrderDate]])</f>
        <v>48</v>
      </c>
      <c r="S120" s="1">
        <v>45268</v>
      </c>
      <c r="T120" t="s">
        <v>2918</v>
      </c>
    </row>
    <row r="121" spans="1:20" x14ac:dyDescent="0.35">
      <c r="A121" s="1">
        <v>45144</v>
      </c>
      <c r="B121" t="s">
        <v>2934</v>
      </c>
      <c r="C121" t="s">
        <v>19</v>
      </c>
      <c r="D121" s="9">
        <v>10</v>
      </c>
      <c r="E121" s="7">
        <v>508.57</v>
      </c>
      <c r="F121" t="s">
        <v>29</v>
      </c>
      <c r="G121" t="s">
        <v>31</v>
      </c>
      <c r="H121" s="12">
        <v>0.05</v>
      </c>
      <c r="I121" t="s">
        <v>37</v>
      </c>
      <c r="J121" s="7">
        <f>Table2[[#This Row],[UnitPrice]]*Table2[[#This Row],[Quantity]]*(1-Table2[[#This Row],[Discount]])</f>
        <v>4831.415</v>
      </c>
      <c r="K121" t="s">
        <v>38</v>
      </c>
      <c r="L121" t="s">
        <v>44</v>
      </c>
      <c r="M121">
        <v>0</v>
      </c>
      <c r="N121" t="s">
        <v>165</v>
      </c>
      <c r="O121" t="s">
        <v>1665</v>
      </c>
      <c r="P121" s="7">
        <v>9.35</v>
      </c>
      <c r="Q121" s="1">
        <v>45144</v>
      </c>
      <c r="R121">
        <f>WEEKNUM(Table2[[#This Row],[OrderDate]])</f>
        <v>32</v>
      </c>
      <c r="S121" s="1">
        <v>45149</v>
      </c>
      <c r="T121" t="s">
        <v>2920</v>
      </c>
    </row>
    <row r="122" spans="1:20" x14ac:dyDescent="0.35">
      <c r="A122" s="1">
        <v>45315</v>
      </c>
      <c r="B122" t="s">
        <v>2934</v>
      </c>
      <c r="C122" t="s">
        <v>19</v>
      </c>
      <c r="D122" s="9">
        <v>11</v>
      </c>
      <c r="E122" s="7">
        <v>259.61</v>
      </c>
      <c r="F122" t="s">
        <v>28</v>
      </c>
      <c r="G122" t="s">
        <v>30</v>
      </c>
      <c r="H122" s="12">
        <v>0.1</v>
      </c>
      <c r="I122" t="s">
        <v>35</v>
      </c>
      <c r="J122" s="7">
        <f>Table2[[#This Row],[UnitPrice]]*Table2[[#This Row],[Quantity]]*(1-Table2[[#This Row],[Discount]])</f>
        <v>2570.1390000000001</v>
      </c>
      <c r="K122" t="s">
        <v>42</v>
      </c>
      <c r="L122" t="s">
        <v>43</v>
      </c>
      <c r="M122">
        <v>0</v>
      </c>
      <c r="N122" t="s">
        <v>166</v>
      </c>
      <c r="O122" t="s">
        <v>1666</v>
      </c>
      <c r="P122" s="7">
        <v>13.73</v>
      </c>
      <c r="Q122" s="1">
        <v>45315</v>
      </c>
      <c r="R122">
        <f>WEEKNUM(Table2[[#This Row],[OrderDate]])</f>
        <v>4</v>
      </c>
      <c r="S122" s="1">
        <v>45322</v>
      </c>
      <c r="T122" t="s">
        <v>2920</v>
      </c>
    </row>
    <row r="123" spans="1:20" x14ac:dyDescent="0.35">
      <c r="A123" s="1">
        <v>45358</v>
      </c>
      <c r="B123" t="s">
        <v>2934</v>
      </c>
      <c r="C123" t="s">
        <v>22</v>
      </c>
      <c r="D123" s="9">
        <v>9</v>
      </c>
      <c r="E123" s="7">
        <v>313.29000000000002</v>
      </c>
      <c r="F123" t="s">
        <v>29</v>
      </c>
      <c r="G123" t="s">
        <v>31</v>
      </c>
      <c r="H123" s="12">
        <v>0</v>
      </c>
      <c r="I123" t="s">
        <v>35</v>
      </c>
      <c r="J123" s="7">
        <f>Table2[[#This Row],[UnitPrice]]*Table2[[#This Row],[Quantity]]*(1-Table2[[#This Row],[Discount]])</f>
        <v>2819.61</v>
      </c>
      <c r="K123" t="s">
        <v>38</v>
      </c>
      <c r="L123" t="s">
        <v>43</v>
      </c>
      <c r="M123">
        <v>0</v>
      </c>
      <c r="N123" t="s">
        <v>167</v>
      </c>
      <c r="O123" t="s">
        <v>1667</v>
      </c>
      <c r="P123" s="7">
        <v>14.04</v>
      </c>
      <c r="Q123" s="1">
        <v>45358</v>
      </c>
      <c r="R123">
        <f>WEEKNUM(Table2[[#This Row],[OrderDate]])</f>
        <v>10</v>
      </c>
      <c r="S123" s="1">
        <v>45364</v>
      </c>
      <c r="T123" t="s">
        <v>2920</v>
      </c>
    </row>
    <row r="124" spans="1:20" x14ac:dyDescent="0.35">
      <c r="A124" s="1">
        <v>45313</v>
      </c>
      <c r="B124" t="s">
        <v>2932</v>
      </c>
      <c r="C124" t="s">
        <v>24</v>
      </c>
      <c r="D124" s="9">
        <v>5</v>
      </c>
      <c r="E124" s="7">
        <v>106.57</v>
      </c>
      <c r="F124" t="s">
        <v>28</v>
      </c>
      <c r="G124" t="s">
        <v>30</v>
      </c>
      <c r="H124" s="12">
        <v>0.1</v>
      </c>
      <c r="I124" t="s">
        <v>35</v>
      </c>
      <c r="J124" s="7">
        <f>Table2[[#This Row],[UnitPrice]]*Table2[[#This Row],[Quantity]]*(1-Table2[[#This Row],[Discount]])</f>
        <v>479.56499999999994</v>
      </c>
      <c r="K124" t="s">
        <v>41</v>
      </c>
      <c r="L124" t="s">
        <v>44</v>
      </c>
      <c r="M124">
        <v>1</v>
      </c>
      <c r="N124" t="s">
        <v>168</v>
      </c>
      <c r="O124" t="s">
        <v>1668</v>
      </c>
      <c r="P124" s="7">
        <v>25.24</v>
      </c>
      <c r="Q124" s="1">
        <v>45313</v>
      </c>
      <c r="R124">
        <f>WEEKNUM(Table2[[#This Row],[OrderDate]])</f>
        <v>4</v>
      </c>
      <c r="S124" s="1">
        <v>45319</v>
      </c>
      <c r="T124" t="s">
        <v>2918</v>
      </c>
    </row>
    <row r="125" spans="1:20" x14ac:dyDescent="0.35">
      <c r="A125" s="1">
        <v>44980</v>
      </c>
      <c r="B125" t="s">
        <v>2930</v>
      </c>
      <c r="C125" t="s">
        <v>25</v>
      </c>
      <c r="D125" s="9">
        <v>1</v>
      </c>
      <c r="E125" s="7">
        <v>109</v>
      </c>
      <c r="F125" t="s">
        <v>26</v>
      </c>
      <c r="G125" t="s">
        <v>31</v>
      </c>
      <c r="H125" s="12">
        <v>0.15</v>
      </c>
      <c r="I125" t="s">
        <v>34</v>
      </c>
      <c r="J125" s="7">
        <f>Table2[[#This Row],[UnitPrice]]*Table2[[#This Row],[Quantity]]*(1-Table2[[#This Row],[Discount]])</f>
        <v>92.649999999999991</v>
      </c>
      <c r="K125" t="s">
        <v>42</v>
      </c>
      <c r="L125" t="s">
        <v>45</v>
      </c>
      <c r="M125">
        <v>1</v>
      </c>
      <c r="N125" t="s">
        <v>169</v>
      </c>
      <c r="O125" t="s">
        <v>1669</v>
      </c>
      <c r="P125" s="7">
        <v>8.0299999999999994</v>
      </c>
      <c r="Q125" s="1">
        <v>44980</v>
      </c>
      <c r="R125">
        <f>WEEKNUM(Table2[[#This Row],[OrderDate]])</f>
        <v>8</v>
      </c>
      <c r="S125" s="1">
        <v>44984</v>
      </c>
      <c r="T125" t="s">
        <v>2917</v>
      </c>
    </row>
    <row r="126" spans="1:20" x14ac:dyDescent="0.35">
      <c r="A126" s="1">
        <v>45091</v>
      </c>
      <c r="B126" t="s">
        <v>2931</v>
      </c>
      <c r="C126" t="s">
        <v>24</v>
      </c>
      <c r="D126" s="9">
        <v>8</v>
      </c>
      <c r="E126" s="7">
        <v>323.8</v>
      </c>
      <c r="F126" t="s">
        <v>26</v>
      </c>
      <c r="G126" t="s">
        <v>31</v>
      </c>
      <c r="H126" s="12">
        <v>0</v>
      </c>
      <c r="I126" t="s">
        <v>36</v>
      </c>
      <c r="J126" s="7">
        <f>Table2[[#This Row],[UnitPrice]]*Table2[[#This Row],[Quantity]]*(1-Table2[[#This Row],[Discount]])</f>
        <v>2590.4</v>
      </c>
      <c r="K126" t="s">
        <v>42</v>
      </c>
      <c r="L126" t="s">
        <v>44</v>
      </c>
      <c r="M126">
        <v>1</v>
      </c>
      <c r="N126" t="s">
        <v>170</v>
      </c>
      <c r="O126" t="s">
        <v>1670</v>
      </c>
      <c r="P126" s="7">
        <v>35.229999999999997</v>
      </c>
      <c r="Q126" s="1">
        <v>45091</v>
      </c>
      <c r="R126">
        <f>WEEKNUM(Table2[[#This Row],[OrderDate]])</f>
        <v>24</v>
      </c>
      <c r="S126" s="1">
        <v>45099</v>
      </c>
      <c r="T126" t="s">
        <v>2919</v>
      </c>
    </row>
    <row r="127" spans="1:20" x14ac:dyDescent="0.35">
      <c r="A127" s="1">
        <v>45790</v>
      </c>
      <c r="B127" t="s">
        <v>2931</v>
      </c>
      <c r="C127" t="s">
        <v>19</v>
      </c>
      <c r="D127" s="9">
        <v>16</v>
      </c>
      <c r="E127" s="7">
        <v>384.32</v>
      </c>
      <c r="F127" t="s">
        <v>27</v>
      </c>
      <c r="G127" t="s">
        <v>31</v>
      </c>
      <c r="H127" s="12">
        <v>0.05</v>
      </c>
      <c r="I127" t="s">
        <v>34</v>
      </c>
      <c r="J127" s="7">
        <f>Table2[[#This Row],[UnitPrice]]*Table2[[#This Row],[Quantity]]*(1-Table2[[#This Row],[Discount]])</f>
        <v>5841.6639999999998</v>
      </c>
      <c r="K127" t="s">
        <v>42</v>
      </c>
      <c r="L127" t="s">
        <v>43</v>
      </c>
      <c r="M127">
        <v>0</v>
      </c>
      <c r="N127" t="s">
        <v>171</v>
      </c>
      <c r="O127" t="s">
        <v>1671</v>
      </c>
      <c r="P127" s="7">
        <v>21.5</v>
      </c>
      <c r="Q127" s="1">
        <v>45790</v>
      </c>
      <c r="R127">
        <f>WEEKNUM(Table2[[#This Row],[OrderDate]])</f>
        <v>20</v>
      </c>
      <c r="S127" s="1">
        <v>45792</v>
      </c>
      <c r="T127" t="s">
        <v>2919</v>
      </c>
    </row>
    <row r="128" spans="1:20" x14ac:dyDescent="0.35">
      <c r="A128" s="1">
        <v>45503</v>
      </c>
      <c r="B128" t="s">
        <v>2934</v>
      </c>
      <c r="C128" t="s">
        <v>25</v>
      </c>
      <c r="D128" s="9">
        <v>16</v>
      </c>
      <c r="E128" s="7">
        <v>163.86</v>
      </c>
      <c r="F128" t="s">
        <v>28</v>
      </c>
      <c r="G128" t="s">
        <v>31</v>
      </c>
      <c r="H128" s="12">
        <v>0.15</v>
      </c>
      <c r="I128" t="s">
        <v>36</v>
      </c>
      <c r="J128" s="7">
        <f>Table2[[#This Row],[UnitPrice]]*Table2[[#This Row],[Quantity]]*(1-Table2[[#This Row],[Discount]])</f>
        <v>2228.4960000000001</v>
      </c>
      <c r="K128" t="s">
        <v>39</v>
      </c>
      <c r="L128" t="s">
        <v>43</v>
      </c>
      <c r="M128">
        <v>0</v>
      </c>
      <c r="N128" t="s">
        <v>172</v>
      </c>
      <c r="O128" t="s">
        <v>1672</v>
      </c>
      <c r="P128" s="7">
        <v>37.950000000000003</v>
      </c>
      <c r="Q128" s="1">
        <v>45503</v>
      </c>
      <c r="R128">
        <f>WEEKNUM(Table2[[#This Row],[OrderDate]])</f>
        <v>31</v>
      </c>
      <c r="S128" s="1">
        <v>45510</v>
      </c>
      <c r="T128" t="s">
        <v>2920</v>
      </c>
    </row>
    <row r="129" spans="1:20" x14ac:dyDescent="0.35">
      <c r="A129" s="1">
        <v>45491</v>
      </c>
      <c r="B129" t="s">
        <v>2930</v>
      </c>
      <c r="C129" t="s">
        <v>24</v>
      </c>
      <c r="D129" s="9">
        <v>5</v>
      </c>
      <c r="E129" s="7">
        <v>23.41</v>
      </c>
      <c r="F129" t="s">
        <v>26</v>
      </c>
      <c r="G129" t="s">
        <v>30</v>
      </c>
      <c r="H129" s="12">
        <v>0</v>
      </c>
      <c r="I129" t="s">
        <v>34</v>
      </c>
      <c r="J129" s="7">
        <f>Table2[[#This Row],[UnitPrice]]*Table2[[#This Row],[Quantity]]*(1-Table2[[#This Row],[Discount]])</f>
        <v>117.05</v>
      </c>
      <c r="K129" t="s">
        <v>40</v>
      </c>
      <c r="L129" t="s">
        <v>45</v>
      </c>
      <c r="M129">
        <v>0</v>
      </c>
      <c r="N129" t="s">
        <v>173</v>
      </c>
      <c r="O129" t="s">
        <v>1673</v>
      </c>
      <c r="P129" s="7">
        <v>26.44</v>
      </c>
      <c r="Q129" s="1">
        <v>45491</v>
      </c>
      <c r="R129">
        <f>WEEKNUM(Table2[[#This Row],[OrderDate]])</f>
        <v>29</v>
      </c>
      <c r="S129" s="1">
        <v>45500</v>
      </c>
      <c r="T129" t="s">
        <v>2917</v>
      </c>
    </row>
    <row r="130" spans="1:20" x14ac:dyDescent="0.35">
      <c r="A130" s="1">
        <v>45530</v>
      </c>
      <c r="B130" t="s">
        <v>2930</v>
      </c>
      <c r="C130" t="s">
        <v>25</v>
      </c>
      <c r="D130" s="9">
        <v>20</v>
      </c>
      <c r="E130" s="7">
        <v>488.9</v>
      </c>
      <c r="F130" t="s">
        <v>28</v>
      </c>
      <c r="G130" t="s">
        <v>30</v>
      </c>
      <c r="H130" s="12">
        <v>0.15</v>
      </c>
      <c r="I130" t="s">
        <v>32</v>
      </c>
      <c r="J130" s="7">
        <f>Table2[[#This Row],[UnitPrice]]*Table2[[#This Row],[Quantity]]*(1-Table2[[#This Row],[Discount]])</f>
        <v>8311.2999999999993</v>
      </c>
      <c r="K130" t="s">
        <v>39</v>
      </c>
      <c r="L130" t="s">
        <v>43</v>
      </c>
      <c r="M130">
        <v>0</v>
      </c>
      <c r="N130" t="s">
        <v>174</v>
      </c>
      <c r="O130" t="s">
        <v>1674</v>
      </c>
      <c r="P130" s="7">
        <v>21.77</v>
      </c>
      <c r="Q130" s="1">
        <v>45530</v>
      </c>
      <c r="R130">
        <f>WEEKNUM(Table2[[#This Row],[OrderDate]])</f>
        <v>35</v>
      </c>
      <c r="S130" s="1">
        <v>45536</v>
      </c>
      <c r="T130" t="s">
        <v>2917</v>
      </c>
    </row>
    <row r="131" spans="1:20" x14ac:dyDescent="0.35">
      <c r="A131" s="1">
        <v>45816</v>
      </c>
      <c r="B131" t="s">
        <v>2933</v>
      </c>
      <c r="C131" t="s">
        <v>24</v>
      </c>
      <c r="D131" s="9">
        <v>7</v>
      </c>
      <c r="E131" s="7">
        <v>452.56</v>
      </c>
      <c r="F131" t="s">
        <v>27</v>
      </c>
      <c r="G131" t="s">
        <v>30</v>
      </c>
      <c r="H131" s="12">
        <v>0.05</v>
      </c>
      <c r="I131" t="s">
        <v>34</v>
      </c>
      <c r="J131" s="7">
        <f>Table2[[#This Row],[UnitPrice]]*Table2[[#This Row],[Quantity]]*(1-Table2[[#This Row],[Discount]])</f>
        <v>3009.5239999999999</v>
      </c>
      <c r="K131" t="s">
        <v>39</v>
      </c>
      <c r="L131" t="s">
        <v>43</v>
      </c>
      <c r="M131">
        <v>0</v>
      </c>
      <c r="N131" t="s">
        <v>175</v>
      </c>
      <c r="O131" t="s">
        <v>1675</v>
      </c>
      <c r="P131" s="7">
        <v>46.97</v>
      </c>
      <c r="Q131" s="1">
        <v>45816</v>
      </c>
      <c r="R131">
        <f>WEEKNUM(Table2[[#This Row],[OrderDate]])</f>
        <v>24</v>
      </c>
      <c r="S131" s="1">
        <v>45823</v>
      </c>
      <c r="T131" t="s">
        <v>2921</v>
      </c>
    </row>
    <row r="132" spans="1:20" x14ac:dyDescent="0.35">
      <c r="A132" s="1">
        <v>45793</v>
      </c>
      <c r="B132" t="s">
        <v>2931</v>
      </c>
      <c r="C132" t="s">
        <v>21</v>
      </c>
      <c r="D132" s="9">
        <v>11</v>
      </c>
      <c r="E132" s="7">
        <v>465.24</v>
      </c>
      <c r="F132" t="s">
        <v>27</v>
      </c>
      <c r="G132" t="s">
        <v>30</v>
      </c>
      <c r="H132" s="12">
        <v>0</v>
      </c>
      <c r="I132" t="s">
        <v>35</v>
      </c>
      <c r="J132" s="7">
        <f>Table2[[#This Row],[UnitPrice]]*Table2[[#This Row],[Quantity]]*(1-Table2[[#This Row],[Discount]])</f>
        <v>5117.6400000000003</v>
      </c>
      <c r="K132" t="s">
        <v>41</v>
      </c>
      <c r="L132" t="s">
        <v>2937</v>
      </c>
      <c r="M132">
        <v>1</v>
      </c>
      <c r="N132" t="s">
        <v>176</v>
      </c>
      <c r="O132" t="s">
        <v>1676</v>
      </c>
      <c r="P132" s="7">
        <v>17.59</v>
      </c>
      <c r="Q132" s="1">
        <v>45793</v>
      </c>
      <c r="R132">
        <f>WEEKNUM(Table2[[#This Row],[OrderDate]])</f>
        <v>20</v>
      </c>
      <c r="S132" s="1">
        <v>45800</v>
      </c>
      <c r="T132" t="s">
        <v>2919</v>
      </c>
    </row>
    <row r="133" spans="1:20" x14ac:dyDescent="0.35">
      <c r="A133" s="1">
        <v>45491</v>
      </c>
      <c r="B133" t="s">
        <v>2930</v>
      </c>
      <c r="C133" t="s">
        <v>20</v>
      </c>
      <c r="D133" s="9">
        <v>14</v>
      </c>
      <c r="E133" s="7">
        <v>442.65</v>
      </c>
      <c r="F133" t="s">
        <v>26</v>
      </c>
      <c r="G133" t="s">
        <v>31</v>
      </c>
      <c r="H133" s="12">
        <v>0</v>
      </c>
      <c r="I133" t="s">
        <v>32</v>
      </c>
      <c r="J133" s="7">
        <f>Table2[[#This Row],[UnitPrice]]*Table2[[#This Row],[Quantity]]*(1-Table2[[#This Row],[Discount]])</f>
        <v>6197.0999999999995</v>
      </c>
      <c r="K133" t="s">
        <v>39</v>
      </c>
      <c r="L133" t="s">
        <v>44</v>
      </c>
      <c r="M133">
        <v>0</v>
      </c>
      <c r="N133" t="s">
        <v>177</v>
      </c>
      <c r="O133" t="s">
        <v>1677</v>
      </c>
      <c r="P133" s="7">
        <v>28.76</v>
      </c>
      <c r="Q133" s="1">
        <v>45491</v>
      </c>
      <c r="R133">
        <f>WEEKNUM(Table2[[#This Row],[OrderDate]])</f>
        <v>29</v>
      </c>
      <c r="S133" s="1">
        <v>45497</v>
      </c>
      <c r="T133" t="s">
        <v>2917</v>
      </c>
    </row>
    <row r="134" spans="1:20" x14ac:dyDescent="0.35">
      <c r="A134" s="1">
        <v>45186</v>
      </c>
      <c r="B134" t="s">
        <v>2933</v>
      </c>
      <c r="C134" t="s">
        <v>19</v>
      </c>
      <c r="D134" s="9">
        <v>12</v>
      </c>
      <c r="E134" s="7">
        <v>469.44</v>
      </c>
      <c r="F134" t="s">
        <v>26</v>
      </c>
      <c r="G134" t="s">
        <v>30</v>
      </c>
      <c r="H134" s="12">
        <v>0</v>
      </c>
      <c r="I134" t="s">
        <v>37</v>
      </c>
      <c r="J134" s="7">
        <f>Table2[[#This Row],[UnitPrice]]*Table2[[#This Row],[Quantity]]*(1-Table2[[#This Row],[Discount]])</f>
        <v>5633.28</v>
      </c>
      <c r="K134" t="s">
        <v>38</v>
      </c>
      <c r="L134" t="s">
        <v>43</v>
      </c>
      <c r="M134">
        <v>0</v>
      </c>
      <c r="N134" t="s">
        <v>178</v>
      </c>
      <c r="O134" t="s">
        <v>1678</v>
      </c>
      <c r="P134" s="7">
        <v>33.299999999999997</v>
      </c>
      <c r="Q134" s="1">
        <v>45186</v>
      </c>
      <c r="R134">
        <f>WEEKNUM(Table2[[#This Row],[OrderDate]])</f>
        <v>38</v>
      </c>
      <c r="S134" s="1">
        <v>45195</v>
      </c>
      <c r="T134" t="s">
        <v>2921</v>
      </c>
    </row>
    <row r="135" spans="1:20" x14ac:dyDescent="0.35">
      <c r="A135" s="1">
        <v>44998</v>
      </c>
      <c r="B135" t="s">
        <v>2930</v>
      </c>
      <c r="C135" t="s">
        <v>23</v>
      </c>
      <c r="D135" s="9">
        <v>14</v>
      </c>
      <c r="E135" s="7">
        <v>248.77</v>
      </c>
      <c r="F135" t="s">
        <v>28</v>
      </c>
      <c r="G135" t="s">
        <v>30</v>
      </c>
      <c r="H135" s="12">
        <v>0.05</v>
      </c>
      <c r="I135" t="s">
        <v>37</v>
      </c>
      <c r="J135" s="7">
        <f>Table2[[#This Row],[UnitPrice]]*Table2[[#This Row],[Quantity]]*(1-Table2[[#This Row],[Discount]])</f>
        <v>3308.6410000000001</v>
      </c>
      <c r="K135" t="s">
        <v>41</v>
      </c>
      <c r="L135" t="s">
        <v>43</v>
      </c>
      <c r="M135">
        <v>1</v>
      </c>
      <c r="N135" t="s">
        <v>179</v>
      </c>
      <c r="O135" t="s">
        <v>1679</v>
      </c>
      <c r="P135" s="7">
        <v>21.76</v>
      </c>
      <c r="Q135" s="1">
        <v>44998</v>
      </c>
      <c r="R135">
        <f>WEEKNUM(Table2[[#This Row],[OrderDate]])</f>
        <v>11</v>
      </c>
      <c r="S135" s="1">
        <v>45004</v>
      </c>
      <c r="T135" t="s">
        <v>2917</v>
      </c>
    </row>
    <row r="136" spans="1:20" x14ac:dyDescent="0.35">
      <c r="A136" s="1">
        <v>45014</v>
      </c>
      <c r="B136" t="s">
        <v>2932</v>
      </c>
      <c r="C136" t="s">
        <v>22</v>
      </c>
      <c r="D136" s="9">
        <v>4</v>
      </c>
      <c r="E136" s="7">
        <v>565.29</v>
      </c>
      <c r="F136" t="s">
        <v>29</v>
      </c>
      <c r="G136" t="s">
        <v>30</v>
      </c>
      <c r="H136" s="12">
        <v>0.05</v>
      </c>
      <c r="I136" t="s">
        <v>33</v>
      </c>
      <c r="J136" s="7">
        <f>Table2[[#This Row],[UnitPrice]]*Table2[[#This Row],[Quantity]]*(1-Table2[[#This Row],[Discount]])</f>
        <v>2148.1019999999999</v>
      </c>
      <c r="K136" t="s">
        <v>42</v>
      </c>
      <c r="L136" t="s">
        <v>2937</v>
      </c>
      <c r="M136">
        <v>0</v>
      </c>
      <c r="N136" t="s">
        <v>180</v>
      </c>
      <c r="O136" t="s">
        <v>1680</v>
      </c>
      <c r="P136" s="7">
        <v>27.04</v>
      </c>
      <c r="Q136" s="1">
        <v>45014</v>
      </c>
      <c r="R136">
        <f>WEEKNUM(Table2[[#This Row],[OrderDate]])</f>
        <v>13</v>
      </c>
      <c r="S136" s="1">
        <v>45019</v>
      </c>
      <c r="T136" t="s">
        <v>2918</v>
      </c>
    </row>
    <row r="137" spans="1:20" x14ac:dyDescent="0.35">
      <c r="A137" s="1">
        <v>45121</v>
      </c>
      <c r="B137" t="s">
        <v>2934</v>
      </c>
      <c r="C137" t="s">
        <v>21</v>
      </c>
      <c r="D137" s="9">
        <v>12</v>
      </c>
      <c r="E137" s="7">
        <v>244.8</v>
      </c>
      <c r="F137" t="s">
        <v>26</v>
      </c>
      <c r="G137" t="s">
        <v>30</v>
      </c>
      <c r="H137" s="12">
        <v>0.05</v>
      </c>
      <c r="I137" t="s">
        <v>34</v>
      </c>
      <c r="J137" s="7">
        <f>Table2[[#This Row],[UnitPrice]]*Table2[[#This Row],[Quantity]]*(1-Table2[[#This Row],[Discount]])</f>
        <v>2790.7200000000003</v>
      </c>
      <c r="K137" t="s">
        <v>38</v>
      </c>
      <c r="L137" t="s">
        <v>43</v>
      </c>
      <c r="M137">
        <v>0</v>
      </c>
      <c r="N137" t="s">
        <v>181</v>
      </c>
      <c r="O137" t="s">
        <v>1681</v>
      </c>
      <c r="P137" s="7">
        <v>44.75</v>
      </c>
      <c r="Q137" s="1">
        <v>45121</v>
      </c>
      <c r="R137">
        <f>WEEKNUM(Table2[[#This Row],[OrderDate]])</f>
        <v>28</v>
      </c>
      <c r="S137" s="1">
        <v>45130</v>
      </c>
      <c r="T137" t="s">
        <v>2920</v>
      </c>
    </row>
    <row r="138" spans="1:20" x14ac:dyDescent="0.35">
      <c r="A138" s="1">
        <v>45373</v>
      </c>
      <c r="B138" t="s">
        <v>2933</v>
      </c>
      <c r="C138" t="s">
        <v>19</v>
      </c>
      <c r="D138" s="9">
        <v>13</v>
      </c>
      <c r="E138" s="7">
        <v>290.93</v>
      </c>
      <c r="F138" t="s">
        <v>28</v>
      </c>
      <c r="G138" t="s">
        <v>31</v>
      </c>
      <c r="H138" s="12">
        <v>0.05</v>
      </c>
      <c r="I138" t="s">
        <v>36</v>
      </c>
      <c r="J138" s="7">
        <f>Table2[[#This Row],[UnitPrice]]*Table2[[#This Row],[Quantity]]*(1-Table2[[#This Row],[Discount]])</f>
        <v>3592.9854999999998</v>
      </c>
      <c r="K138" t="s">
        <v>40</v>
      </c>
      <c r="L138" t="s">
        <v>43</v>
      </c>
      <c r="M138">
        <v>0</v>
      </c>
      <c r="N138" t="s">
        <v>182</v>
      </c>
      <c r="O138" t="s">
        <v>1682</v>
      </c>
      <c r="P138" s="7">
        <v>26.09</v>
      </c>
      <c r="Q138" s="1">
        <v>45373</v>
      </c>
      <c r="R138">
        <f>WEEKNUM(Table2[[#This Row],[OrderDate]])</f>
        <v>12</v>
      </c>
      <c r="S138" s="1">
        <v>45382</v>
      </c>
      <c r="T138" t="s">
        <v>2921</v>
      </c>
    </row>
    <row r="139" spans="1:20" x14ac:dyDescent="0.35">
      <c r="A139" s="1">
        <v>45426</v>
      </c>
      <c r="B139" t="s">
        <v>2934</v>
      </c>
      <c r="C139" t="s">
        <v>19</v>
      </c>
      <c r="D139" s="9">
        <v>11</v>
      </c>
      <c r="E139" s="7">
        <v>229.49</v>
      </c>
      <c r="F139" t="s">
        <v>28</v>
      </c>
      <c r="G139" t="s">
        <v>31</v>
      </c>
      <c r="H139" s="12">
        <v>0.1</v>
      </c>
      <c r="I139" t="s">
        <v>37</v>
      </c>
      <c r="J139" s="7">
        <f>Table2[[#This Row],[UnitPrice]]*Table2[[#This Row],[Quantity]]*(1-Table2[[#This Row],[Discount]])</f>
        <v>2271.9510000000005</v>
      </c>
      <c r="K139" t="s">
        <v>42</v>
      </c>
      <c r="L139" t="s">
        <v>2937</v>
      </c>
      <c r="M139">
        <v>0</v>
      </c>
      <c r="N139" t="s">
        <v>183</v>
      </c>
      <c r="O139" t="s">
        <v>1683</v>
      </c>
      <c r="P139" s="7">
        <v>35.39</v>
      </c>
      <c r="Q139" s="1">
        <v>45426</v>
      </c>
      <c r="R139">
        <f>WEEKNUM(Table2[[#This Row],[OrderDate]])</f>
        <v>20</v>
      </c>
      <c r="S139" s="1">
        <v>45429</v>
      </c>
      <c r="T139" t="s">
        <v>2920</v>
      </c>
    </row>
    <row r="140" spans="1:20" x14ac:dyDescent="0.35">
      <c r="A140" s="1">
        <v>45076</v>
      </c>
      <c r="B140" t="s">
        <v>2934</v>
      </c>
      <c r="C140" t="s">
        <v>23</v>
      </c>
      <c r="D140" s="9">
        <v>2</v>
      </c>
      <c r="E140" s="7">
        <v>427.36</v>
      </c>
      <c r="F140" t="s">
        <v>27</v>
      </c>
      <c r="G140" t="s">
        <v>30</v>
      </c>
      <c r="H140" s="12">
        <v>0.05</v>
      </c>
      <c r="I140" t="s">
        <v>36</v>
      </c>
      <c r="J140" s="7">
        <f>Table2[[#This Row],[UnitPrice]]*Table2[[#This Row],[Quantity]]*(1-Table2[[#This Row],[Discount]])</f>
        <v>811.98400000000004</v>
      </c>
      <c r="K140" t="s">
        <v>38</v>
      </c>
      <c r="L140" t="s">
        <v>44</v>
      </c>
      <c r="M140">
        <v>0</v>
      </c>
      <c r="N140" t="s">
        <v>184</v>
      </c>
      <c r="O140" t="s">
        <v>1684</v>
      </c>
      <c r="P140" s="7">
        <v>19.420000000000002</v>
      </c>
      <c r="Q140" s="1">
        <v>45076</v>
      </c>
      <c r="R140">
        <f>WEEKNUM(Table2[[#This Row],[OrderDate]])</f>
        <v>22</v>
      </c>
      <c r="S140" s="1">
        <v>45079</v>
      </c>
      <c r="T140" t="s">
        <v>2920</v>
      </c>
    </row>
    <row r="141" spans="1:20" x14ac:dyDescent="0.35">
      <c r="A141" s="1">
        <v>45004</v>
      </c>
      <c r="B141" t="s">
        <v>2931</v>
      </c>
      <c r="C141" t="s">
        <v>20</v>
      </c>
      <c r="D141" s="9">
        <v>2</v>
      </c>
      <c r="E141" s="7">
        <v>443.51</v>
      </c>
      <c r="F141" t="s">
        <v>28</v>
      </c>
      <c r="G141" t="s">
        <v>30</v>
      </c>
      <c r="H141" s="12">
        <v>0.05</v>
      </c>
      <c r="I141" t="s">
        <v>33</v>
      </c>
      <c r="J141" s="7">
        <f>Table2[[#This Row],[UnitPrice]]*Table2[[#This Row],[Quantity]]*(1-Table2[[#This Row],[Discount]])</f>
        <v>842.66899999999998</v>
      </c>
      <c r="K141" t="s">
        <v>42</v>
      </c>
      <c r="L141" t="s">
        <v>2937</v>
      </c>
      <c r="M141">
        <v>0</v>
      </c>
      <c r="N141" t="s">
        <v>185</v>
      </c>
      <c r="O141" t="s">
        <v>1685</v>
      </c>
      <c r="P141" s="7">
        <v>13.65</v>
      </c>
      <c r="Q141" s="1">
        <v>45004</v>
      </c>
      <c r="R141">
        <f>WEEKNUM(Table2[[#This Row],[OrderDate]])</f>
        <v>12</v>
      </c>
      <c r="S141" s="1">
        <v>45007</v>
      </c>
      <c r="T141" t="s">
        <v>2919</v>
      </c>
    </row>
    <row r="142" spans="1:20" x14ac:dyDescent="0.35">
      <c r="A142" s="1">
        <v>45147</v>
      </c>
      <c r="B142" t="s">
        <v>2934</v>
      </c>
      <c r="C142" t="s">
        <v>21</v>
      </c>
      <c r="D142" s="9">
        <v>13</v>
      </c>
      <c r="E142" s="7">
        <v>280.63</v>
      </c>
      <c r="F142" t="s">
        <v>26</v>
      </c>
      <c r="G142" t="s">
        <v>30</v>
      </c>
      <c r="H142" s="12">
        <v>0.15</v>
      </c>
      <c r="I142" t="s">
        <v>33</v>
      </c>
      <c r="J142" s="7">
        <f>Table2[[#This Row],[UnitPrice]]*Table2[[#This Row],[Quantity]]*(1-Table2[[#This Row],[Discount]])</f>
        <v>3100.9614999999999</v>
      </c>
      <c r="K142" t="s">
        <v>40</v>
      </c>
      <c r="L142" t="s">
        <v>44</v>
      </c>
      <c r="M142">
        <v>0</v>
      </c>
      <c r="N142" t="s">
        <v>186</v>
      </c>
      <c r="O142" t="s">
        <v>1686</v>
      </c>
      <c r="P142" s="7">
        <v>10.14</v>
      </c>
      <c r="Q142" s="1">
        <v>45147</v>
      </c>
      <c r="R142">
        <f>WEEKNUM(Table2[[#This Row],[OrderDate]])</f>
        <v>32</v>
      </c>
      <c r="S142" s="1">
        <v>45152</v>
      </c>
      <c r="T142" t="s">
        <v>2920</v>
      </c>
    </row>
    <row r="143" spans="1:20" x14ac:dyDescent="0.35">
      <c r="A143" s="1">
        <v>45578</v>
      </c>
      <c r="B143" t="s">
        <v>2931</v>
      </c>
      <c r="C143" t="s">
        <v>22</v>
      </c>
      <c r="D143" s="9">
        <v>13</v>
      </c>
      <c r="E143" s="7">
        <v>416.66</v>
      </c>
      <c r="F143" t="s">
        <v>26</v>
      </c>
      <c r="G143" t="s">
        <v>30</v>
      </c>
      <c r="H143" s="12">
        <v>0.15</v>
      </c>
      <c r="I143" t="s">
        <v>37</v>
      </c>
      <c r="J143" s="7">
        <f>Table2[[#This Row],[UnitPrice]]*Table2[[#This Row],[Quantity]]*(1-Table2[[#This Row],[Discount]])</f>
        <v>4604.0929999999998</v>
      </c>
      <c r="K143" t="s">
        <v>40</v>
      </c>
      <c r="L143" t="s">
        <v>45</v>
      </c>
      <c r="M143">
        <v>0</v>
      </c>
      <c r="N143" t="s">
        <v>187</v>
      </c>
      <c r="O143" t="s">
        <v>1687</v>
      </c>
      <c r="P143" s="7">
        <v>21.74</v>
      </c>
      <c r="Q143" s="1">
        <v>45578</v>
      </c>
      <c r="R143">
        <f>WEEKNUM(Table2[[#This Row],[OrderDate]])</f>
        <v>42</v>
      </c>
      <c r="S143" s="1">
        <v>45585</v>
      </c>
      <c r="T143" t="s">
        <v>2919</v>
      </c>
    </row>
    <row r="144" spans="1:20" x14ac:dyDescent="0.35">
      <c r="A144" s="1">
        <v>45705</v>
      </c>
      <c r="B144" t="s">
        <v>2930</v>
      </c>
      <c r="C144" t="s">
        <v>22</v>
      </c>
      <c r="D144" s="9">
        <v>11</v>
      </c>
      <c r="E144" s="7">
        <v>589.48</v>
      </c>
      <c r="F144" t="s">
        <v>26</v>
      </c>
      <c r="G144" t="s">
        <v>31</v>
      </c>
      <c r="H144" s="12">
        <v>0</v>
      </c>
      <c r="I144" t="s">
        <v>33</v>
      </c>
      <c r="J144" s="7">
        <f>Table2[[#This Row],[UnitPrice]]*Table2[[#This Row],[Quantity]]*(1-Table2[[#This Row],[Discount]])</f>
        <v>6484.2800000000007</v>
      </c>
      <c r="K144" t="s">
        <v>38</v>
      </c>
      <c r="L144" t="s">
        <v>45</v>
      </c>
      <c r="M144">
        <v>0</v>
      </c>
      <c r="N144" t="s">
        <v>188</v>
      </c>
      <c r="O144" t="s">
        <v>1688</v>
      </c>
      <c r="P144" s="7">
        <v>49.93</v>
      </c>
      <c r="Q144" s="1">
        <v>45705</v>
      </c>
      <c r="R144">
        <f>WEEKNUM(Table2[[#This Row],[OrderDate]])</f>
        <v>8</v>
      </c>
      <c r="S144" s="1">
        <v>45713</v>
      </c>
      <c r="T144" t="s">
        <v>2917</v>
      </c>
    </row>
    <row r="145" spans="1:20" x14ac:dyDescent="0.35">
      <c r="A145" s="1">
        <v>45819</v>
      </c>
      <c r="B145" t="s">
        <v>2931</v>
      </c>
      <c r="C145" t="s">
        <v>20</v>
      </c>
      <c r="D145" s="9">
        <v>18</v>
      </c>
      <c r="E145" s="7">
        <v>152.84</v>
      </c>
      <c r="F145" t="s">
        <v>28</v>
      </c>
      <c r="G145" t="s">
        <v>31</v>
      </c>
      <c r="H145" s="12">
        <v>0.15</v>
      </c>
      <c r="I145" t="s">
        <v>36</v>
      </c>
      <c r="J145" s="7">
        <f>Table2[[#This Row],[UnitPrice]]*Table2[[#This Row],[Quantity]]*(1-Table2[[#This Row],[Discount]])</f>
        <v>2338.4519999999998</v>
      </c>
      <c r="K145" t="s">
        <v>41</v>
      </c>
      <c r="L145" t="s">
        <v>43</v>
      </c>
      <c r="M145">
        <v>1</v>
      </c>
      <c r="N145" t="s">
        <v>189</v>
      </c>
      <c r="O145" t="s">
        <v>1689</v>
      </c>
      <c r="P145" s="7">
        <v>20.3</v>
      </c>
      <c r="Q145" s="1">
        <v>45819</v>
      </c>
      <c r="R145">
        <f>WEEKNUM(Table2[[#This Row],[OrderDate]])</f>
        <v>24</v>
      </c>
      <c r="S145" s="1">
        <v>45828</v>
      </c>
      <c r="T145" t="s">
        <v>2919</v>
      </c>
    </row>
    <row r="146" spans="1:20" x14ac:dyDescent="0.35">
      <c r="A146" s="1">
        <v>45411</v>
      </c>
      <c r="B146" t="s">
        <v>2934</v>
      </c>
      <c r="C146" t="s">
        <v>24</v>
      </c>
      <c r="D146" s="9">
        <v>4</v>
      </c>
      <c r="E146" s="7">
        <v>163.66</v>
      </c>
      <c r="F146" t="s">
        <v>26</v>
      </c>
      <c r="G146" t="s">
        <v>31</v>
      </c>
      <c r="H146" s="12">
        <v>0</v>
      </c>
      <c r="I146" t="s">
        <v>37</v>
      </c>
      <c r="J146" s="7">
        <f>Table2[[#This Row],[UnitPrice]]*Table2[[#This Row],[Quantity]]*(1-Table2[[#This Row],[Discount]])</f>
        <v>654.64</v>
      </c>
      <c r="K146" t="s">
        <v>39</v>
      </c>
      <c r="L146" t="s">
        <v>45</v>
      </c>
      <c r="M146">
        <v>1</v>
      </c>
      <c r="N146" t="s">
        <v>190</v>
      </c>
      <c r="O146" t="s">
        <v>1690</v>
      </c>
      <c r="P146" s="7">
        <v>31.8</v>
      </c>
      <c r="Q146" s="1">
        <v>45411</v>
      </c>
      <c r="R146">
        <f>WEEKNUM(Table2[[#This Row],[OrderDate]])</f>
        <v>18</v>
      </c>
      <c r="S146" s="1">
        <v>45413</v>
      </c>
      <c r="T146" t="s">
        <v>2920</v>
      </c>
    </row>
    <row r="147" spans="1:20" x14ac:dyDescent="0.35">
      <c r="A147" s="1">
        <v>45003</v>
      </c>
      <c r="B147" t="s">
        <v>2933</v>
      </c>
      <c r="C147" t="s">
        <v>19</v>
      </c>
      <c r="D147" s="9">
        <v>19</v>
      </c>
      <c r="E147" s="7">
        <v>484.25</v>
      </c>
      <c r="F147" t="s">
        <v>28</v>
      </c>
      <c r="G147" t="s">
        <v>30</v>
      </c>
      <c r="H147" s="12">
        <v>0.15</v>
      </c>
      <c r="I147" t="s">
        <v>37</v>
      </c>
      <c r="J147" s="7">
        <f>Table2[[#This Row],[UnitPrice]]*Table2[[#This Row],[Quantity]]*(1-Table2[[#This Row],[Discount]])</f>
        <v>7820.6374999999998</v>
      </c>
      <c r="K147" t="s">
        <v>41</v>
      </c>
      <c r="L147" t="s">
        <v>43</v>
      </c>
      <c r="M147">
        <v>1</v>
      </c>
      <c r="N147" t="s">
        <v>191</v>
      </c>
      <c r="O147" t="s">
        <v>1691</v>
      </c>
      <c r="P147" s="7">
        <v>29.51</v>
      </c>
      <c r="Q147" s="1">
        <v>45003</v>
      </c>
      <c r="R147">
        <f>WEEKNUM(Table2[[#This Row],[OrderDate]])</f>
        <v>11</v>
      </c>
      <c r="S147" s="1">
        <v>45005</v>
      </c>
      <c r="T147" t="s">
        <v>2921</v>
      </c>
    </row>
    <row r="148" spans="1:20" x14ac:dyDescent="0.35">
      <c r="A148" s="1">
        <v>45647</v>
      </c>
      <c r="B148" t="s">
        <v>2931</v>
      </c>
      <c r="C148" t="s">
        <v>22</v>
      </c>
      <c r="D148" s="9">
        <v>9</v>
      </c>
      <c r="E148" s="7">
        <v>380.4</v>
      </c>
      <c r="F148" t="s">
        <v>26</v>
      </c>
      <c r="G148" t="s">
        <v>31</v>
      </c>
      <c r="H148" s="12">
        <v>0.1</v>
      </c>
      <c r="I148" t="s">
        <v>35</v>
      </c>
      <c r="J148" s="7">
        <f>Table2[[#This Row],[UnitPrice]]*Table2[[#This Row],[Quantity]]*(1-Table2[[#This Row],[Discount]])</f>
        <v>3081.24</v>
      </c>
      <c r="K148" t="s">
        <v>40</v>
      </c>
      <c r="L148" t="s">
        <v>2937</v>
      </c>
      <c r="M148">
        <v>0</v>
      </c>
      <c r="N148" t="s">
        <v>192</v>
      </c>
      <c r="O148" t="s">
        <v>1692</v>
      </c>
      <c r="P148" s="7">
        <v>31</v>
      </c>
      <c r="Q148" s="1">
        <v>45647</v>
      </c>
      <c r="R148">
        <f>WEEKNUM(Table2[[#This Row],[OrderDate]])</f>
        <v>51</v>
      </c>
      <c r="S148" s="1">
        <v>45653</v>
      </c>
      <c r="T148" t="s">
        <v>2919</v>
      </c>
    </row>
    <row r="149" spans="1:20" x14ac:dyDescent="0.35">
      <c r="A149" s="1">
        <v>45039</v>
      </c>
      <c r="B149" t="s">
        <v>2933</v>
      </c>
      <c r="C149" t="s">
        <v>22</v>
      </c>
      <c r="D149" s="9">
        <v>17</v>
      </c>
      <c r="E149" s="7">
        <v>332.38</v>
      </c>
      <c r="F149" t="s">
        <v>27</v>
      </c>
      <c r="G149" t="s">
        <v>31</v>
      </c>
      <c r="H149" s="12">
        <v>0.1</v>
      </c>
      <c r="I149" t="s">
        <v>34</v>
      </c>
      <c r="J149" s="7">
        <f>Table2[[#This Row],[UnitPrice]]*Table2[[#This Row],[Quantity]]*(1-Table2[[#This Row],[Discount]])</f>
        <v>5085.4139999999998</v>
      </c>
      <c r="K149" t="s">
        <v>40</v>
      </c>
      <c r="L149" t="s">
        <v>44</v>
      </c>
      <c r="M149">
        <v>1</v>
      </c>
      <c r="N149" t="s">
        <v>193</v>
      </c>
      <c r="O149" t="s">
        <v>1693</v>
      </c>
      <c r="P149" s="7">
        <v>33.81</v>
      </c>
      <c r="Q149" s="1">
        <v>45039</v>
      </c>
      <c r="R149">
        <f>WEEKNUM(Table2[[#This Row],[OrderDate]])</f>
        <v>17</v>
      </c>
      <c r="S149" s="1">
        <v>45048</v>
      </c>
      <c r="T149" t="s">
        <v>2921</v>
      </c>
    </row>
    <row r="150" spans="1:20" x14ac:dyDescent="0.35">
      <c r="A150" s="1">
        <v>45788</v>
      </c>
      <c r="B150" t="s">
        <v>2934</v>
      </c>
      <c r="C150" t="s">
        <v>22</v>
      </c>
      <c r="D150" s="9">
        <v>15</v>
      </c>
      <c r="E150" s="7">
        <v>210.94</v>
      </c>
      <c r="F150" t="s">
        <v>28</v>
      </c>
      <c r="G150" t="s">
        <v>30</v>
      </c>
      <c r="H150" s="12">
        <v>0.05</v>
      </c>
      <c r="I150" t="s">
        <v>34</v>
      </c>
      <c r="J150" s="7">
        <f>Table2[[#This Row],[UnitPrice]]*Table2[[#This Row],[Quantity]]*(1-Table2[[#This Row],[Discount]])</f>
        <v>3005.895</v>
      </c>
      <c r="K150" t="s">
        <v>38</v>
      </c>
      <c r="L150" t="s">
        <v>44</v>
      </c>
      <c r="M150">
        <v>0</v>
      </c>
      <c r="N150" t="s">
        <v>194</v>
      </c>
      <c r="O150" t="s">
        <v>1694</v>
      </c>
      <c r="P150" s="7">
        <v>10.91</v>
      </c>
      <c r="Q150" s="1">
        <v>45788</v>
      </c>
      <c r="R150">
        <f>WEEKNUM(Table2[[#This Row],[OrderDate]])</f>
        <v>20</v>
      </c>
      <c r="S150" s="1">
        <v>45798</v>
      </c>
      <c r="T150" t="s">
        <v>2920</v>
      </c>
    </row>
    <row r="151" spans="1:20" x14ac:dyDescent="0.35">
      <c r="A151" s="1">
        <v>45354</v>
      </c>
      <c r="B151" t="s">
        <v>2932</v>
      </c>
      <c r="C151" t="s">
        <v>20</v>
      </c>
      <c r="D151" s="9">
        <v>9</v>
      </c>
      <c r="E151" s="7">
        <v>382.8</v>
      </c>
      <c r="F151" t="s">
        <v>29</v>
      </c>
      <c r="G151" t="s">
        <v>30</v>
      </c>
      <c r="H151" s="12">
        <v>0</v>
      </c>
      <c r="I151" t="s">
        <v>32</v>
      </c>
      <c r="J151" s="7">
        <f>Table2[[#This Row],[UnitPrice]]*Table2[[#This Row],[Quantity]]*(1-Table2[[#This Row],[Discount]])</f>
        <v>3445.2000000000003</v>
      </c>
      <c r="K151" t="s">
        <v>42</v>
      </c>
      <c r="L151" t="s">
        <v>2937</v>
      </c>
      <c r="M151">
        <v>0</v>
      </c>
      <c r="N151" t="s">
        <v>195</v>
      </c>
      <c r="O151" t="s">
        <v>1695</v>
      </c>
      <c r="P151" s="7">
        <v>47.94</v>
      </c>
      <c r="Q151" s="1">
        <v>45354</v>
      </c>
      <c r="R151">
        <f>WEEKNUM(Table2[[#This Row],[OrderDate]])</f>
        <v>10</v>
      </c>
      <c r="S151" s="1">
        <v>45356</v>
      </c>
      <c r="T151" t="s">
        <v>2918</v>
      </c>
    </row>
    <row r="152" spans="1:20" x14ac:dyDescent="0.35">
      <c r="A152" s="1">
        <v>45677</v>
      </c>
      <c r="B152" t="s">
        <v>2931</v>
      </c>
      <c r="C152" t="s">
        <v>23</v>
      </c>
      <c r="D152" s="9">
        <v>3</v>
      </c>
      <c r="E152" s="7">
        <v>386.29</v>
      </c>
      <c r="F152" t="s">
        <v>28</v>
      </c>
      <c r="G152" t="s">
        <v>31</v>
      </c>
      <c r="H152" s="12">
        <v>0.15</v>
      </c>
      <c r="I152" t="s">
        <v>35</v>
      </c>
      <c r="J152" s="7">
        <f>Table2[[#This Row],[UnitPrice]]*Table2[[#This Row],[Quantity]]*(1-Table2[[#This Row],[Discount]])</f>
        <v>985.03950000000009</v>
      </c>
      <c r="K152" t="s">
        <v>40</v>
      </c>
      <c r="L152" t="s">
        <v>43</v>
      </c>
      <c r="M152">
        <v>0</v>
      </c>
      <c r="N152" t="s">
        <v>196</v>
      </c>
      <c r="O152" t="s">
        <v>1696</v>
      </c>
      <c r="P152" s="7">
        <v>32.450000000000003</v>
      </c>
      <c r="Q152" s="1">
        <v>45677</v>
      </c>
      <c r="R152">
        <f>WEEKNUM(Table2[[#This Row],[OrderDate]])</f>
        <v>4</v>
      </c>
      <c r="S152" s="1">
        <v>45687</v>
      </c>
      <c r="T152" t="s">
        <v>2919</v>
      </c>
    </row>
    <row r="153" spans="1:20" x14ac:dyDescent="0.35">
      <c r="A153" s="1">
        <v>45738</v>
      </c>
      <c r="B153" t="s">
        <v>2931</v>
      </c>
      <c r="C153" t="s">
        <v>24</v>
      </c>
      <c r="D153" s="9">
        <v>5</v>
      </c>
      <c r="E153" s="7">
        <v>225.99</v>
      </c>
      <c r="F153" t="s">
        <v>28</v>
      </c>
      <c r="G153" t="s">
        <v>31</v>
      </c>
      <c r="H153" s="12">
        <v>0</v>
      </c>
      <c r="I153" t="s">
        <v>32</v>
      </c>
      <c r="J153" s="7">
        <f>Table2[[#This Row],[UnitPrice]]*Table2[[#This Row],[Quantity]]*(1-Table2[[#This Row],[Discount]])</f>
        <v>1129.95</v>
      </c>
      <c r="K153" t="s">
        <v>38</v>
      </c>
      <c r="L153" t="s">
        <v>44</v>
      </c>
      <c r="M153">
        <v>1</v>
      </c>
      <c r="N153" t="s">
        <v>197</v>
      </c>
      <c r="O153" t="s">
        <v>1697</v>
      </c>
      <c r="P153" s="7">
        <v>10.88</v>
      </c>
      <c r="Q153" s="1">
        <v>45738</v>
      </c>
      <c r="R153">
        <f>WEEKNUM(Table2[[#This Row],[OrderDate]])</f>
        <v>12</v>
      </c>
      <c r="S153" s="1">
        <v>45746</v>
      </c>
      <c r="T153" t="s">
        <v>2919</v>
      </c>
    </row>
    <row r="154" spans="1:20" x14ac:dyDescent="0.35">
      <c r="A154" s="1">
        <v>45744</v>
      </c>
      <c r="B154" t="s">
        <v>2932</v>
      </c>
      <c r="C154" t="s">
        <v>25</v>
      </c>
      <c r="D154" s="9">
        <v>20</v>
      </c>
      <c r="E154" s="7">
        <v>312.56</v>
      </c>
      <c r="F154" t="s">
        <v>29</v>
      </c>
      <c r="G154" t="s">
        <v>31</v>
      </c>
      <c r="H154" s="12">
        <v>0.15</v>
      </c>
      <c r="I154" t="s">
        <v>34</v>
      </c>
      <c r="J154" s="7">
        <f>Table2[[#This Row],[UnitPrice]]*Table2[[#This Row],[Quantity]]*(1-Table2[[#This Row],[Discount]])</f>
        <v>5313.5199999999995</v>
      </c>
      <c r="K154" t="s">
        <v>39</v>
      </c>
      <c r="L154" t="s">
        <v>45</v>
      </c>
      <c r="M154">
        <v>0</v>
      </c>
      <c r="N154" t="s">
        <v>198</v>
      </c>
      <c r="O154" t="s">
        <v>1550</v>
      </c>
      <c r="P154" s="7">
        <v>47.39</v>
      </c>
      <c r="Q154" s="1">
        <v>45744</v>
      </c>
      <c r="R154">
        <f>WEEKNUM(Table2[[#This Row],[OrderDate]])</f>
        <v>13</v>
      </c>
      <c r="S154" s="1">
        <v>45746</v>
      </c>
      <c r="T154" t="s">
        <v>2918</v>
      </c>
    </row>
    <row r="155" spans="1:20" x14ac:dyDescent="0.35">
      <c r="A155" s="1">
        <v>45705</v>
      </c>
      <c r="B155" t="s">
        <v>2931</v>
      </c>
      <c r="C155" t="s">
        <v>20</v>
      </c>
      <c r="D155" s="9">
        <v>13</v>
      </c>
      <c r="E155" s="7">
        <v>433.77</v>
      </c>
      <c r="F155" t="s">
        <v>28</v>
      </c>
      <c r="G155" t="s">
        <v>30</v>
      </c>
      <c r="H155" s="12">
        <v>0.05</v>
      </c>
      <c r="I155" t="s">
        <v>34</v>
      </c>
      <c r="J155" s="7">
        <f>Table2[[#This Row],[UnitPrice]]*Table2[[#This Row],[Quantity]]*(1-Table2[[#This Row],[Discount]])</f>
        <v>5357.0595000000003</v>
      </c>
      <c r="K155" t="s">
        <v>42</v>
      </c>
      <c r="L155" t="s">
        <v>43</v>
      </c>
      <c r="M155">
        <v>0</v>
      </c>
      <c r="N155" t="s">
        <v>199</v>
      </c>
      <c r="O155" t="s">
        <v>1698</v>
      </c>
      <c r="P155" s="7">
        <v>17.61</v>
      </c>
      <c r="Q155" s="1">
        <v>45705</v>
      </c>
      <c r="R155">
        <f>WEEKNUM(Table2[[#This Row],[OrderDate]])</f>
        <v>8</v>
      </c>
      <c r="S155" s="1">
        <v>45709</v>
      </c>
      <c r="T155" t="s">
        <v>2919</v>
      </c>
    </row>
    <row r="156" spans="1:20" x14ac:dyDescent="0.35">
      <c r="A156" s="1">
        <v>45604</v>
      </c>
      <c r="B156" t="s">
        <v>2932</v>
      </c>
      <c r="C156" t="s">
        <v>24</v>
      </c>
      <c r="D156" s="9">
        <v>20</v>
      </c>
      <c r="E156" s="7">
        <v>159.33000000000001</v>
      </c>
      <c r="F156" t="s">
        <v>27</v>
      </c>
      <c r="G156" t="s">
        <v>30</v>
      </c>
      <c r="H156" s="12">
        <v>0</v>
      </c>
      <c r="I156" t="s">
        <v>32</v>
      </c>
      <c r="J156" s="7">
        <f>Table2[[#This Row],[UnitPrice]]*Table2[[#This Row],[Quantity]]*(1-Table2[[#This Row],[Discount]])</f>
        <v>3186.6000000000004</v>
      </c>
      <c r="K156" t="s">
        <v>38</v>
      </c>
      <c r="L156" t="s">
        <v>43</v>
      </c>
      <c r="M156">
        <v>0</v>
      </c>
      <c r="N156" t="s">
        <v>200</v>
      </c>
      <c r="O156" t="s">
        <v>1699</v>
      </c>
      <c r="P156" s="7">
        <v>26.32</v>
      </c>
      <c r="Q156" s="1">
        <v>45604</v>
      </c>
      <c r="R156">
        <f>WEEKNUM(Table2[[#This Row],[OrderDate]])</f>
        <v>45</v>
      </c>
      <c r="S156" s="1">
        <v>45607</v>
      </c>
      <c r="T156" t="s">
        <v>2918</v>
      </c>
    </row>
    <row r="157" spans="1:20" x14ac:dyDescent="0.35">
      <c r="A157" s="1">
        <v>45368</v>
      </c>
      <c r="B157" t="s">
        <v>2932</v>
      </c>
      <c r="C157" t="s">
        <v>20</v>
      </c>
      <c r="D157" s="9">
        <v>18</v>
      </c>
      <c r="E157" s="7">
        <v>32.229999999999997</v>
      </c>
      <c r="F157" t="s">
        <v>26</v>
      </c>
      <c r="G157" t="s">
        <v>31</v>
      </c>
      <c r="H157" s="12">
        <v>0.05</v>
      </c>
      <c r="I157" t="s">
        <v>37</v>
      </c>
      <c r="J157" s="7">
        <f>Table2[[#This Row],[UnitPrice]]*Table2[[#This Row],[Quantity]]*(1-Table2[[#This Row],[Discount]])</f>
        <v>551.13299999999992</v>
      </c>
      <c r="K157" t="s">
        <v>40</v>
      </c>
      <c r="L157" t="s">
        <v>43</v>
      </c>
      <c r="M157">
        <v>0</v>
      </c>
      <c r="N157" t="s">
        <v>201</v>
      </c>
      <c r="O157" t="s">
        <v>1700</v>
      </c>
      <c r="P157" s="7">
        <v>6.04</v>
      </c>
      <c r="Q157" s="1">
        <v>45368</v>
      </c>
      <c r="R157">
        <f>WEEKNUM(Table2[[#This Row],[OrderDate]])</f>
        <v>12</v>
      </c>
      <c r="S157" s="1">
        <v>45372</v>
      </c>
      <c r="T157" t="s">
        <v>2918</v>
      </c>
    </row>
    <row r="158" spans="1:20" x14ac:dyDescent="0.35">
      <c r="A158" s="1">
        <v>45167</v>
      </c>
      <c r="B158" t="s">
        <v>2932</v>
      </c>
      <c r="C158" t="s">
        <v>23</v>
      </c>
      <c r="D158" s="9">
        <v>3</v>
      </c>
      <c r="E158" s="7">
        <v>527.77</v>
      </c>
      <c r="F158" t="s">
        <v>28</v>
      </c>
      <c r="G158" t="s">
        <v>31</v>
      </c>
      <c r="H158" s="12">
        <v>0.1</v>
      </c>
      <c r="I158" t="s">
        <v>37</v>
      </c>
      <c r="J158" s="7">
        <f>Table2[[#This Row],[UnitPrice]]*Table2[[#This Row],[Quantity]]*(1-Table2[[#This Row],[Discount]])</f>
        <v>1424.979</v>
      </c>
      <c r="K158" t="s">
        <v>42</v>
      </c>
      <c r="L158" t="s">
        <v>43</v>
      </c>
      <c r="M158">
        <v>0</v>
      </c>
      <c r="N158" t="s">
        <v>202</v>
      </c>
      <c r="O158" t="s">
        <v>1701</v>
      </c>
      <c r="P158" s="7">
        <v>48.66</v>
      </c>
      <c r="Q158" s="1">
        <v>45167</v>
      </c>
      <c r="R158">
        <f>WEEKNUM(Table2[[#This Row],[OrderDate]])</f>
        <v>35</v>
      </c>
      <c r="S158" s="1">
        <v>45170</v>
      </c>
      <c r="T158" t="s">
        <v>2918</v>
      </c>
    </row>
    <row r="159" spans="1:20" x14ac:dyDescent="0.35">
      <c r="A159" s="1">
        <v>45099</v>
      </c>
      <c r="B159" t="s">
        <v>2932</v>
      </c>
      <c r="C159" t="s">
        <v>22</v>
      </c>
      <c r="D159" s="9">
        <v>14</v>
      </c>
      <c r="E159" s="7">
        <v>291.08999999999997</v>
      </c>
      <c r="F159" t="s">
        <v>27</v>
      </c>
      <c r="G159" t="s">
        <v>31</v>
      </c>
      <c r="H159" s="12">
        <v>0</v>
      </c>
      <c r="I159" t="s">
        <v>35</v>
      </c>
      <c r="J159" s="7">
        <f>Table2[[#This Row],[UnitPrice]]*Table2[[#This Row],[Quantity]]*(1-Table2[[#This Row],[Discount]])</f>
        <v>4075.2599999999998</v>
      </c>
      <c r="K159" t="s">
        <v>42</v>
      </c>
      <c r="L159" t="s">
        <v>2937</v>
      </c>
      <c r="M159">
        <v>0</v>
      </c>
      <c r="N159" t="s">
        <v>203</v>
      </c>
      <c r="O159" t="s">
        <v>1702</v>
      </c>
      <c r="P159" s="7">
        <v>39.979999999999997</v>
      </c>
      <c r="Q159" s="1">
        <v>45099</v>
      </c>
      <c r="R159">
        <f>WEEKNUM(Table2[[#This Row],[OrderDate]])</f>
        <v>25</v>
      </c>
      <c r="S159" s="1">
        <v>45107</v>
      </c>
      <c r="T159" t="s">
        <v>2918</v>
      </c>
    </row>
    <row r="160" spans="1:20" x14ac:dyDescent="0.35">
      <c r="A160" s="1">
        <v>45346</v>
      </c>
      <c r="B160" t="s">
        <v>2932</v>
      </c>
      <c r="C160" t="s">
        <v>20</v>
      </c>
      <c r="D160" s="9">
        <v>8</v>
      </c>
      <c r="E160" s="7">
        <v>350.12</v>
      </c>
      <c r="F160" t="s">
        <v>28</v>
      </c>
      <c r="G160" t="s">
        <v>31</v>
      </c>
      <c r="H160" s="12">
        <v>0</v>
      </c>
      <c r="I160" t="s">
        <v>33</v>
      </c>
      <c r="J160" s="7">
        <f>Table2[[#This Row],[UnitPrice]]*Table2[[#This Row],[Quantity]]*(1-Table2[[#This Row],[Discount]])</f>
        <v>2800.96</v>
      </c>
      <c r="K160" t="s">
        <v>39</v>
      </c>
      <c r="L160" t="s">
        <v>43</v>
      </c>
      <c r="M160">
        <v>1</v>
      </c>
      <c r="N160" t="s">
        <v>204</v>
      </c>
      <c r="O160" t="s">
        <v>1703</v>
      </c>
      <c r="P160" s="7">
        <v>31.65</v>
      </c>
      <c r="Q160" s="1">
        <v>45346</v>
      </c>
      <c r="R160">
        <f>WEEKNUM(Table2[[#This Row],[OrderDate]])</f>
        <v>8</v>
      </c>
      <c r="S160" s="1">
        <v>45352</v>
      </c>
      <c r="T160" t="s">
        <v>2918</v>
      </c>
    </row>
    <row r="161" spans="1:20" x14ac:dyDescent="0.35">
      <c r="A161" s="1">
        <v>45392</v>
      </c>
      <c r="B161" t="s">
        <v>2931</v>
      </c>
      <c r="C161" t="s">
        <v>20</v>
      </c>
      <c r="D161" s="9">
        <v>10</v>
      </c>
      <c r="E161" s="7">
        <v>195.26</v>
      </c>
      <c r="F161" t="s">
        <v>29</v>
      </c>
      <c r="G161" t="s">
        <v>31</v>
      </c>
      <c r="H161" s="12">
        <v>0.05</v>
      </c>
      <c r="I161" t="s">
        <v>33</v>
      </c>
      <c r="J161" s="7">
        <f>Table2[[#This Row],[UnitPrice]]*Table2[[#This Row],[Quantity]]*(1-Table2[[#This Row],[Discount]])</f>
        <v>1854.9699999999998</v>
      </c>
      <c r="K161" t="s">
        <v>40</v>
      </c>
      <c r="L161" t="s">
        <v>45</v>
      </c>
      <c r="M161">
        <v>0</v>
      </c>
      <c r="N161" t="s">
        <v>205</v>
      </c>
      <c r="O161" t="s">
        <v>1704</v>
      </c>
      <c r="P161" s="7">
        <v>46.91</v>
      </c>
      <c r="Q161" s="1">
        <v>45392</v>
      </c>
      <c r="R161">
        <f>WEEKNUM(Table2[[#This Row],[OrderDate]])</f>
        <v>15</v>
      </c>
      <c r="S161" s="1">
        <v>45397</v>
      </c>
      <c r="T161" t="s">
        <v>2919</v>
      </c>
    </row>
    <row r="162" spans="1:20" x14ac:dyDescent="0.35">
      <c r="A162" s="1">
        <v>45060</v>
      </c>
      <c r="B162" t="s">
        <v>2932</v>
      </c>
      <c r="C162" t="s">
        <v>23</v>
      </c>
      <c r="D162" s="9">
        <v>13</v>
      </c>
      <c r="E162" s="7">
        <v>291.10000000000002</v>
      </c>
      <c r="F162" t="s">
        <v>27</v>
      </c>
      <c r="G162" t="s">
        <v>30</v>
      </c>
      <c r="H162" s="12">
        <v>0</v>
      </c>
      <c r="I162" t="s">
        <v>33</v>
      </c>
      <c r="J162" s="7">
        <f>Table2[[#This Row],[UnitPrice]]*Table2[[#This Row],[Quantity]]*(1-Table2[[#This Row],[Discount]])</f>
        <v>3784.3</v>
      </c>
      <c r="K162" t="s">
        <v>38</v>
      </c>
      <c r="L162" t="s">
        <v>43</v>
      </c>
      <c r="M162">
        <v>0</v>
      </c>
      <c r="N162" t="s">
        <v>206</v>
      </c>
      <c r="O162" t="s">
        <v>1705</v>
      </c>
      <c r="P162" s="7">
        <v>7.66</v>
      </c>
      <c r="Q162" s="1">
        <v>45060</v>
      </c>
      <c r="R162">
        <f>WEEKNUM(Table2[[#This Row],[OrderDate]])</f>
        <v>20</v>
      </c>
      <c r="S162" s="1">
        <v>45065</v>
      </c>
      <c r="T162" t="s">
        <v>2918</v>
      </c>
    </row>
    <row r="163" spans="1:20" x14ac:dyDescent="0.35">
      <c r="A163" s="1">
        <v>44996</v>
      </c>
      <c r="B163" t="s">
        <v>2932</v>
      </c>
      <c r="C163" t="s">
        <v>23</v>
      </c>
      <c r="D163" s="9">
        <v>6</v>
      </c>
      <c r="E163" s="7">
        <v>93.92</v>
      </c>
      <c r="F163" t="s">
        <v>26</v>
      </c>
      <c r="G163" t="s">
        <v>30</v>
      </c>
      <c r="H163" s="12">
        <v>0.15</v>
      </c>
      <c r="I163" t="s">
        <v>32</v>
      </c>
      <c r="J163" s="7">
        <f>Table2[[#This Row],[UnitPrice]]*Table2[[#This Row],[Quantity]]*(1-Table2[[#This Row],[Discount]])</f>
        <v>478.99199999999996</v>
      </c>
      <c r="K163" t="s">
        <v>40</v>
      </c>
      <c r="L163" t="s">
        <v>43</v>
      </c>
      <c r="M163">
        <v>0</v>
      </c>
      <c r="N163" t="s">
        <v>207</v>
      </c>
      <c r="O163" t="s">
        <v>1706</v>
      </c>
      <c r="P163" s="7">
        <v>11</v>
      </c>
      <c r="Q163" s="1">
        <v>44996</v>
      </c>
      <c r="R163">
        <f>WEEKNUM(Table2[[#This Row],[OrderDate]])</f>
        <v>10</v>
      </c>
      <c r="S163" s="1">
        <v>45003</v>
      </c>
      <c r="T163" t="s">
        <v>2918</v>
      </c>
    </row>
    <row r="164" spans="1:20" x14ac:dyDescent="0.35">
      <c r="A164" s="1">
        <v>45528</v>
      </c>
      <c r="B164" t="s">
        <v>2934</v>
      </c>
      <c r="C164" t="s">
        <v>25</v>
      </c>
      <c r="D164" s="9">
        <v>5</v>
      </c>
      <c r="E164" s="7">
        <v>15.92</v>
      </c>
      <c r="F164" t="s">
        <v>29</v>
      </c>
      <c r="G164" t="s">
        <v>31</v>
      </c>
      <c r="H164" s="12">
        <v>0</v>
      </c>
      <c r="I164" t="s">
        <v>32</v>
      </c>
      <c r="J164" s="7">
        <f>Table2[[#This Row],[UnitPrice]]*Table2[[#This Row],[Quantity]]*(1-Table2[[#This Row],[Discount]])</f>
        <v>79.599999999999994</v>
      </c>
      <c r="K164" t="s">
        <v>40</v>
      </c>
      <c r="L164" t="s">
        <v>2937</v>
      </c>
      <c r="M164">
        <v>1</v>
      </c>
      <c r="N164" t="s">
        <v>208</v>
      </c>
      <c r="O164" t="s">
        <v>1707</v>
      </c>
      <c r="P164" s="7">
        <v>8.66</v>
      </c>
      <c r="Q164" s="1">
        <v>45528</v>
      </c>
      <c r="R164">
        <f>WEEKNUM(Table2[[#This Row],[OrderDate]])</f>
        <v>34</v>
      </c>
      <c r="S164" s="1">
        <v>45530</v>
      </c>
      <c r="T164" t="s">
        <v>2920</v>
      </c>
    </row>
    <row r="165" spans="1:20" x14ac:dyDescent="0.35">
      <c r="A165" s="1">
        <v>45345</v>
      </c>
      <c r="B165" t="s">
        <v>2932</v>
      </c>
      <c r="C165" t="s">
        <v>23</v>
      </c>
      <c r="D165" s="9">
        <v>16</v>
      </c>
      <c r="E165" s="7">
        <v>120.22</v>
      </c>
      <c r="F165" t="s">
        <v>29</v>
      </c>
      <c r="G165" t="s">
        <v>31</v>
      </c>
      <c r="H165" s="12">
        <v>0.15</v>
      </c>
      <c r="I165" t="s">
        <v>37</v>
      </c>
      <c r="J165" s="7">
        <f>Table2[[#This Row],[UnitPrice]]*Table2[[#This Row],[Quantity]]*(1-Table2[[#This Row],[Discount]])</f>
        <v>1634.992</v>
      </c>
      <c r="K165" t="s">
        <v>42</v>
      </c>
      <c r="L165" t="s">
        <v>44</v>
      </c>
      <c r="M165">
        <v>0</v>
      </c>
      <c r="N165" t="s">
        <v>209</v>
      </c>
      <c r="O165" t="s">
        <v>1708</v>
      </c>
      <c r="P165" s="7">
        <v>8.42</v>
      </c>
      <c r="Q165" s="1">
        <v>45345</v>
      </c>
      <c r="R165">
        <f>WEEKNUM(Table2[[#This Row],[OrderDate]])</f>
        <v>8</v>
      </c>
      <c r="S165" s="1">
        <v>45352</v>
      </c>
      <c r="T165" t="s">
        <v>2918</v>
      </c>
    </row>
    <row r="166" spans="1:20" x14ac:dyDescent="0.35">
      <c r="A166" s="1">
        <v>45321</v>
      </c>
      <c r="B166" t="s">
        <v>2931</v>
      </c>
      <c r="C166" t="s">
        <v>23</v>
      </c>
      <c r="D166" s="9">
        <v>11</v>
      </c>
      <c r="E166" s="7">
        <v>118.8</v>
      </c>
      <c r="F166" t="s">
        <v>27</v>
      </c>
      <c r="G166" t="s">
        <v>31</v>
      </c>
      <c r="H166" s="12">
        <v>0.05</v>
      </c>
      <c r="I166" t="s">
        <v>32</v>
      </c>
      <c r="J166" s="7">
        <f>Table2[[#This Row],[UnitPrice]]*Table2[[#This Row],[Quantity]]*(1-Table2[[#This Row],[Discount]])</f>
        <v>1241.4599999999998</v>
      </c>
      <c r="K166" t="s">
        <v>38</v>
      </c>
      <c r="L166" t="s">
        <v>44</v>
      </c>
      <c r="M166">
        <v>0</v>
      </c>
      <c r="N166" t="s">
        <v>210</v>
      </c>
      <c r="O166" t="s">
        <v>1709</v>
      </c>
      <c r="P166" s="7">
        <v>39.32</v>
      </c>
      <c r="Q166" s="1">
        <v>45321</v>
      </c>
      <c r="R166">
        <f>WEEKNUM(Table2[[#This Row],[OrderDate]])</f>
        <v>5</v>
      </c>
      <c r="S166" s="1">
        <v>45328</v>
      </c>
      <c r="T166" t="s">
        <v>2919</v>
      </c>
    </row>
    <row r="167" spans="1:20" x14ac:dyDescent="0.35">
      <c r="A167" s="1">
        <v>45314</v>
      </c>
      <c r="B167" t="s">
        <v>2930</v>
      </c>
      <c r="C167" t="s">
        <v>24</v>
      </c>
      <c r="D167" s="9">
        <v>10</v>
      </c>
      <c r="E167" s="7">
        <v>92.45</v>
      </c>
      <c r="F167" t="s">
        <v>28</v>
      </c>
      <c r="G167" t="s">
        <v>30</v>
      </c>
      <c r="H167" s="12">
        <v>0.1</v>
      </c>
      <c r="I167" t="s">
        <v>34</v>
      </c>
      <c r="J167" s="7">
        <f>Table2[[#This Row],[UnitPrice]]*Table2[[#This Row],[Quantity]]*(1-Table2[[#This Row],[Discount]])</f>
        <v>832.05000000000007</v>
      </c>
      <c r="K167" t="s">
        <v>42</v>
      </c>
      <c r="L167" t="s">
        <v>45</v>
      </c>
      <c r="M167">
        <v>1</v>
      </c>
      <c r="N167" t="s">
        <v>211</v>
      </c>
      <c r="O167" t="s">
        <v>1710</v>
      </c>
      <c r="P167" s="7">
        <v>42.61</v>
      </c>
      <c r="Q167" s="1">
        <v>45314</v>
      </c>
      <c r="R167">
        <f>WEEKNUM(Table2[[#This Row],[OrderDate]])</f>
        <v>4</v>
      </c>
      <c r="S167" s="1">
        <v>45320</v>
      </c>
      <c r="T167" t="s">
        <v>2917</v>
      </c>
    </row>
    <row r="168" spans="1:20" x14ac:dyDescent="0.35">
      <c r="A168" s="1">
        <v>44931</v>
      </c>
      <c r="B168" t="s">
        <v>2931</v>
      </c>
      <c r="C168" t="s">
        <v>19</v>
      </c>
      <c r="D168" s="9">
        <v>19</v>
      </c>
      <c r="E168" s="7">
        <v>463.51</v>
      </c>
      <c r="F168" t="s">
        <v>26</v>
      </c>
      <c r="G168" t="s">
        <v>31</v>
      </c>
      <c r="H168" s="12">
        <v>0</v>
      </c>
      <c r="I168" t="s">
        <v>37</v>
      </c>
      <c r="J168" s="7">
        <f>Table2[[#This Row],[UnitPrice]]*Table2[[#This Row],[Quantity]]*(1-Table2[[#This Row],[Discount]])</f>
        <v>8806.69</v>
      </c>
      <c r="K168" t="s">
        <v>42</v>
      </c>
      <c r="L168" t="s">
        <v>43</v>
      </c>
      <c r="M168">
        <v>0</v>
      </c>
      <c r="N168" t="s">
        <v>212</v>
      </c>
      <c r="O168" t="s">
        <v>1711</v>
      </c>
      <c r="P168" s="7">
        <v>49.38</v>
      </c>
      <c r="Q168" s="1">
        <v>44931</v>
      </c>
      <c r="R168">
        <f>WEEKNUM(Table2[[#This Row],[OrderDate]])</f>
        <v>1</v>
      </c>
      <c r="S168" s="1">
        <v>44934</v>
      </c>
      <c r="T168" t="s">
        <v>2919</v>
      </c>
    </row>
    <row r="169" spans="1:20" x14ac:dyDescent="0.35">
      <c r="A169" s="1">
        <v>45281</v>
      </c>
      <c r="B169" t="s">
        <v>2931</v>
      </c>
      <c r="C169" t="s">
        <v>21</v>
      </c>
      <c r="D169" s="9">
        <v>7</v>
      </c>
      <c r="E169" s="7">
        <v>284.7</v>
      </c>
      <c r="F169" t="s">
        <v>29</v>
      </c>
      <c r="G169" t="s">
        <v>30</v>
      </c>
      <c r="H169" s="12">
        <v>0.05</v>
      </c>
      <c r="I169" t="s">
        <v>37</v>
      </c>
      <c r="J169" s="7">
        <f>Table2[[#This Row],[UnitPrice]]*Table2[[#This Row],[Quantity]]*(1-Table2[[#This Row],[Discount]])</f>
        <v>1893.2549999999999</v>
      </c>
      <c r="K169" t="s">
        <v>39</v>
      </c>
      <c r="L169" t="s">
        <v>2937</v>
      </c>
      <c r="M169">
        <v>0</v>
      </c>
      <c r="N169" t="s">
        <v>213</v>
      </c>
      <c r="O169" t="s">
        <v>1712</v>
      </c>
      <c r="P169" s="7">
        <v>5.36</v>
      </c>
      <c r="Q169" s="1">
        <v>45281</v>
      </c>
      <c r="R169">
        <f>WEEKNUM(Table2[[#This Row],[OrderDate]])</f>
        <v>51</v>
      </c>
      <c r="S169" s="1">
        <v>45290</v>
      </c>
      <c r="T169" t="s">
        <v>2919</v>
      </c>
    </row>
    <row r="170" spans="1:20" x14ac:dyDescent="0.35">
      <c r="A170" s="1">
        <v>45071</v>
      </c>
      <c r="B170" t="s">
        <v>2933</v>
      </c>
      <c r="C170" t="s">
        <v>19</v>
      </c>
      <c r="D170" s="9">
        <v>20</v>
      </c>
      <c r="E170" s="7">
        <v>343.25</v>
      </c>
      <c r="F170" t="s">
        <v>28</v>
      </c>
      <c r="G170" t="s">
        <v>30</v>
      </c>
      <c r="H170" s="12">
        <v>0.05</v>
      </c>
      <c r="I170" t="s">
        <v>33</v>
      </c>
      <c r="J170" s="7">
        <f>Table2[[#This Row],[UnitPrice]]*Table2[[#This Row],[Quantity]]*(1-Table2[[#This Row],[Discount]])</f>
        <v>6521.75</v>
      </c>
      <c r="K170" t="s">
        <v>41</v>
      </c>
      <c r="L170" t="s">
        <v>43</v>
      </c>
      <c r="M170">
        <v>0</v>
      </c>
      <c r="N170" t="s">
        <v>214</v>
      </c>
      <c r="O170" t="s">
        <v>1713</v>
      </c>
      <c r="P170" s="7">
        <v>28.77</v>
      </c>
      <c r="Q170" s="1">
        <v>45071</v>
      </c>
      <c r="R170">
        <f>WEEKNUM(Table2[[#This Row],[OrderDate]])</f>
        <v>21</v>
      </c>
      <c r="S170" s="1">
        <v>45079</v>
      </c>
      <c r="T170" t="s">
        <v>2921</v>
      </c>
    </row>
    <row r="171" spans="1:20" x14ac:dyDescent="0.35">
      <c r="A171" s="1">
        <v>45838</v>
      </c>
      <c r="B171" t="s">
        <v>2934</v>
      </c>
      <c r="C171" t="s">
        <v>22</v>
      </c>
      <c r="D171" s="9">
        <v>6</v>
      </c>
      <c r="E171" s="7">
        <v>95.24</v>
      </c>
      <c r="F171" t="s">
        <v>29</v>
      </c>
      <c r="G171" t="s">
        <v>30</v>
      </c>
      <c r="H171" s="12">
        <v>0.15</v>
      </c>
      <c r="I171" t="s">
        <v>36</v>
      </c>
      <c r="J171" s="7">
        <f>Table2[[#This Row],[UnitPrice]]*Table2[[#This Row],[Quantity]]*(1-Table2[[#This Row],[Discount]])</f>
        <v>485.72399999999993</v>
      </c>
      <c r="K171" t="s">
        <v>39</v>
      </c>
      <c r="L171" t="s">
        <v>43</v>
      </c>
      <c r="M171">
        <v>0</v>
      </c>
      <c r="N171" t="s">
        <v>215</v>
      </c>
      <c r="O171" t="s">
        <v>1714</v>
      </c>
      <c r="P171" s="7">
        <v>18.72</v>
      </c>
      <c r="Q171" s="1">
        <v>45838</v>
      </c>
      <c r="R171">
        <f>WEEKNUM(Table2[[#This Row],[OrderDate]])</f>
        <v>27</v>
      </c>
      <c r="S171" s="1">
        <v>45846</v>
      </c>
      <c r="T171" t="s">
        <v>2920</v>
      </c>
    </row>
    <row r="172" spans="1:20" x14ac:dyDescent="0.35">
      <c r="A172" s="1">
        <v>45700</v>
      </c>
      <c r="B172" t="s">
        <v>2933</v>
      </c>
      <c r="C172" t="s">
        <v>21</v>
      </c>
      <c r="D172" s="9">
        <v>13</v>
      </c>
      <c r="E172" s="7">
        <v>104.8</v>
      </c>
      <c r="F172" t="s">
        <v>26</v>
      </c>
      <c r="G172" t="s">
        <v>31</v>
      </c>
      <c r="H172" s="12">
        <v>0.05</v>
      </c>
      <c r="I172" t="s">
        <v>36</v>
      </c>
      <c r="J172" s="7">
        <f>Table2[[#This Row],[UnitPrice]]*Table2[[#This Row],[Quantity]]*(1-Table2[[#This Row],[Discount]])</f>
        <v>1294.2799999999997</v>
      </c>
      <c r="K172" t="s">
        <v>40</v>
      </c>
      <c r="L172" t="s">
        <v>45</v>
      </c>
      <c r="M172">
        <v>0</v>
      </c>
      <c r="N172" t="s">
        <v>216</v>
      </c>
      <c r="O172" t="s">
        <v>1715</v>
      </c>
      <c r="P172" s="7">
        <v>7.79</v>
      </c>
      <c r="Q172" s="1">
        <v>45700</v>
      </c>
      <c r="R172">
        <f>WEEKNUM(Table2[[#This Row],[OrderDate]])</f>
        <v>7</v>
      </c>
      <c r="S172" s="1">
        <v>45707</v>
      </c>
      <c r="T172" t="s">
        <v>2921</v>
      </c>
    </row>
    <row r="173" spans="1:20" x14ac:dyDescent="0.35">
      <c r="A173" s="1">
        <v>45294</v>
      </c>
      <c r="B173" t="s">
        <v>2933</v>
      </c>
      <c r="C173" t="s">
        <v>24</v>
      </c>
      <c r="D173" s="9">
        <v>12</v>
      </c>
      <c r="E173" s="7">
        <v>164.31</v>
      </c>
      <c r="F173" t="s">
        <v>26</v>
      </c>
      <c r="G173" t="s">
        <v>30</v>
      </c>
      <c r="H173" s="12">
        <v>0.1</v>
      </c>
      <c r="I173" t="s">
        <v>32</v>
      </c>
      <c r="J173" s="7">
        <f>Table2[[#This Row],[UnitPrice]]*Table2[[#This Row],[Quantity]]*(1-Table2[[#This Row],[Discount]])</f>
        <v>1774.548</v>
      </c>
      <c r="K173" t="s">
        <v>42</v>
      </c>
      <c r="L173" t="s">
        <v>2937</v>
      </c>
      <c r="M173">
        <v>1</v>
      </c>
      <c r="N173" t="s">
        <v>217</v>
      </c>
      <c r="O173" t="s">
        <v>1716</v>
      </c>
      <c r="P173" s="7">
        <v>38.9</v>
      </c>
      <c r="Q173" s="1">
        <v>45294</v>
      </c>
      <c r="R173">
        <f>WEEKNUM(Table2[[#This Row],[OrderDate]])</f>
        <v>1</v>
      </c>
      <c r="S173" s="1">
        <v>45298</v>
      </c>
      <c r="T173" t="s">
        <v>2921</v>
      </c>
    </row>
    <row r="174" spans="1:20" x14ac:dyDescent="0.35">
      <c r="A174" s="1">
        <v>44960</v>
      </c>
      <c r="B174" t="s">
        <v>2932</v>
      </c>
      <c r="C174" t="s">
        <v>24</v>
      </c>
      <c r="D174" s="9">
        <v>10</v>
      </c>
      <c r="E174" s="7">
        <v>325.18</v>
      </c>
      <c r="F174" t="s">
        <v>28</v>
      </c>
      <c r="G174" t="s">
        <v>30</v>
      </c>
      <c r="H174" s="12">
        <v>0.1</v>
      </c>
      <c r="I174" t="s">
        <v>33</v>
      </c>
      <c r="J174" s="7">
        <f>Table2[[#This Row],[UnitPrice]]*Table2[[#This Row],[Quantity]]*(1-Table2[[#This Row],[Discount]])</f>
        <v>2926.6200000000003</v>
      </c>
      <c r="K174" t="s">
        <v>42</v>
      </c>
      <c r="L174" t="s">
        <v>45</v>
      </c>
      <c r="M174">
        <v>0</v>
      </c>
      <c r="N174" t="s">
        <v>218</v>
      </c>
      <c r="O174" t="s">
        <v>1717</v>
      </c>
      <c r="P174" s="7">
        <v>47.39</v>
      </c>
      <c r="Q174" s="1">
        <v>44960</v>
      </c>
      <c r="R174">
        <f>WEEKNUM(Table2[[#This Row],[OrderDate]])</f>
        <v>5</v>
      </c>
      <c r="S174" s="1">
        <v>44970</v>
      </c>
      <c r="T174" t="s">
        <v>2918</v>
      </c>
    </row>
    <row r="175" spans="1:20" x14ac:dyDescent="0.35">
      <c r="A175" s="1">
        <v>45352</v>
      </c>
      <c r="B175" t="s">
        <v>2930</v>
      </c>
      <c r="C175" t="s">
        <v>23</v>
      </c>
      <c r="D175" s="9">
        <v>17</v>
      </c>
      <c r="E175" s="7">
        <v>542.82000000000005</v>
      </c>
      <c r="F175" t="s">
        <v>27</v>
      </c>
      <c r="G175" t="s">
        <v>30</v>
      </c>
      <c r="H175" s="12">
        <v>0</v>
      </c>
      <c r="I175" t="s">
        <v>33</v>
      </c>
      <c r="J175" s="7">
        <f>Table2[[#This Row],[UnitPrice]]*Table2[[#This Row],[Quantity]]*(1-Table2[[#This Row],[Discount]])</f>
        <v>9227.94</v>
      </c>
      <c r="K175" t="s">
        <v>41</v>
      </c>
      <c r="L175" t="s">
        <v>45</v>
      </c>
      <c r="M175">
        <v>1</v>
      </c>
      <c r="N175" t="s">
        <v>219</v>
      </c>
      <c r="O175" t="s">
        <v>1718</v>
      </c>
      <c r="P175" s="7">
        <v>7.13</v>
      </c>
      <c r="Q175" s="1">
        <v>45352</v>
      </c>
      <c r="R175">
        <f>WEEKNUM(Table2[[#This Row],[OrderDate]])</f>
        <v>9</v>
      </c>
      <c r="S175" s="1">
        <v>45359</v>
      </c>
      <c r="T175" t="s">
        <v>2917</v>
      </c>
    </row>
    <row r="176" spans="1:20" x14ac:dyDescent="0.35">
      <c r="A176" s="1">
        <v>45070</v>
      </c>
      <c r="B176" t="s">
        <v>2931</v>
      </c>
      <c r="C176" t="s">
        <v>24</v>
      </c>
      <c r="D176" s="9">
        <v>14</v>
      </c>
      <c r="E176" s="7">
        <v>207.48</v>
      </c>
      <c r="F176" t="s">
        <v>28</v>
      </c>
      <c r="G176" t="s">
        <v>30</v>
      </c>
      <c r="H176" s="12">
        <v>0.05</v>
      </c>
      <c r="I176" t="s">
        <v>32</v>
      </c>
      <c r="J176" s="7">
        <f>Table2[[#This Row],[UnitPrice]]*Table2[[#This Row],[Quantity]]*(1-Table2[[#This Row],[Discount]])</f>
        <v>2759.4839999999995</v>
      </c>
      <c r="K176" t="s">
        <v>38</v>
      </c>
      <c r="L176" t="s">
        <v>2937</v>
      </c>
      <c r="M176">
        <v>0</v>
      </c>
      <c r="N176" t="s">
        <v>220</v>
      </c>
      <c r="O176" t="s">
        <v>1719</v>
      </c>
      <c r="P176" s="7">
        <v>5.7</v>
      </c>
      <c r="Q176" s="1">
        <v>45070</v>
      </c>
      <c r="R176">
        <f>WEEKNUM(Table2[[#This Row],[OrderDate]])</f>
        <v>21</v>
      </c>
      <c r="S176" s="1">
        <v>45079</v>
      </c>
      <c r="T176" t="s">
        <v>2919</v>
      </c>
    </row>
    <row r="177" spans="1:20" x14ac:dyDescent="0.35">
      <c r="A177" s="1">
        <v>45830</v>
      </c>
      <c r="B177" t="s">
        <v>2931</v>
      </c>
      <c r="C177" t="s">
        <v>25</v>
      </c>
      <c r="D177" s="9">
        <v>17</v>
      </c>
      <c r="E177" s="7">
        <v>527.88</v>
      </c>
      <c r="F177" t="s">
        <v>29</v>
      </c>
      <c r="G177" t="s">
        <v>31</v>
      </c>
      <c r="H177" s="12">
        <v>0.05</v>
      </c>
      <c r="I177" t="s">
        <v>37</v>
      </c>
      <c r="J177" s="7">
        <f>Table2[[#This Row],[UnitPrice]]*Table2[[#This Row],[Quantity]]*(1-Table2[[#This Row],[Discount]])</f>
        <v>8525.2619999999988</v>
      </c>
      <c r="K177" t="s">
        <v>42</v>
      </c>
      <c r="L177" t="s">
        <v>45</v>
      </c>
      <c r="M177">
        <v>0</v>
      </c>
      <c r="N177" t="s">
        <v>221</v>
      </c>
      <c r="O177" t="s">
        <v>1720</v>
      </c>
      <c r="P177" s="7">
        <v>21.32</v>
      </c>
      <c r="Q177" s="1">
        <v>45830</v>
      </c>
      <c r="R177">
        <f>WEEKNUM(Table2[[#This Row],[OrderDate]])</f>
        <v>26</v>
      </c>
      <c r="S177" s="1">
        <v>45836</v>
      </c>
      <c r="T177" t="s">
        <v>2919</v>
      </c>
    </row>
    <row r="178" spans="1:20" x14ac:dyDescent="0.35">
      <c r="A178" s="1">
        <v>45026</v>
      </c>
      <c r="B178" t="s">
        <v>2931</v>
      </c>
      <c r="C178" t="s">
        <v>22</v>
      </c>
      <c r="D178" s="9">
        <v>11</v>
      </c>
      <c r="E178" s="7">
        <v>71.209999999999994</v>
      </c>
      <c r="F178" t="s">
        <v>26</v>
      </c>
      <c r="G178" t="s">
        <v>31</v>
      </c>
      <c r="H178" s="12">
        <v>0.05</v>
      </c>
      <c r="I178" t="s">
        <v>36</v>
      </c>
      <c r="J178" s="7">
        <f>Table2[[#This Row],[UnitPrice]]*Table2[[#This Row],[Quantity]]*(1-Table2[[#This Row],[Discount]])</f>
        <v>744.14449999999988</v>
      </c>
      <c r="K178" t="s">
        <v>38</v>
      </c>
      <c r="L178" t="s">
        <v>2937</v>
      </c>
      <c r="M178">
        <v>1</v>
      </c>
      <c r="N178" t="s">
        <v>222</v>
      </c>
      <c r="O178" t="s">
        <v>1721</v>
      </c>
      <c r="P178" s="7">
        <v>44.2</v>
      </c>
      <c r="Q178" s="1">
        <v>45026</v>
      </c>
      <c r="R178">
        <f>WEEKNUM(Table2[[#This Row],[OrderDate]])</f>
        <v>15</v>
      </c>
      <c r="S178" s="1">
        <v>45030</v>
      </c>
      <c r="T178" t="s">
        <v>2919</v>
      </c>
    </row>
    <row r="179" spans="1:20" x14ac:dyDescent="0.35">
      <c r="A179" s="1">
        <v>45720</v>
      </c>
      <c r="B179" t="s">
        <v>2934</v>
      </c>
      <c r="C179" t="s">
        <v>25</v>
      </c>
      <c r="D179" s="9">
        <v>8</v>
      </c>
      <c r="E179" s="7">
        <v>486.07</v>
      </c>
      <c r="F179" t="s">
        <v>26</v>
      </c>
      <c r="G179" t="s">
        <v>31</v>
      </c>
      <c r="H179" s="12">
        <v>0</v>
      </c>
      <c r="I179" t="s">
        <v>35</v>
      </c>
      <c r="J179" s="7">
        <f>Table2[[#This Row],[UnitPrice]]*Table2[[#This Row],[Quantity]]*(1-Table2[[#This Row],[Discount]])</f>
        <v>3888.56</v>
      </c>
      <c r="K179" t="s">
        <v>41</v>
      </c>
      <c r="L179" t="s">
        <v>43</v>
      </c>
      <c r="M179">
        <v>0</v>
      </c>
      <c r="N179" t="s">
        <v>223</v>
      </c>
      <c r="O179" t="s">
        <v>1722</v>
      </c>
      <c r="P179" s="7">
        <v>10.68</v>
      </c>
      <c r="Q179" s="1">
        <v>45720</v>
      </c>
      <c r="R179">
        <f>WEEKNUM(Table2[[#This Row],[OrderDate]])</f>
        <v>10</v>
      </c>
      <c r="S179" s="1">
        <v>45726</v>
      </c>
      <c r="T179" t="s">
        <v>2920</v>
      </c>
    </row>
    <row r="180" spans="1:20" x14ac:dyDescent="0.35">
      <c r="A180" s="1">
        <v>45484</v>
      </c>
      <c r="B180" t="s">
        <v>2930</v>
      </c>
      <c r="C180" t="s">
        <v>19</v>
      </c>
      <c r="D180" s="9">
        <v>6</v>
      </c>
      <c r="E180" s="7">
        <v>555.03</v>
      </c>
      <c r="F180" t="s">
        <v>28</v>
      </c>
      <c r="G180" t="s">
        <v>31</v>
      </c>
      <c r="H180" s="12">
        <v>0.1</v>
      </c>
      <c r="I180" t="s">
        <v>34</v>
      </c>
      <c r="J180" s="7">
        <f>Table2[[#This Row],[UnitPrice]]*Table2[[#This Row],[Quantity]]*(1-Table2[[#This Row],[Discount]])</f>
        <v>2997.1619999999998</v>
      </c>
      <c r="K180" t="s">
        <v>40</v>
      </c>
      <c r="L180" t="s">
        <v>2937</v>
      </c>
      <c r="M180">
        <v>1</v>
      </c>
      <c r="N180" t="s">
        <v>224</v>
      </c>
      <c r="O180" t="s">
        <v>1723</v>
      </c>
      <c r="P180" s="7">
        <v>23.69</v>
      </c>
      <c r="Q180" s="1">
        <v>45484</v>
      </c>
      <c r="R180">
        <f>WEEKNUM(Table2[[#This Row],[OrderDate]])</f>
        <v>28</v>
      </c>
      <c r="S180" s="1">
        <v>45493</v>
      </c>
      <c r="T180" t="s">
        <v>2917</v>
      </c>
    </row>
    <row r="181" spans="1:20" x14ac:dyDescent="0.35">
      <c r="A181" s="1">
        <v>45521</v>
      </c>
      <c r="B181" t="s">
        <v>2930</v>
      </c>
      <c r="C181" t="s">
        <v>21</v>
      </c>
      <c r="D181" s="9">
        <v>13</v>
      </c>
      <c r="E181" s="7">
        <v>421.08</v>
      </c>
      <c r="F181" t="s">
        <v>26</v>
      </c>
      <c r="G181" t="s">
        <v>30</v>
      </c>
      <c r="H181" s="12">
        <v>0</v>
      </c>
      <c r="I181" t="s">
        <v>37</v>
      </c>
      <c r="J181" s="7">
        <f>Table2[[#This Row],[UnitPrice]]*Table2[[#This Row],[Quantity]]*(1-Table2[[#This Row],[Discount]])</f>
        <v>5474.04</v>
      </c>
      <c r="K181" t="s">
        <v>42</v>
      </c>
      <c r="L181" t="s">
        <v>2937</v>
      </c>
      <c r="M181">
        <v>0</v>
      </c>
      <c r="N181" t="s">
        <v>225</v>
      </c>
      <c r="O181" t="s">
        <v>1724</v>
      </c>
      <c r="P181" s="7">
        <v>24.51</v>
      </c>
      <c r="Q181" s="1">
        <v>45521</v>
      </c>
      <c r="R181">
        <f>WEEKNUM(Table2[[#This Row],[OrderDate]])</f>
        <v>33</v>
      </c>
      <c r="S181" s="1">
        <v>45524</v>
      </c>
      <c r="T181" t="s">
        <v>2917</v>
      </c>
    </row>
    <row r="182" spans="1:20" x14ac:dyDescent="0.35">
      <c r="A182" s="1">
        <v>45838</v>
      </c>
      <c r="B182" t="s">
        <v>2931</v>
      </c>
      <c r="C182" t="s">
        <v>19</v>
      </c>
      <c r="D182" s="9">
        <v>16</v>
      </c>
      <c r="E182" s="7">
        <v>76.17</v>
      </c>
      <c r="F182" t="s">
        <v>29</v>
      </c>
      <c r="G182" t="s">
        <v>30</v>
      </c>
      <c r="H182" s="12">
        <v>0.1</v>
      </c>
      <c r="I182" t="s">
        <v>33</v>
      </c>
      <c r="J182" s="7">
        <f>Table2[[#This Row],[UnitPrice]]*Table2[[#This Row],[Quantity]]*(1-Table2[[#This Row],[Discount]])</f>
        <v>1096.848</v>
      </c>
      <c r="K182" t="s">
        <v>42</v>
      </c>
      <c r="L182" t="s">
        <v>45</v>
      </c>
      <c r="M182">
        <v>0</v>
      </c>
      <c r="N182" t="s">
        <v>226</v>
      </c>
      <c r="O182" t="s">
        <v>1725</v>
      </c>
      <c r="P182" s="7">
        <v>41.88</v>
      </c>
      <c r="Q182" s="1">
        <v>45838</v>
      </c>
      <c r="R182">
        <f>WEEKNUM(Table2[[#This Row],[OrderDate]])</f>
        <v>27</v>
      </c>
      <c r="S182" s="1">
        <v>45847</v>
      </c>
      <c r="T182" t="s">
        <v>2919</v>
      </c>
    </row>
    <row r="183" spans="1:20" x14ac:dyDescent="0.35">
      <c r="A183" s="1">
        <v>45602</v>
      </c>
      <c r="B183" t="s">
        <v>2932</v>
      </c>
      <c r="C183" t="s">
        <v>25</v>
      </c>
      <c r="D183" s="9">
        <v>3</v>
      </c>
      <c r="E183" s="7">
        <v>503.55</v>
      </c>
      <c r="F183" t="s">
        <v>28</v>
      </c>
      <c r="G183" t="s">
        <v>30</v>
      </c>
      <c r="H183" s="12">
        <v>0.1</v>
      </c>
      <c r="I183" t="s">
        <v>37</v>
      </c>
      <c r="J183" s="7">
        <f>Table2[[#This Row],[UnitPrice]]*Table2[[#This Row],[Quantity]]*(1-Table2[[#This Row],[Discount]])</f>
        <v>1359.585</v>
      </c>
      <c r="K183" t="s">
        <v>40</v>
      </c>
      <c r="L183" t="s">
        <v>45</v>
      </c>
      <c r="M183">
        <v>0</v>
      </c>
      <c r="N183" t="s">
        <v>227</v>
      </c>
      <c r="O183" t="s">
        <v>1726</v>
      </c>
      <c r="P183" s="7">
        <v>37.49</v>
      </c>
      <c r="Q183" s="1">
        <v>45602</v>
      </c>
      <c r="R183">
        <f>WEEKNUM(Table2[[#This Row],[OrderDate]])</f>
        <v>45</v>
      </c>
      <c r="S183" s="1">
        <v>45609</v>
      </c>
      <c r="T183" t="s">
        <v>2918</v>
      </c>
    </row>
    <row r="184" spans="1:20" x14ac:dyDescent="0.35">
      <c r="A184" s="1">
        <v>45748</v>
      </c>
      <c r="B184" t="s">
        <v>2930</v>
      </c>
      <c r="C184" t="s">
        <v>24</v>
      </c>
      <c r="D184" s="9">
        <v>5</v>
      </c>
      <c r="E184" s="7">
        <v>31.56</v>
      </c>
      <c r="F184" t="s">
        <v>29</v>
      </c>
      <c r="G184" t="s">
        <v>31</v>
      </c>
      <c r="H184" s="12">
        <v>0</v>
      </c>
      <c r="I184" t="s">
        <v>36</v>
      </c>
      <c r="J184" s="7">
        <f>Table2[[#This Row],[UnitPrice]]*Table2[[#This Row],[Quantity]]*(1-Table2[[#This Row],[Discount]])</f>
        <v>157.79999999999998</v>
      </c>
      <c r="K184" t="s">
        <v>38</v>
      </c>
      <c r="L184" t="s">
        <v>44</v>
      </c>
      <c r="M184">
        <v>1</v>
      </c>
      <c r="N184" t="s">
        <v>228</v>
      </c>
      <c r="O184" t="s">
        <v>1727</v>
      </c>
      <c r="P184" s="7">
        <v>29.56</v>
      </c>
      <c r="Q184" s="1">
        <v>45748</v>
      </c>
      <c r="R184">
        <f>WEEKNUM(Table2[[#This Row],[OrderDate]])</f>
        <v>14</v>
      </c>
      <c r="S184" s="1">
        <v>45751</v>
      </c>
      <c r="T184" t="s">
        <v>2917</v>
      </c>
    </row>
    <row r="185" spans="1:20" x14ac:dyDescent="0.35">
      <c r="A185" s="1">
        <v>45474</v>
      </c>
      <c r="B185" t="s">
        <v>2933</v>
      </c>
      <c r="C185" t="s">
        <v>19</v>
      </c>
      <c r="D185" s="9">
        <v>16</v>
      </c>
      <c r="E185" s="7">
        <v>72.92</v>
      </c>
      <c r="F185" t="s">
        <v>28</v>
      </c>
      <c r="G185" t="s">
        <v>30</v>
      </c>
      <c r="H185" s="12">
        <v>0.05</v>
      </c>
      <c r="I185" t="s">
        <v>34</v>
      </c>
      <c r="J185" s="7">
        <f>Table2[[#This Row],[UnitPrice]]*Table2[[#This Row],[Quantity]]*(1-Table2[[#This Row],[Discount]])</f>
        <v>1108.384</v>
      </c>
      <c r="K185" t="s">
        <v>42</v>
      </c>
      <c r="L185" t="s">
        <v>43</v>
      </c>
      <c r="M185">
        <v>0</v>
      </c>
      <c r="N185" t="s">
        <v>229</v>
      </c>
      <c r="O185" t="s">
        <v>1728</v>
      </c>
      <c r="P185" s="7">
        <v>5.7</v>
      </c>
      <c r="Q185" s="1">
        <v>45474</v>
      </c>
      <c r="R185">
        <f>WEEKNUM(Table2[[#This Row],[OrderDate]])</f>
        <v>27</v>
      </c>
      <c r="S185" s="1">
        <v>45479</v>
      </c>
      <c r="T185" t="s">
        <v>2921</v>
      </c>
    </row>
    <row r="186" spans="1:20" x14ac:dyDescent="0.35">
      <c r="A186" s="1">
        <v>45269</v>
      </c>
      <c r="B186" t="s">
        <v>2933</v>
      </c>
      <c r="C186" t="s">
        <v>25</v>
      </c>
      <c r="D186" s="9">
        <v>18</v>
      </c>
      <c r="E186" s="7">
        <v>421.93</v>
      </c>
      <c r="F186" t="s">
        <v>29</v>
      </c>
      <c r="G186" t="s">
        <v>31</v>
      </c>
      <c r="H186" s="12">
        <v>0.05</v>
      </c>
      <c r="I186" t="s">
        <v>37</v>
      </c>
      <c r="J186" s="7">
        <f>Table2[[#This Row],[UnitPrice]]*Table2[[#This Row],[Quantity]]*(1-Table2[[#This Row],[Discount]])</f>
        <v>7215.0029999999997</v>
      </c>
      <c r="K186" t="s">
        <v>39</v>
      </c>
      <c r="L186" t="s">
        <v>45</v>
      </c>
      <c r="M186">
        <v>0</v>
      </c>
      <c r="N186" t="s">
        <v>230</v>
      </c>
      <c r="O186" t="s">
        <v>1729</v>
      </c>
      <c r="P186" s="7">
        <v>23.42</v>
      </c>
      <c r="Q186" s="1">
        <v>45269</v>
      </c>
      <c r="R186">
        <f>WEEKNUM(Table2[[#This Row],[OrderDate]])</f>
        <v>49</v>
      </c>
      <c r="S186" s="1">
        <v>45278</v>
      </c>
      <c r="T186" t="s">
        <v>2921</v>
      </c>
    </row>
    <row r="187" spans="1:20" x14ac:dyDescent="0.35">
      <c r="A187" s="1">
        <v>45104</v>
      </c>
      <c r="B187" t="s">
        <v>2931</v>
      </c>
      <c r="C187" t="s">
        <v>21</v>
      </c>
      <c r="D187" s="9">
        <v>15</v>
      </c>
      <c r="E187" s="7">
        <v>478.41</v>
      </c>
      <c r="F187" t="s">
        <v>26</v>
      </c>
      <c r="G187" t="s">
        <v>31</v>
      </c>
      <c r="H187" s="12">
        <v>0.1</v>
      </c>
      <c r="I187" t="s">
        <v>35</v>
      </c>
      <c r="J187" s="7">
        <f>Table2[[#This Row],[UnitPrice]]*Table2[[#This Row],[Quantity]]*(1-Table2[[#This Row],[Discount]])</f>
        <v>6458.5350000000008</v>
      </c>
      <c r="K187" t="s">
        <v>41</v>
      </c>
      <c r="L187" t="s">
        <v>43</v>
      </c>
      <c r="M187">
        <v>0</v>
      </c>
      <c r="N187" t="s">
        <v>231</v>
      </c>
      <c r="O187" t="s">
        <v>1730</v>
      </c>
      <c r="P187" s="7">
        <v>35.630000000000003</v>
      </c>
      <c r="Q187" s="1">
        <v>45104</v>
      </c>
      <c r="R187">
        <f>WEEKNUM(Table2[[#This Row],[OrderDate]])</f>
        <v>26</v>
      </c>
      <c r="S187" s="1">
        <v>45107</v>
      </c>
      <c r="T187" t="s">
        <v>2919</v>
      </c>
    </row>
    <row r="188" spans="1:20" x14ac:dyDescent="0.35">
      <c r="A188" s="1">
        <v>45121</v>
      </c>
      <c r="B188" t="s">
        <v>2932</v>
      </c>
      <c r="C188" t="s">
        <v>22</v>
      </c>
      <c r="D188" s="9">
        <v>9</v>
      </c>
      <c r="E188" s="7">
        <v>501.74</v>
      </c>
      <c r="F188" t="s">
        <v>29</v>
      </c>
      <c r="G188" t="s">
        <v>31</v>
      </c>
      <c r="H188" s="12">
        <v>0</v>
      </c>
      <c r="I188" t="s">
        <v>37</v>
      </c>
      <c r="J188" s="7">
        <f>Table2[[#This Row],[UnitPrice]]*Table2[[#This Row],[Quantity]]*(1-Table2[[#This Row],[Discount]])</f>
        <v>4515.66</v>
      </c>
      <c r="K188" t="s">
        <v>38</v>
      </c>
      <c r="L188" t="s">
        <v>44</v>
      </c>
      <c r="M188">
        <v>1</v>
      </c>
      <c r="N188" t="s">
        <v>232</v>
      </c>
      <c r="O188" t="s">
        <v>1731</v>
      </c>
      <c r="P188" s="7">
        <v>39.74</v>
      </c>
      <c r="Q188" s="1">
        <v>45121</v>
      </c>
      <c r="R188">
        <f>WEEKNUM(Table2[[#This Row],[OrderDate]])</f>
        <v>28</v>
      </c>
      <c r="S188" s="1">
        <v>45124</v>
      </c>
      <c r="T188" t="s">
        <v>2918</v>
      </c>
    </row>
    <row r="189" spans="1:20" x14ac:dyDescent="0.35">
      <c r="A189" s="1">
        <v>44965</v>
      </c>
      <c r="B189" t="s">
        <v>2932</v>
      </c>
      <c r="C189" t="s">
        <v>24</v>
      </c>
      <c r="D189" s="9">
        <v>7</v>
      </c>
      <c r="E189" s="7">
        <v>247.53</v>
      </c>
      <c r="F189" t="s">
        <v>28</v>
      </c>
      <c r="G189" t="s">
        <v>30</v>
      </c>
      <c r="H189" s="12">
        <v>0.15</v>
      </c>
      <c r="I189" t="s">
        <v>33</v>
      </c>
      <c r="J189" s="7">
        <f>Table2[[#This Row],[UnitPrice]]*Table2[[#This Row],[Quantity]]*(1-Table2[[#This Row],[Discount]])</f>
        <v>1472.8035</v>
      </c>
      <c r="K189" t="s">
        <v>39</v>
      </c>
      <c r="L189" t="s">
        <v>43</v>
      </c>
      <c r="M189">
        <v>0</v>
      </c>
      <c r="N189" t="s">
        <v>233</v>
      </c>
      <c r="O189" t="s">
        <v>1732</v>
      </c>
      <c r="P189" s="7">
        <v>13.63</v>
      </c>
      <c r="Q189" s="1">
        <v>44965</v>
      </c>
      <c r="R189">
        <f>WEEKNUM(Table2[[#This Row],[OrderDate]])</f>
        <v>6</v>
      </c>
      <c r="S189" s="1">
        <v>44973</v>
      </c>
      <c r="T189" t="s">
        <v>2918</v>
      </c>
    </row>
    <row r="190" spans="1:20" x14ac:dyDescent="0.35">
      <c r="A190" s="1">
        <v>45471</v>
      </c>
      <c r="B190" t="s">
        <v>2933</v>
      </c>
      <c r="C190" t="s">
        <v>24</v>
      </c>
      <c r="D190" s="9">
        <v>6</v>
      </c>
      <c r="E190" s="7">
        <v>176.51</v>
      </c>
      <c r="F190" t="s">
        <v>28</v>
      </c>
      <c r="G190" t="s">
        <v>30</v>
      </c>
      <c r="H190" s="12">
        <v>0.15</v>
      </c>
      <c r="I190" t="s">
        <v>35</v>
      </c>
      <c r="J190" s="7">
        <f>Table2[[#This Row],[UnitPrice]]*Table2[[#This Row],[Quantity]]*(1-Table2[[#This Row],[Discount]])</f>
        <v>900.20099999999991</v>
      </c>
      <c r="K190" t="s">
        <v>41</v>
      </c>
      <c r="L190" t="s">
        <v>43</v>
      </c>
      <c r="M190">
        <v>1</v>
      </c>
      <c r="N190" t="s">
        <v>234</v>
      </c>
      <c r="O190" t="s">
        <v>1733</v>
      </c>
      <c r="P190" s="7">
        <v>31.02</v>
      </c>
      <c r="Q190" s="1">
        <v>45471</v>
      </c>
      <c r="R190">
        <f>WEEKNUM(Table2[[#This Row],[OrderDate]])</f>
        <v>26</v>
      </c>
      <c r="S190" s="1">
        <v>45480</v>
      </c>
      <c r="T190" t="s">
        <v>2921</v>
      </c>
    </row>
    <row r="191" spans="1:20" x14ac:dyDescent="0.35">
      <c r="A191" s="1">
        <v>45397</v>
      </c>
      <c r="B191" t="s">
        <v>2933</v>
      </c>
      <c r="C191" t="s">
        <v>19</v>
      </c>
      <c r="D191" s="9">
        <v>2</v>
      </c>
      <c r="E191" s="7">
        <v>143.43</v>
      </c>
      <c r="F191" t="s">
        <v>29</v>
      </c>
      <c r="G191" t="s">
        <v>30</v>
      </c>
      <c r="H191" s="12">
        <v>0</v>
      </c>
      <c r="I191" t="s">
        <v>37</v>
      </c>
      <c r="J191" s="7">
        <f>Table2[[#This Row],[UnitPrice]]*Table2[[#This Row],[Quantity]]*(1-Table2[[#This Row],[Discount]])</f>
        <v>286.86</v>
      </c>
      <c r="K191" t="s">
        <v>40</v>
      </c>
      <c r="L191" t="s">
        <v>2937</v>
      </c>
      <c r="M191">
        <v>0</v>
      </c>
      <c r="N191" t="s">
        <v>235</v>
      </c>
      <c r="O191" t="s">
        <v>1734</v>
      </c>
      <c r="P191" s="7">
        <v>36.94</v>
      </c>
      <c r="Q191" s="1">
        <v>45397</v>
      </c>
      <c r="R191">
        <f>WEEKNUM(Table2[[#This Row],[OrderDate]])</f>
        <v>16</v>
      </c>
      <c r="S191" s="1">
        <v>45404</v>
      </c>
      <c r="T191" t="s">
        <v>2921</v>
      </c>
    </row>
    <row r="192" spans="1:20" x14ac:dyDescent="0.35">
      <c r="A192" s="1">
        <v>45257</v>
      </c>
      <c r="B192" t="s">
        <v>2930</v>
      </c>
      <c r="C192" t="s">
        <v>23</v>
      </c>
      <c r="D192" s="9">
        <v>12</v>
      </c>
      <c r="E192" s="7">
        <v>538.5</v>
      </c>
      <c r="F192" t="s">
        <v>28</v>
      </c>
      <c r="G192" t="s">
        <v>30</v>
      </c>
      <c r="H192" s="12">
        <v>0.05</v>
      </c>
      <c r="I192" t="s">
        <v>33</v>
      </c>
      <c r="J192" s="7">
        <f>Table2[[#This Row],[UnitPrice]]*Table2[[#This Row],[Quantity]]*(1-Table2[[#This Row],[Discount]])</f>
        <v>6138.9</v>
      </c>
      <c r="K192" t="s">
        <v>42</v>
      </c>
      <c r="L192" t="s">
        <v>44</v>
      </c>
      <c r="M192">
        <v>0</v>
      </c>
      <c r="N192" t="s">
        <v>236</v>
      </c>
      <c r="O192" t="s">
        <v>1735</v>
      </c>
      <c r="P192" s="7">
        <v>18.54</v>
      </c>
      <c r="Q192" s="1">
        <v>45257</v>
      </c>
      <c r="R192">
        <f>WEEKNUM(Table2[[#This Row],[OrderDate]])</f>
        <v>48</v>
      </c>
      <c r="S192" s="1">
        <v>45266</v>
      </c>
      <c r="T192" t="s">
        <v>2917</v>
      </c>
    </row>
    <row r="193" spans="1:20" x14ac:dyDescent="0.35">
      <c r="A193" s="1">
        <v>45743</v>
      </c>
      <c r="B193" t="s">
        <v>2930</v>
      </c>
      <c r="C193" t="s">
        <v>25</v>
      </c>
      <c r="D193" s="9">
        <v>5</v>
      </c>
      <c r="E193" s="7">
        <v>87.17</v>
      </c>
      <c r="F193" t="s">
        <v>29</v>
      </c>
      <c r="G193" t="s">
        <v>30</v>
      </c>
      <c r="H193" s="12">
        <v>0</v>
      </c>
      <c r="I193" t="s">
        <v>35</v>
      </c>
      <c r="J193" s="7">
        <f>Table2[[#This Row],[UnitPrice]]*Table2[[#This Row],[Quantity]]*(1-Table2[[#This Row],[Discount]])</f>
        <v>435.85</v>
      </c>
      <c r="K193" t="s">
        <v>41</v>
      </c>
      <c r="L193" t="s">
        <v>2937</v>
      </c>
      <c r="M193">
        <v>0</v>
      </c>
      <c r="N193" t="s">
        <v>237</v>
      </c>
      <c r="O193" t="s">
        <v>1736</v>
      </c>
      <c r="P193" s="7">
        <v>13.01</v>
      </c>
      <c r="Q193" s="1">
        <v>45743</v>
      </c>
      <c r="R193">
        <f>WEEKNUM(Table2[[#This Row],[OrderDate]])</f>
        <v>13</v>
      </c>
      <c r="S193" s="1">
        <v>45745</v>
      </c>
      <c r="T193" t="s">
        <v>2917</v>
      </c>
    </row>
    <row r="194" spans="1:20" x14ac:dyDescent="0.35">
      <c r="A194" s="1">
        <v>45144</v>
      </c>
      <c r="B194" t="s">
        <v>2932</v>
      </c>
      <c r="C194" t="s">
        <v>23</v>
      </c>
      <c r="D194" s="9">
        <v>7</v>
      </c>
      <c r="E194" s="7">
        <v>498.32</v>
      </c>
      <c r="F194" t="s">
        <v>26</v>
      </c>
      <c r="G194" t="s">
        <v>30</v>
      </c>
      <c r="H194" s="12">
        <v>0.1</v>
      </c>
      <c r="I194" t="s">
        <v>33</v>
      </c>
      <c r="J194" s="7">
        <f>Table2[[#This Row],[UnitPrice]]*Table2[[#This Row],[Quantity]]*(1-Table2[[#This Row],[Discount]])</f>
        <v>3139.4159999999997</v>
      </c>
      <c r="K194" t="s">
        <v>40</v>
      </c>
      <c r="L194" t="s">
        <v>45</v>
      </c>
      <c r="M194">
        <v>1</v>
      </c>
      <c r="N194" t="s">
        <v>238</v>
      </c>
      <c r="O194" t="s">
        <v>1737</v>
      </c>
      <c r="P194" s="7">
        <v>27.65</v>
      </c>
      <c r="Q194" s="1">
        <v>45144</v>
      </c>
      <c r="R194">
        <f>WEEKNUM(Table2[[#This Row],[OrderDate]])</f>
        <v>32</v>
      </c>
      <c r="S194" s="1">
        <v>45148</v>
      </c>
      <c r="T194" t="s">
        <v>2918</v>
      </c>
    </row>
    <row r="195" spans="1:20" x14ac:dyDescent="0.35">
      <c r="A195" s="1">
        <v>45639</v>
      </c>
      <c r="B195" t="s">
        <v>2932</v>
      </c>
      <c r="C195" t="s">
        <v>25</v>
      </c>
      <c r="D195" s="9">
        <v>15</v>
      </c>
      <c r="E195" s="7">
        <v>57.14</v>
      </c>
      <c r="F195" t="s">
        <v>26</v>
      </c>
      <c r="G195" t="s">
        <v>30</v>
      </c>
      <c r="H195" s="12">
        <v>0.15</v>
      </c>
      <c r="I195" t="s">
        <v>35</v>
      </c>
      <c r="J195" s="7">
        <f>Table2[[#This Row],[UnitPrice]]*Table2[[#This Row],[Quantity]]*(1-Table2[[#This Row],[Discount]])</f>
        <v>728.53499999999997</v>
      </c>
      <c r="K195" t="s">
        <v>41</v>
      </c>
      <c r="L195" t="s">
        <v>43</v>
      </c>
      <c r="M195">
        <v>0</v>
      </c>
      <c r="N195" t="s">
        <v>239</v>
      </c>
      <c r="O195" t="s">
        <v>1738</v>
      </c>
      <c r="P195" s="7">
        <v>7.02</v>
      </c>
      <c r="Q195" s="1">
        <v>45639</v>
      </c>
      <c r="R195">
        <f>WEEKNUM(Table2[[#This Row],[OrderDate]])</f>
        <v>50</v>
      </c>
      <c r="S195" s="1">
        <v>45648</v>
      </c>
      <c r="T195" t="s">
        <v>2918</v>
      </c>
    </row>
    <row r="196" spans="1:20" x14ac:dyDescent="0.35">
      <c r="A196" s="1">
        <v>45674</v>
      </c>
      <c r="B196" t="s">
        <v>2934</v>
      </c>
      <c r="C196" t="s">
        <v>24</v>
      </c>
      <c r="D196" s="9">
        <v>18</v>
      </c>
      <c r="E196" s="7">
        <v>124.18</v>
      </c>
      <c r="F196" t="s">
        <v>26</v>
      </c>
      <c r="G196" t="s">
        <v>30</v>
      </c>
      <c r="H196" s="12">
        <v>0.15</v>
      </c>
      <c r="I196" t="s">
        <v>35</v>
      </c>
      <c r="J196" s="7">
        <f>Table2[[#This Row],[UnitPrice]]*Table2[[#This Row],[Quantity]]*(1-Table2[[#This Row],[Discount]])</f>
        <v>1899.9540000000002</v>
      </c>
      <c r="K196" t="s">
        <v>41</v>
      </c>
      <c r="L196" t="s">
        <v>44</v>
      </c>
      <c r="M196">
        <v>0</v>
      </c>
      <c r="N196" t="s">
        <v>240</v>
      </c>
      <c r="O196" t="s">
        <v>1739</v>
      </c>
      <c r="P196" s="7">
        <v>45.77</v>
      </c>
      <c r="Q196" s="1">
        <v>45674</v>
      </c>
      <c r="R196">
        <f>WEEKNUM(Table2[[#This Row],[OrderDate]])</f>
        <v>3</v>
      </c>
      <c r="S196" s="1">
        <v>45683</v>
      </c>
      <c r="T196" t="s">
        <v>2920</v>
      </c>
    </row>
    <row r="197" spans="1:20" x14ac:dyDescent="0.35">
      <c r="A197" s="1">
        <v>45256</v>
      </c>
      <c r="B197" t="s">
        <v>2933</v>
      </c>
      <c r="C197" t="s">
        <v>21</v>
      </c>
      <c r="D197" s="9">
        <v>12</v>
      </c>
      <c r="E197" s="7">
        <v>107.45</v>
      </c>
      <c r="F197" t="s">
        <v>28</v>
      </c>
      <c r="G197" t="s">
        <v>31</v>
      </c>
      <c r="H197" s="12">
        <v>0.1</v>
      </c>
      <c r="I197" t="s">
        <v>37</v>
      </c>
      <c r="J197" s="7">
        <f>Table2[[#This Row],[UnitPrice]]*Table2[[#This Row],[Quantity]]*(1-Table2[[#This Row],[Discount]])</f>
        <v>1160.46</v>
      </c>
      <c r="K197" t="s">
        <v>38</v>
      </c>
      <c r="L197" t="s">
        <v>43</v>
      </c>
      <c r="M197">
        <v>0</v>
      </c>
      <c r="N197" t="s">
        <v>241</v>
      </c>
      <c r="O197" t="s">
        <v>1740</v>
      </c>
      <c r="P197" s="7">
        <v>18.170000000000002</v>
      </c>
      <c r="Q197" s="1">
        <v>45256</v>
      </c>
      <c r="R197">
        <f>WEEKNUM(Table2[[#This Row],[OrderDate]])</f>
        <v>48</v>
      </c>
      <c r="S197" s="1">
        <v>45262</v>
      </c>
      <c r="T197" t="s">
        <v>2921</v>
      </c>
    </row>
    <row r="198" spans="1:20" x14ac:dyDescent="0.35">
      <c r="A198" s="1">
        <v>44971</v>
      </c>
      <c r="B198" t="s">
        <v>2930</v>
      </c>
      <c r="C198" t="s">
        <v>22</v>
      </c>
      <c r="D198" s="9">
        <v>8</v>
      </c>
      <c r="E198" s="7">
        <v>411.26</v>
      </c>
      <c r="F198" t="s">
        <v>27</v>
      </c>
      <c r="G198" t="s">
        <v>31</v>
      </c>
      <c r="H198" s="12">
        <v>0.1</v>
      </c>
      <c r="I198" t="s">
        <v>34</v>
      </c>
      <c r="J198" s="7">
        <f>Table2[[#This Row],[UnitPrice]]*Table2[[#This Row],[Quantity]]*(1-Table2[[#This Row],[Discount]])</f>
        <v>2961.0720000000001</v>
      </c>
      <c r="K198" t="s">
        <v>39</v>
      </c>
      <c r="L198" t="s">
        <v>45</v>
      </c>
      <c r="M198">
        <v>0</v>
      </c>
      <c r="N198" t="s">
        <v>242</v>
      </c>
      <c r="O198" t="s">
        <v>1741</v>
      </c>
      <c r="P198" s="7">
        <v>28.57</v>
      </c>
      <c r="Q198" s="1">
        <v>44971</v>
      </c>
      <c r="R198">
        <f>WEEKNUM(Table2[[#This Row],[OrderDate]])</f>
        <v>7</v>
      </c>
      <c r="S198" s="1">
        <v>44975</v>
      </c>
      <c r="T198" t="s">
        <v>2917</v>
      </c>
    </row>
    <row r="199" spans="1:20" x14ac:dyDescent="0.35">
      <c r="A199" s="1">
        <v>45690</v>
      </c>
      <c r="B199" t="s">
        <v>2934</v>
      </c>
      <c r="C199" t="s">
        <v>25</v>
      </c>
      <c r="D199" s="9">
        <v>7</v>
      </c>
      <c r="E199" s="7">
        <v>248.1</v>
      </c>
      <c r="F199" t="s">
        <v>28</v>
      </c>
      <c r="G199" t="s">
        <v>31</v>
      </c>
      <c r="H199" s="12">
        <v>0</v>
      </c>
      <c r="I199" t="s">
        <v>36</v>
      </c>
      <c r="J199" s="7">
        <f>Table2[[#This Row],[UnitPrice]]*Table2[[#This Row],[Quantity]]*(1-Table2[[#This Row],[Discount]])</f>
        <v>1736.7</v>
      </c>
      <c r="K199" t="s">
        <v>42</v>
      </c>
      <c r="L199" t="s">
        <v>45</v>
      </c>
      <c r="M199">
        <v>0</v>
      </c>
      <c r="N199" t="s">
        <v>243</v>
      </c>
      <c r="O199" t="s">
        <v>1742</v>
      </c>
      <c r="P199" s="7">
        <v>31.8</v>
      </c>
      <c r="Q199" s="1">
        <v>45690</v>
      </c>
      <c r="R199">
        <f>WEEKNUM(Table2[[#This Row],[OrderDate]])</f>
        <v>6</v>
      </c>
      <c r="S199" s="1">
        <v>45694</v>
      </c>
      <c r="T199" t="s">
        <v>2920</v>
      </c>
    </row>
    <row r="200" spans="1:20" x14ac:dyDescent="0.35">
      <c r="A200" s="1">
        <v>45027</v>
      </c>
      <c r="B200" t="s">
        <v>2933</v>
      </c>
      <c r="C200" t="s">
        <v>25</v>
      </c>
      <c r="D200" s="9">
        <v>3</v>
      </c>
      <c r="E200" s="7">
        <v>486.52</v>
      </c>
      <c r="F200" t="s">
        <v>26</v>
      </c>
      <c r="G200" t="s">
        <v>30</v>
      </c>
      <c r="H200" s="12">
        <v>0.1</v>
      </c>
      <c r="I200" t="s">
        <v>35</v>
      </c>
      <c r="J200" s="7">
        <f>Table2[[#This Row],[UnitPrice]]*Table2[[#This Row],[Quantity]]*(1-Table2[[#This Row],[Discount]])</f>
        <v>1313.604</v>
      </c>
      <c r="K200" t="s">
        <v>39</v>
      </c>
      <c r="L200" t="s">
        <v>2937</v>
      </c>
      <c r="M200">
        <v>0</v>
      </c>
      <c r="N200" t="s">
        <v>244</v>
      </c>
      <c r="O200" t="s">
        <v>1743</v>
      </c>
      <c r="P200" s="7">
        <v>16.5</v>
      </c>
      <c r="Q200" s="1">
        <v>45027</v>
      </c>
      <c r="R200">
        <f>WEEKNUM(Table2[[#This Row],[OrderDate]])</f>
        <v>15</v>
      </c>
      <c r="S200" s="1">
        <v>45036</v>
      </c>
      <c r="T200" t="s">
        <v>2921</v>
      </c>
    </row>
    <row r="201" spans="1:20" x14ac:dyDescent="0.35">
      <c r="A201" s="1">
        <v>45481</v>
      </c>
      <c r="B201" t="s">
        <v>2931</v>
      </c>
      <c r="C201" t="s">
        <v>23</v>
      </c>
      <c r="D201" s="9">
        <v>18</v>
      </c>
      <c r="E201" s="7">
        <v>415.04</v>
      </c>
      <c r="F201" t="s">
        <v>28</v>
      </c>
      <c r="G201" t="s">
        <v>30</v>
      </c>
      <c r="H201" s="12">
        <v>0.1</v>
      </c>
      <c r="I201" t="s">
        <v>32</v>
      </c>
      <c r="J201" s="7">
        <f>Table2[[#This Row],[UnitPrice]]*Table2[[#This Row],[Quantity]]*(1-Table2[[#This Row],[Discount]])</f>
        <v>6723.6480000000001</v>
      </c>
      <c r="K201" t="s">
        <v>42</v>
      </c>
      <c r="L201" t="s">
        <v>45</v>
      </c>
      <c r="M201">
        <v>0</v>
      </c>
      <c r="N201" t="s">
        <v>245</v>
      </c>
      <c r="O201" t="s">
        <v>1744</v>
      </c>
      <c r="P201" s="7">
        <v>33.58</v>
      </c>
      <c r="Q201" s="1">
        <v>45481</v>
      </c>
      <c r="R201">
        <f>WEEKNUM(Table2[[#This Row],[OrderDate]])</f>
        <v>28</v>
      </c>
      <c r="S201" s="1">
        <v>45486</v>
      </c>
      <c r="T201" t="s">
        <v>2919</v>
      </c>
    </row>
    <row r="202" spans="1:20" x14ac:dyDescent="0.35">
      <c r="A202" s="1">
        <v>44965</v>
      </c>
      <c r="B202" t="s">
        <v>2934</v>
      </c>
      <c r="C202" t="s">
        <v>25</v>
      </c>
      <c r="D202" s="9">
        <v>19</v>
      </c>
      <c r="E202" s="7">
        <v>165.38</v>
      </c>
      <c r="F202" t="s">
        <v>26</v>
      </c>
      <c r="G202" t="s">
        <v>30</v>
      </c>
      <c r="H202" s="12">
        <v>0.15</v>
      </c>
      <c r="I202" t="s">
        <v>33</v>
      </c>
      <c r="J202" s="7">
        <f>Table2[[#This Row],[UnitPrice]]*Table2[[#This Row],[Quantity]]*(1-Table2[[#This Row],[Discount]])</f>
        <v>2670.8869999999997</v>
      </c>
      <c r="K202" t="s">
        <v>38</v>
      </c>
      <c r="L202" t="s">
        <v>2937</v>
      </c>
      <c r="M202">
        <v>0</v>
      </c>
      <c r="N202" t="s">
        <v>246</v>
      </c>
      <c r="O202" t="s">
        <v>1745</v>
      </c>
      <c r="P202" s="7">
        <v>25.2</v>
      </c>
      <c r="Q202" s="1">
        <v>44965</v>
      </c>
      <c r="R202">
        <f>WEEKNUM(Table2[[#This Row],[OrderDate]])</f>
        <v>6</v>
      </c>
      <c r="S202" s="1">
        <v>44971</v>
      </c>
      <c r="T202" t="s">
        <v>2920</v>
      </c>
    </row>
    <row r="203" spans="1:20" x14ac:dyDescent="0.35">
      <c r="A203" s="1">
        <v>45391</v>
      </c>
      <c r="B203" t="s">
        <v>2933</v>
      </c>
      <c r="C203" t="s">
        <v>21</v>
      </c>
      <c r="D203" s="9">
        <v>2</v>
      </c>
      <c r="E203" s="7">
        <v>117.47</v>
      </c>
      <c r="F203" t="s">
        <v>28</v>
      </c>
      <c r="G203" t="s">
        <v>30</v>
      </c>
      <c r="H203" s="12">
        <v>0</v>
      </c>
      <c r="I203" t="s">
        <v>32</v>
      </c>
      <c r="J203" s="7">
        <f>Table2[[#This Row],[UnitPrice]]*Table2[[#This Row],[Quantity]]*(1-Table2[[#This Row],[Discount]])</f>
        <v>234.94</v>
      </c>
      <c r="K203" t="s">
        <v>40</v>
      </c>
      <c r="L203" t="s">
        <v>43</v>
      </c>
      <c r="M203">
        <v>0</v>
      </c>
      <c r="N203" t="s">
        <v>247</v>
      </c>
      <c r="O203" t="s">
        <v>1746</v>
      </c>
      <c r="P203" s="7">
        <v>6.58</v>
      </c>
      <c r="Q203" s="1">
        <v>45391</v>
      </c>
      <c r="R203">
        <f>WEEKNUM(Table2[[#This Row],[OrderDate]])</f>
        <v>15</v>
      </c>
      <c r="S203" s="1">
        <v>45398</v>
      </c>
      <c r="T203" t="s">
        <v>2921</v>
      </c>
    </row>
    <row r="204" spans="1:20" x14ac:dyDescent="0.35">
      <c r="A204" s="1">
        <v>45152</v>
      </c>
      <c r="B204" t="s">
        <v>2934</v>
      </c>
      <c r="C204" t="s">
        <v>25</v>
      </c>
      <c r="D204" s="9">
        <v>9</v>
      </c>
      <c r="E204" s="7">
        <v>461.79</v>
      </c>
      <c r="F204" t="s">
        <v>28</v>
      </c>
      <c r="G204" t="s">
        <v>30</v>
      </c>
      <c r="H204" s="12">
        <v>0.15</v>
      </c>
      <c r="I204" t="s">
        <v>34</v>
      </c>
      <c r="J204" s="7">
        <f>Table2[[#This Row],[UnitPrice]]*Table2[[#This Row],[Quantity]]*(1-Table2[[#This Row],[Discount]])</f>
        <v>3532.6935000000003</v>
      </c>
      <c r="K204" t="s">
        <v>39</v>
      </c>
      <c r="L204" t="s">
        <v>2937</v>
      </c>
      <c r="M204">
        <v>0</v>
      </c>
      <c r="N204" t="s">
        <v>248</v>
      </c>
      <c r="O204" t="s">
        <v>1747</v>
      </c>
      <c r="P204" s="7">
        <v>47.81</v>
      </c>
      <c r="Q204" s="1">
        <v>45152</v>
      </c>
      <c r="R204">
        <f>WEEKNUM(Table2[[#This Row],[OrderDate]])</f>
        <v>33</v>
      </c>
      <c r="S204" s="1">
        <v>45156</v>
      </c>
      <c r="T204" t="s">
        <v>2920</v>
      </c>
    </row>
    <row r="205" spans="1:20" x14ac:dyDescent="0.35">
      <c r="A205" s="1">
        <v>45537</v>
      </c>
      <c r="B205" t="s">
        <v>2933</v>
      </c>
      <c r="C205" t="s">
        <v>24</v>
      </c>
      <c r="D205" s="9">
        <v>19</v>
      </c>
      <c r="E205" s="7">
        <v>208.72</v>
      </c>
      <c r="F205" t="s">
        <v>29</v>
      </c>
      <c r="G205" t="s">
        <v>31</v>
      </c>
      <c r="H205" s="12">
        <v>0.05</v>
      </c>
      <c r="I205" t="s">
        <v>34</v>
      </c>
      <c r="J205" s="7">
        <f>Table2[[#This Row],[UnitPrice]]*Table2[[#This Row],[Quantity]]*(1-Table2[[#This Row],[Discount]])</f>
        <v>3767.3959999999997</v>
      </c>
      <c r="K205" t="s">
        <v>40</v>
      </c>
      <c r="L205" t="s">
        <v>43</v>
      </c>
      <c r="M205">
        <v>0</v>
      </c>
      <c r="N205" t="s">
        <v>249</v>
      </c>
      <c r="O205" t="s">
        <v>1748</v>
      </c>
      <c r="P205" s="7">
        <v>38.409999999999997</v>
      </c>
      <c r="Q205" s="1">
        <v>45537</v>
      </c>
      <c r="R205">
        <f>WEEKNUM(Table2[[#This Row],[OrderDate]])</f>
        <v>36</v>
      </c>
      <c r="S205" s="1">
        <v>45541</v>
      </c>
      <c r="T205" t="s">
        <v>2921</v>
      </c>
    </row>
    <row r="206" spans="1:20" x14ac:dyDescent="0.35">
      <c r="A206" s="1">
        <v>45837</v>
      </c>
      <c r="B206" t="s">
        <v>2934</v>
      </c>
      <c r="C206" t="s">
        <v>23</v>
      </c>
      <c r="D206" s="9">
        <v>16</v>
      </c>
      <c r="E206" s="7">
        <v>278.13</v>
      </c>
      <c r="F206" t="s">
        <v>27</v>
      </c>
      <c r="G206" t="s">
        <v>30</v>
      </c>
      <c r="H206" s="12">
        <v>0.15</v>
      </c>
      <c r="I206" t="s">
        <v>33</v>
      </c>
      <c r="J206" s="7">
        <f>Table2[[#This Row],[UnitPrice]]*Table2[[#This Row],[Quantity]]*(1-Table2[[#This Row],[Discount]])</f>
        <v>3782.5679999999998</v>
      </c>
      <c r="K206" t="s">
        <v>42</v>
      </c>
      <c r="L206" t="s">
        <v>44</v>
      </c>
      <c r="M206">
        <v>0</v>
      </c>
      <c r="N206" t="s">
        <v>250</v>
      </c>
      <c r="O206" t="s">
        <v>1749</v>
      </c>
      <c r="P206" s="7">
        <v>24.29</v>
      </c>
      <c r="Q206" s="1">
        <v>45837</v>
      </c>
      <c r="R206">
        <f>WEEKNUM(Table2[[#This Row],[OrderDate]])</f>
        <v>27</v>
      </c>
      <c r="S206" s="1">
        <v>45842</v>
      </c>
      <c r="T206" t="s">
        <v>2920</v>
      </c>
    </row>
    <row r="207" spans="1:20" x14ac:dyDescent="0.35">
      <c r="A207" s="1">
        <v>45749</v>
      </c>
      <c r="B207" t="s">
        <v>2933</v>
      </c>
      <c r="C207" t="s">
        <v>19</v>
      </c>
      <c r="D207" s="9">
        <v>2</v>
      </c>
      <c r="E207" s="7">
        <v>580.19000000000005</v>
      </c>
      <c r="F207" t="s">
        <v>26</v>
      </c>
      <c r="G207" t="s">
        <v>30</v>
      </c>
      <c r="H207" s="12">
        <v>0.05</v>
      </c>
      <c r="I207" t="s">
        <v>36</v>
      </c>
      <c r="J207" s="7">
        <f>Table2[[#This Row],[UnitPrice]]*Table2[[#This Row],[Quantity]]*(1-Table2[[#This Row],[Discount]])</f>
        <v>1102.3610000000001</v>
      </c>
      <c r="K207" t="s">
        <v>41</v>
      </c>
      <c r="L207" t="s">
        <v>45</v>
      </c>
      <c r="M207">
        <v>0</v>
      </c>
      <c r="N207" t="s">
        <v>251</v>
      </c>
      <c r="O207" t="s">
        <v>1750</v>
      </c>
      <c r="P207" s="7">
        <v>7.33</v>
      </c>
      <c r="Q207" s="1">
        <v>45749</v>
      </c>
      <c r="R207">
        <f>WEEKNUM(Table2[[#This Row],[OrderDate]])</f>
        <v>14</v>
      </c>
      <c r="S207" s="1">
        <v>45755</v>
      </c>
      <c r="T207" t="s">
        <v>2921</v>
      </c>
    </row>
    <row r="208" spans="1:20" x14ac:dyDescent="0.35">
      <c r="A208" s="1">
        <v>45043</v>
      </c>
      <c r="B208" t="s">
        <v>2934</v>
      </c>
      <c r="C208" t="s">
        <v>24</v>
      </c>
      <c r="D208" s="9">
        <v>8</v>
      </c>
      <c r="E208" s="7">
        <v>536.42999999999995</v>
      </c>
      <c r="F208" t="s">
        <v>26</v>
      </c>
      <c r="G208" t="s">
        <v>31</v>
      </c>
      <c r="H208" s="12">
        <v>0</v>
      </c>
      <c r="I208" t="s">
        <v>35</v>
      </c>
      <c r="J208" s="7">
        <f>Table2[[#This Row],[UnitPrice]]*Table2[[#This Row],[Quantity]]*(1-Table2[[#This Row],[Discount]])</f>
        <v>4291.4399999999996</v>
      </c>
      <c r="K208" t="s">
        <v>42</v>
      </c>
      <c r="L208" t="s">
        <v>2937</v>
      </c>
      <c r="M208">
        <v>1</v>
      </c>
      <c r="N208" t="s">
        <v>252</v>
      </c>
      <c r="O208" t="s">
        <v>1751</v>
      </c>
      <c r="P208" s="7">
        <v>14.58</v>
      </c>
      <c r="Q208" s="1">
        <v>45043</v>
      </c>
      <c r="R208">
        <f>WEEKNUM(Table2[[#This Row],[OrderDate]])</f>
        <v>17</v>
      </c>
      <c r="S208" s="1">
        <v>45053</v>
      </c>
      <c r="T208" t="s">
        <v>2920</v>
      </c>
    </row>
    <row r="209" spans="1:20" x14ac:dyDescent="0.35">
      <c r="A209" s="1">
        <v>45511</v>
      </c>
      <c r="B209" t="s">
        <v>2930</v>
      </c>
      <c r="C209" t="s">
        <v>20</v>
      </c>
      <c r="D209" s="9">
        <v>1</v>
      </c>
      <c r="E209" s="7">
        <v>94.33</v>
      </c>
      <c r="F209" t="s">
        <v>27</v>
      </c>
      <c r="G209" t="s">
        <v>30</v>
      </c>
      <c r="H209" s="12">
        <v>0</v>
      </c>
      <c r="I209" t="s">
        <v>35</v>
      </c>
      <c r="J209" s="7">
        <f>Table2[[#This Row],[UnitPrice]]*Table2[[#This Row],[Quantity]]*(1-Table2[[#This Row],[Discount]])</f>
        <v>94.33</v>
      </c>
      <c r="K209" t="s">
        <v>38</v>
      </c>
      <c r="L209" t="s">
        <v>2937</v>
      </c>
      <c r="M209">
        <v>0</v>
      </c>
      <c r="N209" t="s">
        <v>253</v>
      </c>
      <c r="O209" t="s">
        <v>1752</v>
      </c>
      <c r="P209" s="7">
        <v>49.17</v>
      </c>
      <c r="Q209" s="1">
        <v>45511</v>
      </c>
      <c r="R209">
        <f>WEEKNUM(Table2[[#This Row],[OrderDate]])</f>
        <v>32</v>
      </c>
      <c r="S209" s="1">
        <v>45521</v>
      </c>
      <c r="T209" t="s">
        <v>2917</v>
      </c>
    </row>
    <row r="210" spans="1:20" x14ac:dyDescent="0.35">
      <c r="A210" s="1">
        <v>45031</v>
      </c>
      <c r="B210" t="s">
        <v>2933</v>
      </c>
      <c r="C210" t="s">
        <v>19</v>
      </c>
      <c r="D210" s="9">
        <v>16</v>
      </c>
      <c r="E210" s="7">
        <v>489.94</v>
      </c>
      <c r="F210" t="s">
        <v>28</v>
      </c>
      <c r="G210" t="s">
        <v>31</v>
      </c>
      <c r="H210" s="12">
        <v>0.1</v>
      </c>
      <c r="I210" t="s">
        <v>34</v>
      </c>
      <c r="J210" s="7">
        <f>Table2[[#This Row],[UnitPrice]]*Table2[[#This Row],[Quantity]]*(1-Table2[[#This Row],[Discount]])</f>
        <v>7055.1360000000004</v>
      </c>
      <c r="K210" t="s">
        <v>42</v>
      </c>
      <c r="L210" t="s">
        <v>44</v>
      </c>
      <c r="M210">
        <v>0</v>
      </c>
      <c r="N210" t="s">
        <v>254</v>
      </c>
      <c r="O210" t="s">
        <v>1603</v>
      </c>
      <c r="P210" s="7">
        <v>9.69</v>
      </c>
      <c r="Q210" s="1">
        <v>45031</v>
      </c>
      <c r="R210">
        <f>WEEKNUM(Table2[[#This Row],[OrderDate]])</f>
        <v>15</v>
      </c>
      <c r="S210" s="1">
        <v>45041</v>
      </c>
      <c r="T210" t="s">
        <v>2921</v>
      </c>
    </row>
    <row r="211" spans="1:20" x14ac:dyDescent="0.35">
      <c r="A211" s="1">
        <v>45150</v>
      </c>
      <c r="B211" t="s">
        <v>2932</v>
      </c>
      <c r="C211" t="s">
        <v>21</v>
      </c>
      <c r="D211" s="9">
        <v>4</v>
      </c>
      <c r="E211" s="7">
        <v>551.71</v>
      </c>
      <c r="F211" t="s">
        <v>27</v>
      </c>
      <c r="G211" t="s">
        <v>31</v>
      </c>
      <c r="H211" s="12">
        <v>0.05</v>
      </c>
      <c r="I211" t="s">
        <v>32</v>
      </c>
      <c r="J211" s="7">
        <f>Table2[[#This Row],[UnitPrice]]*Table2[[#This Row],[Quantity]]*(1-Table2[[#This Row],[Discount]])</f>
        <v>2096.498</v>
      </c>
      <c r="K211" t="s">
        <v>39</v>
      </c>
      <c r="L211" t="s">
        <v>2937</v>
      </c>
      <c r="M211">
        <v>1</v>
      </c>
      <c r="N211" t="s">
        <v>255</v>
      </c>
      <c r="O211" t="s">
        <v>1753</v>
      </c>
      <c r="P211" s="7">
        <v>26.32</v>
      </c>
      <c r="Q211" s="1">
        <v>45150</v>
      </c>
      <c r="R211">
        <f>WEEKNUM(Table2[[#This Row],[OrderDate]])</f>
        <v>32</v>
      </c>
      <c r="S211" s="1">
        <v>45153</v>
      </c>
      <c r="T211" t="s">
        <v>2918</v>
      </c>
    </row>
    <row r="212" spans="1:20" x14ac:dyDescent="0.35">
      <c r="A212" s="1">
        <v>45096</v>
      </c>
      <c r="B212" t="s">
        <v>2933</v>
      </c>
      <c r="C212" t="s">
        <v>25</v>
      </c>
      <c r="D212" s="9">
        <v>17</v>
      </c>
      <c r="E212" s="7">
        <v>595.57000000000005</v>
      </c>
      <c r="F212" t="s">
        <v>29</v>
      </c>
      <c r="G212" t="s">
        <v>31</v>
      </c>
      <c r="H212" s="12">
        <v>0.15</v>
      </c>
      <c r="I212" t="s">
        <v>37</v>
      </c>
      <c r="J212" s="7">
        <f>Table2[[#This Row],[UnitPrice]]*Table2[[#This Row],[Quantity]]*(1-Table2[[#This Row],[Discount]])</f>
        <v>8605.9865000000009</v>
      </c>
      <c r="K212" t="s">
        <v>40</v>
      </c>
      <c r="L212" t="s">
        <v>45</v>
      </c>
      <c r="M212">
        <v>0</v>
      </c>
      <c r="N212" t="s">
        <v>256</v>
      </c>
      <c r="O212" t="s">
        <v>1754</v>
      </c>
      <c r="P212" s="7">
        <v>9.73</v>
      </c>
      <c r="Q212" s="1">
        <v>45096</v>
      </c>
      <c r="R212">
        <f>WEEKNUM(Table2[[#This Row],[OrderDate]])</f>
        <v>25</v>
      </c>
      <c r="S212" s="1">
        <v>45105</v>
      </c>
      <c r="T212" t="s">
        <v>2921</v>
      </c>
    </row>
    <row r="213" spans="1:20" x14ac:dyDescent="0.35">
      <c r="A213" s="1">
        <v>45289</v>
      </c>
      <c r="B213" t="s">
        <v>2930</v>
      </c>
      <c r="C213" t="s">
        <v>25</v>
      </c>
      <c r="D213" s="9">
        <v>1</v>
      </c>
      <c r="E213" s="7">
        <v>180.12</v>
      </c>
      <c r="F213" t="s">
        <v>27</v>
      </c>
      <c r="G213" t="s">
        <v>30</v>
      </c>
      <c r="H213" s="12">
        <v>0.1</v>
      </c>
      <c r="I213" t="s">
        <v>32</v>
      </c>
      <c r="J213" s="7">
        <f>Table2[[#This Row],[UnitPrice]]*Table2[[#This Row],[Quantity]]*(1-Table2[[#This Row],[Discount]])</f>
        <v>162.108</v>
      </c>
      <c r="K213" t="s">
        <v>41</v>
      </c>
      <c r="L213" t="s">
        <v>2937</v>
      </c>
      <c r="M213">
        <v>0</v>
      </c>
      <c r="N213" t="s">
        <v>257</v>
      </c>
      <c r="O213" t="s">
        <v>1755</v>
      </c>
      <c r="P213" s="7">
        <v>27.07</v>
      </c>
      <c r="Q213" s="1">
        <v>45289</v>
      </c>
      <c r="R213">
        <f>WEEKNUM(Table2[[#This Row],[OrderDate]])</f>
        <v>52</v>
      </c>
      <c r="S213" s="1">
        <v>45298</v>
      </c>
      <c r="T213" t="s">
        <v>2917</v>
      </c>
    </row>
    <row r="214" spans="1:20" x14ac:dyDescent="0.35">
      <c r="A214" s="1">
        <v>45011</v>
      </c>
      <c r="B214" t="s">
        <v>2930</v>
      </c>
      <c r="C214" t="s">
        <v>21</v>
      </c>
      <c r="D214" s="9">
        <v>12</v>
      </c>
      <c r="E214" s="7">
        <v>301.5</v>
      </c>
      <c r="F214" t="s">
        <v>29</v>
      </c>
      <c r="G214" t="s">
        <v>31</v>
      </c>
      <c r="H214" s="12">
        <v>0.15</v>
      </c>
      <c r="I214" t="s">
        <v>37</v>
      </c>
      <c r="J214" s="7">
        <f>Table2[[#This Row],[UnitPrice]]*Table2[[#This Row],[Quantity]]*(1-Table2[[#This Row],[Discount]])</f>
        <v>3075.2999999999997</v>
      </c>
      <c r="K214" t="s">
        <v>40</v>
      </c>
      <c r="L214" t="s">
        <v>43</v>
      </c>
      <c r="M214">
        <v>1</v>
      </c>
      <c r="N214" t="s">
        <v>258</v>
      </c>
      <c r="O214" t="s">
        <v>1756</v>
      </c>
      <c r="P214" s="7">
        <v>43.67</v>
      </c>
      <c r="Q214" s="1">
        <v>45011</v>
      </c>
      <c r="R214">
        <f>WEEKNUM(Table2[[#This Row],[OrderDate]])</f>
        <v>13</v>
      </c>
      <c r="S214" s="1">
        <v>45015</v>
      </c>
      <c r="T214" t="s">
        <v>2917</v>
      </c>
    </row>
    <row r="215" spans="1:20" x14ac:dyDescent="0.35">
      <c r="A215" s="1">
        <v>45170</v>
      </c>
      <c r="B215" t="s">
        <v>2932</v>
      </c>
      <c r="C215" t="s">
        <v>20</v>
      </c>
      <c r="D215" s="9">
        <v>20</v>
      </c>
      <c r="E215" s="7">
        <v>273.55</v>
      </c>
      <c r="F215" t="s">
        <v>29</v>
      </c>
      <c r="G215" t="s">
        <v>31</v>
      </c>
      <c r="H215" s="12">
        <v>0.15</v>
      </c>
      <c r="I215" t="s">
        <v>34</v>
      </c>
      <c r="J215" s="7">
        <f>Table2[[#This Row],[UnitPrice]]*Table2[[#This Row],[Quantity]]*(1-Table2[[#This Row],[Discount]])</f>
        <v>4650.3499999999995</v>
      </c>
      <c r="K215" t="s">
        <v>41</v>
      </c>
      <c r="L215" t="s">
        <v>2937</v>
      </c>
      <c r="M215">
        <v>0</v>
      </c>
      <c r="N215" t="s">
        <v>259</v>
      </c>
      <c r="O215" t="s">
        <v>1757</v>
      </c>
      <c r="P215" s="7">
        <v>14.76</v>
      </c>
      <c r="Q215" s="1">
        <v>45170</v>
      </c>
      <c r="R215">
        <f>WEEKNUM(Table2[[#This Row],[OrderDate]])</f>
        <v>35</v>
      </c>
      <c r="S215" s="1">
        <v>45176</v>
      </c>
      <c r="T215" t="s">
        <v>2918</v>
      </c>
    </row>
    <row r="216" spans="1:20" x14ac:dyDescent="0.35">
      <c r="A216" s="1">
        <v>45509</v>
      </c>
      <c r="B216" t="s">
        <v>2933</v>
      </c>
      <c r="C216" t="s">
        <v>24</v>
      </c>
      <c r="D216" s="9">
        <v>6</v>
      </c>
      <c r="E216" s="7">
        <v>187.06</v>
      </c>
      <c r="F216" t="s">
        <v>26</v>
      </c>
      <c r="G216" t="s">
        <v>30</v>
      </c>
      <c r="H216" s="12">
        <v>0.1</v>
      </c>
      <c r="I216" t="s">
        <v>34</v>
      </c>
      <c r="J216" s="7">
        <f>Table2[[#This Row],[UnitPrice]]*Table2[[#This Row],[Quantity]]*(1-Table2[[#This Row],[Discount]])</f>
        <v>1010.1240000000001</v>
      </c>
      <c r="K216" t="s">
        <v>41</v>
      </c>
      <c r="L216" t="s">
        <v>43</v>
      </c>
      <c r="M216">
        <v>0</v>
      </c>
      <c r="N216" t="s">
        <v>260</v>
      </c>
      <c r="O216" t="s">
        <v>1758</v>
      </c>
      <c r="P216" s="7">
        <v>11.03</v>
      </c>
      <c r="Q216" s="1">
        <v>45509</v>
      </c>
      <c r="R216">
        <f>WEEKNUM(Table2[[#This Row],[OrderDate]])</f>
        <v>32</v>
      </c>
      <c r="S216" s="1">
        <v>45517</v>
      </c>
      <c r="T216" t="s">
        <v>2921</v>
      </c>
    </row>
    <row r="217" spans="1:20" x14ac:dyDescent="0.35">
      <c r="A217" s="1">
        <v>45680</v>
      </c>
      <c r="B217" t="s">
        <v>2931</v>
      </c>
      <c r="C217" t="s">
        <v>22</v>
      </c>
      <c r="D217" s="9">
        <v>16</v>
      </c>
      <c r="E217" s="7">
        <v>562.52</v>
      </c>
      <c r="F217" t="s">
        <v>29</v>
      </c>
      <c r="G217" t="s">
        <v>31</v>
      </c>
      <c r="H217" s="12">
        <v>0</v>
      </c>
      <c r="I217" t="s">
        <v>34</v>
      </c>
      <c r="J217" s="7">
        <f>Table2[[#This Row],[UnitPrice]]*Table2[[#This Row],[Quantity]]*(1-Table2[[#This Row],[Discount]])</f>
        <v>9000.32</v>
      </c>
      <c r="K217" t="s">
        <v>39</v>
      </c>
      <c r="L217" t="s">
        <v>2937</v>
      </c>
      <c r="M217">
        <v>0</v>
      </c>
      <c r="N217" t="s">
        <v>261</v>
      </c>
      <c r="O217" t="s">
        <v>1759</v>
      </c>
      <c r="P217" s="7">
        <v>18.23</v>
      </c>
      <c r="Q217" s="1">
        <v>45680</v>
      </c>
      <c r="R217">
        <f>WEEKNUM(Table2[[#This Row],[OrderDate]])</f>
        <v>4</v>
      </c>
      <c r="S217" s="1">
        <v>45684</v>
      </c>
      <c r="T217" t="s">
        <v>2919</v>
      </c>
    </row>
    <row r="218" spans="1:20" x14ac:dyDescent="0.35">
      <c r="A218" s="1">
        <v>45062</v>
      </c>
      <c r="B218" t="s">
        <v>2930</v>
      </c>
      <c r="C218" t="s">
        <v>24</v>
      </c>
      <c r="D218" s="9">
        <v>4</v>
      </c>
      <c r="E218" s="7">
        <v>85.16</v>
      </c>
      <c r="F218" t="s">
        <v>29</v>
      </c>
      <c r="G218" t="s">
        <v>30</v>
      </c>
      <c r="H218" s="12">
        <v>0.1</v>
      </c>
      <c r="I218" t="s">
        <v>35</v>
      </c>
      <c r="J218" s="7">
        <f>Table2[[#This Row],[UnitPrice]]*Table2[[#This Row],[Quantity]]*(1-Table2[[#This Row],[Discount]])</f>
        <v>306.57600000000002</v>
      </c>
      <c r="K218" t="s">
        <v>40</v>
      </c>
      <c r="L218" t="s">
        <v>2937</v>
      </c>
      <c r="M218">
        <v>0</v>
      </c>
      <c r="N218" t="s">
        <v>262</v>
      </c>
      <c r="O218" t="s">
        <v>1760</v>
      </c>
      <c r="P218" s="7">
        <v>38.51</v>
      </c>
      <c r="Q218" s="1">
        <v>45062</v>
      </c>
      <c r="R218">
        <f>WEEKNUM(Table2[[#This Row],[OrderDate]])</f>
        <v>20</v>
      </c>
      <c r="S218" s="1">
        <v>45069</v>
      </c>
      <c r="T218" t="s">
        <v>2917</v>
      </c>
    </row>
    <row r="219" spans="1:20" x14ac:dyDescent="0.35">
      <c r="A219" s="1">
        <v>44971</v>
      </c>
      <c r="B219" t="s">
        <v>2931</v>
      </c>
      <c r="C219" t="s">
        <v>24</v>
      </c>
      <c r="D219" s="9">
        <v>12</v>
      </c>
      <c r="E219" s="7">
        <v>451.51</v>
      </c>
      <c r="F219" t="s">
        <v>26</v>
      </c>
      <c r="G219" t="s">
        <v>30</v>
      </c>
      <c r="H219" s="12">
        <v>0.15</v>
      </c>
      <c r="I219" t="s">
        <v>35</v>
      </c>
      <c r="J219" s="7">
        <f>Table2[[#This Row],[UnitPrice]]*Table2[[#This Row],[Quantity]]*(1-Table2[[#This Row],[Discount]])</f>
        <v>4605.402</v>
      </c>
      <c r="K219" t="s">
        <v>38</v>
      </c>
      <c r="L219" t="s">
        <v>45</v>
      </c>
      <c r="M219">
        <v>0</v>
      </c>
      <c r="N219" t="s">
        <v>263</v>
      </c>
      <c r="O219" t="s">
        <v>1761</v>
      </c>
      <c r="P219" s="7">
        <v>9.5399999999999991</v>
      </c>
      <c r="Q219" s="1">
        <v>44971</v>
      </c>
      <c r="R219">
        <f>WEEKNUM(Table2[[#This Row],[OrderDate]])</f>
        <v>7</v>
      </c>
      <c r="S219" s="1">
        <v>44979</v>
      </c>
      <c r="T219" t="s">
        <v>2919</v>
      </c>
    </row>
    <row r="220" spans="1:20" x14ac:dyDescent="0.35">
      <c r="A220" s="1">
        <v>45446</v>
      </c>
      <c r="B220" t="s">
        <v>2934</v>
      </c>
      <c r="C220" t="s">
        <v>24</v>
      </c>
      <c r="D220" s="9">
        <v>1</v>
      </c>
      <c r="E220" s="7">
        <v>259.87</v>
      </c>
      <c r="F220" t="s">
        <v>29</v>
      </c>
      <c r="G220" t="s">
        <v>31</v>
      </c>
      <c r="H220" s="12">
        <v>0.15</v>
      </c>
      <c r="I220" t="s">
        <v>32</v>
      </c>
      <c r="J220" s="7">
        <f>Table2[[#This Row],[UnitPrice]]*Table2[[#This Row],[Quantity]]*(1-Table2[[#This Row],[Discount]])</f>
        <v>220.8895</v>
      </c>
      <c r="K220" t="s">
        <v>39</v>
      </c>
      <c r="L220" t="s">
        <v>43</v>
      </c>
      <c r="M220">
        <v>0</v>
      </c>
      <c r="N220" t="s">
        <v>264</v>
      </c>
      <c r="O220" t="s">
        <v>1762</v>
      </c>
      <c r="P220" s="7">
        <v>19.2</v>
      </c>
      <c r="Q220" s="1">
        <v>45446</v>
      </c>
      <c r="R220">
        <f>WEEKNUM(Table2[[#This Row],[OrderDate]])</f>
        <v>23</v>
      </c>
      <c r="S220" s="1">
        <v>45455</v>
      </c>
      <c r="T220" t="s">
        <v>2920</v>
      </c>
    </row>
    <row r="221" spans="1:20" x14ac:dyDescent="0.35">
      <c r="A221" s="1">
        <v>45238</v>
      </c>
      <c r="B221" t="s">
        <v>2934</v>
      </c>
      <c r="C221" t="s">
        <v>24</v>
      </c>
      <c r="D221" s="9">
        <v>20</v>
      </c>
      <c r="E221" s="7">
        <v>268.25</v>
      </c>
      <c r="F221" t="s">
        <v>29</v>
      </c>
      <c r="G221" t="s">
        <v>31</v>
      </c>
      <c r="H221" s="12">
        <v>0.05</v>
      </c>
      <c r="I221" t="s">
        <v>36</v>
      </c>
      <c r="J221" s="7">
        <f>Table2[[#This Row],[UnitPrice]]*Table2[[#This Row],[Quantity]]*(1-Table2[[#This Row],[Discount]])</f>
        <v>5096.75</v>
      </c>
      <c r="K221" t="s">
        <v>42</v>
      </c>
      <c r="L221" t="s">
        <v>43</v>
      </c>
      <c r="M221">
        <v>0</v>
      </c>
      <c r="N221" t="s">
        <v>265</v>
      </c>
      <c r="O221" t="s">
        <v>1763</v>
      </c>
      <c r="P221" s="7">
        <v>20.96</v>
      </c>
      <c r="Q221" s="1">
        <v>45238</v>
      </c>
      <c r="R221">
        <f>WEEKNUM(Table2[[#This Row],[OrderDate]])</f>
        <v>45</v>
      </c>
      <c r="S221" s="1">
        <v>45245</v>
      </c>
      <c r="T221" t="s">
        <v>2920</v>
      </c>
    </row>
    <row r="222" spans="1:20" x14ac:dyDescent="0.35">
      <c r="A222" s="1">
        <v>44950</v>
      </c>
      <c r="B222" t="s">
        <v>2933</v>
      </c>
      <c r="C222" t="s">
        <v>20</v>
      </c>
      <c r="D222" s="9">
        <v>10</v>
      </c>
      <c r="E222" s="7">
        <v>266.13</v>
      </c>
      <c r="F222" t="s">
        <v>26</v>
      </c>
      <c r="G222" t="s">
        <v>30</v>
      </c>
      <c r="H222" s="12">
        <v>0</v>
      </c>
      <c r="I222" t="s">
        <v>36</v>
      </c>
      <c r="J222" s="7">
        <f>Table2[[#This Row],[UnitPrice]]*Table2[[#This Row],[Quantity]]*(1-Table2[[#This Row],[Discount]])</f>
        <v>2661.3</v>
      </c>
      <c r="K222" t="s">
        <v>39</v>
      </c>
      <c r="L222" t="s">
        <v>45</v>
      </c>
      <c r="M222">
        <v>0</v>
      </c>
      <c r="N222" t="s">
        <v>266</v>
      </c>
      <c r="O222" t="s">
        <v>1764</v>
      </c>
      <c r="P222" s="7">
        <v>21.01</v>
      </c>
      <c r="Q222" s="1">
        <v>44950</v>
      </c>
      <c r="R222">
        <f>WEEKNUM(Table2[[#This Row],[OrderDate]])</f>
        <v>4</v>
      </c>
      <c r="S222" s="1">
        <v>44952</v>
      </c>
      <c r="T222" t="s">
        <v>2921</v>
      </c>
    </row>
    <row r="223" spans="1:20" x14ac:dyDescent="0.35">
      <c r="A223" s="1">
        <v>45736</v>
      </c>
      <c r="B223" t="s">
        <v>2933</v>
      </c>
      <c r="C223" t="s">
        <v>19</v>
      </c>
      <c r="D223" s="9">
        <v>18</v>
      </c>
      <c r="E223" s="7">
        <v>493.06</v>
      </c>
      <c r="F223" t="s">
        <v>29</v>
      </c>
      <c r="G223" t="s">
        <v>30</v>
      </c>
      <c r="H223" s="12">
        <v>0.05</v>
      </c>
      <c r="I223" t="s">
        <v>36</v>
      </c>
      <c r="J223" s="7">
        <f>Table2[[#This Row],[UnitPrice]]*Table2[[#This Row],[Quantity]]*(1-Table2[[#This Row],[Discount]])</f>
        <v>8431.3259999999991</v>
      </c>
      <c r="K223" t="s">
        <v>42</v>
      </c>
      <c r="L223" t="s">
        <v>45</v>
      </c>
      <c r="M223">
        <v>1</v>
      </c>
      <c r="N223" t="s">
        <v>267</v>
      </c>
      <c r="O223" t="s">
        <v>1765</v>
      </c>
      <c r="P223" s="7">
        <v>46.87</v>
      </c>
      <c r="Q223" s="1">
        <v>45736</v>
      </c>
      <c r="R223">
        <f>WEEKNUM(Table2[[#This Row],[OrderDate]])</f>
        <v>12</v>
      </c>
      <c r="S223" s="1">
        <v>45744</v>
      </c>
      <c r="T223" t="s">
        <v>2921</v>
      </c>
    </row>
    <row r="224" spans="1:20" x14ac:dyDescent="0.35">
      <c r="A224" s="1">
        <v>45344</v>
      </c>
      <c r="B224" t="s">
        <v>2933</v>
      </c>
      <c r="C224" t="s">
        <v>23</v>
      </c>
      <c r="D224" s="9">
        <v>4</v>
      </c>
      <c r="E224" s="7">
        <v>36.82</v>
      </c>
      <c r="F224" t="s">
        <v>28</v>
      </c>
      <c r="G224" t="s">
        <v>30</v>
      </c>
      <c r="H224" s="12">
        <v>0.05</v>
      </c>
      <c r="I224" t="s">
        <v>34</v>
      </c>
      <c r="J224" s="7">
        <f>Table2[[#This Row],[UnitPrice]]*Table2[[#This Row],[Quantity]]*(1-Table2[[#This Row],[Discount]])</f>
        <v>139.916</v>
      </c>
      <c r="K224" t="s">
        <v>40</v>
      </c>
      <c r="L224" t="s">
        <v>45</v>
      </c>
      <c r="M224">
        <v>1</v>
      </c>
      <c r="N224" t="s">
        <v>268</v>
      </c>
      <c r="O224" t="s">
        <v>1766</v>
      </c>
      <c r="P224" s="7">
        <v>24.86</v>
      </c>
      <c r="Q224" s="1">
        <v>45344</v>
      </c>
      <c r="R224">
        <f>WEEKNUM(Table2[[#This Row],[OrderDate]])</f>
        <v>8</v>
      </c>
      <c r="S224" s="1">
        <v>45352</v>
      </c>
      <c r="T224" t="s">
        <v>2921</v>
      </c>
    </row>
    <row r="225" spans="1:20" x14ac:dyDescent="0.35">
      <c r="A225" s="1">
        <v>45749</v>
      </c>
      <c r="B225" t="s">
        <v>2931</v>
      </c>
      <c r="C225" t="s">
        <v>25</v>
      </c>
      <c r="D225" s="9">
        <v>12</v>
      </c>
      <c r="E225" s="7">
        <v>413.45</v>
      </c>
      <c r="F225" t="s">
        <v>29</v>
      </c>
      <c r="G225" t="s">
        <v>31</v>
      </c>
      <c r="H225" s="12">
        <v>0.15</v>
      </c>
      <c r="I225" t="s">
        <v>37</v>
      </c>
      <c r="J225" s="7">
        <f>Table2[[#This Row],[UnitPrice]]*Table2[[#This Row],[Quantity]]*(1-Table2[[#This Row],[Discount]])</f>
        <v>4217.1899999999996</v>
      </c>
      <c r="K225" t="s">
        <v>42</v>
      </c>
      <c r="L225" t="s">
        <v>43</v>
      </c>
      <c r="M225">
        <v>0</v>
      </c>
      <c r="N225" t="s">
        <v>269</v>
      </c>
      <c r="O225" t="s">
        <v>1767</v>
      </c>
      <c r="P225" s="7">
        <v>23.25</v>
      </c>
      <c r="Q225" s="1">
        <v>45749</v>
      </c>
      <c r="R225">
        <f>WEEKNUM(Table2[[#This Row],[OrderDate]])</f>
        <v>14</v>
      </c>
      <c r="S225" s="1">
        <v>45757</v>
      </c>
      <c r="T225" t="s">
        <v>2919</v>
      </c>
    </row>
    <row r="226" spans="1:20" x14ac:dyDescent="0.35">
      <c r="A226" s="1">
        <v>45820</v>
      </c>
      <c r="B226" t="s">
        <v>2931</v>
      </c>
      <c r="C226" t="s">
        <v>22</v>
      </c>
      <c r="D226" s="9">
        <v>19</v>
      </c>
      <c r="E226" s="7">
        <v>446.25</v>
      </c>
      <c r="F226" t="s">
        <v>26</v>
      </c>
      <c r="G226" t="s">
        <v>31</v>
      </c>
      <c r="H226" s="12">
        <v>0.1</v>
      </c>
      <c r="I226" t="s">
        <v>32</v>
      </c>
      <c r="J226" s="7">
        <f>Table2[[#This Row],[UnitPrice]]*Table2[[#This Row],[Quantity]]*(1-Table2[[#This Row],[Discount]])</f>
        <v>7630.875</v>
      </c>
      <c r="K226" t="s">
        <v>39</v>
      </c>
      <c r="L226" t="s">
        <v>2937</v>
      </c>
      <c r="M226">
        <v>0</v>
      </c>
      <c r="N226" t="s">
        <v>270</v>
      </c>
      <c r="O226" t="s">
        <v>1768</v>
      </c>
      <c r="P226" s="7">
        <v>14.88</v>
      </c>
      <c r="Q226" s="1">
        <v>45820</v>
      </c>
      <c r="R226">
        <f>WEEKNUM(Table2[[#This Row],[OrderDate]])</f>
        <v>24</v>
      </c>
      <c r="S226" s="1">
        <v>45826</v>
      </c>
      <c r="T226" t="s">
        <v>2919</v>
      </c>
    </row>
    <row r="227" spans="1:20" x14ac:dyDescent="0.35">
      <c r="A227" s="1">
        <v>45059</v>
      </c>
      <c r="B227" t="s">
        <v>2930</v>
      </c>
      <c r="C227" t="s">
        <v>19</v>
      </c>
      <c r="D227" s="9">
        <v>7</v>
      </c>
      <c r="E227" s="7">
        <v>82.77</v>
      </c>
      <c r="F227" t="s">
        <v>29</v>
      </c>
      <c r="G227" t="s">
        <v>30</v>
      </c>
      <c r="H227" s="12">
        <v>0.15</v>
      </c>
      <c r="I227" t="s">
        <v>34</v>
      </c>
      <c r="J227" s="7">
        <f>Table2[[#This Row],[UnitPrice]]*Table2[[#This Row],[Quantity]]*(1-Table2[[#This Row],[Discount]])</f>
        <v>492.48149999999998</v>
      </c>
      <c r="K227" t="s">
        <v>41</v>
      </c>
      <c r="L227" t="s">
        <v>44</v>
      </c>
      <c r="M227">
        <v>1</v>
      </c>
      <c r="N227" t="s">
        <v>271</v>
      </c>
      <c r="O227" t="s">
        <v>1769</v>
      </c>
      <c r="P227" s="7">
        <v>15.66</v>
      </c>
      <c r="Q227" s="1">
        <v>45059</v>
      </c>
      <c r="R227">
        <f>WEEKNUM(Table2[[#This Row],[OrderDate]])</f>
        <v>19</v>
      </c>
      <c r="S227" s="1">
        <v>45063</v>
      </c>
      <c r="T227" t="s">
        <v>2917</v>
      </c>
    </row>
    <row r="228" spans="1:20" x14ac:dyDescent="0.35">
      <c r="A228" s="1">
        <v>45010</v>
      </c>
      <c r="B228" t="s">
        <v>2932</v>
      </c>
      <c r="C228" t="s">
        <v>21</v>
      </c>
      <c r="D228" s="9">
        <v>17</v>
      </c>
      <c r="E228" s="7">
        <v>339.88</v>
      </c>
      <c r="F228" t="s">
        <v>27</v>
      </c>
      <c r="G228" t="s">
        <v>31</v>
      </c>
      <c r="H228" s="12">
        <v>0</v>
      </c>
      <c r="I228" t="s">
        <v>33</v>
      </c>
      <c r="J228" s="7">
        <f>Table2[[#This Row],[UnitPrice]]*Table2[[#This Row],[Quantity]]*(1-Table2[[#This Row],[Discount]])</f>
        <v>5777.96</v>
      </c>
      <c r="K228" t="s">
        <v>42</v>
      </c>
      <c r="L228" t="s">
        <v>2937</v>
      </c>
      <c r="M228">
        <v>0</v>
      </c>
      <c r="N228" t="s">
        <v>272</v>
      </c>
      <c r="O228" t="s">
        <v>1770</v>
      </c>
      <c r="P228" s="7">
        <v>44.86</v>
      </c>
      <c r="Q228" s="1">
        <v>45010</v>
      </c>
      <c r="R228">
        <f>WEEKNUM(Table2[[#This Row],[OrderDate]])</f>
        <v>12</v>
      </c>
      <c r="S228" s="1">
        <v>45013</v>
      </c>
      <c r="T228" t="s">
        <v>2918</v>
      </c>
    </row>
    <row r="229" spans="1:20" x14ac:dyDescent="0.35">
      <c r="A229" s="1">
        <v>45618</v>
      </c>
      <c r="B229" t="s">
        <v>2932</v>
      </c>
      <c r="C229" t="s">
        <v>25</v>
      </c>
      <c r="D229" s="9">
        <v>19</v>
      </c>
      <c r="E229" s="7">
        <v>364.32</v>
      </c>
      <c r="F229" t="s">
        <v>26</v>
      </c>
      <c r="G229" t="s">
        <v>31</v>
      </c>
      <c r="H229" s="12">
        <v>0.15</v>
      </c>
      <c r="I229" t="s">
        <v>34</v>
      </c>
      <c r="J229" s="7">
        <f>Table2[[#This Row],[UnitPrice]]*Table2[[#This Row],[Quantity]]*(1-Table2[[#This Row],[Discount]])</f>
        <v>5883.768</v>
      </c>
      <c r="K229" t="s">
        <v>41</v>
      </c>
      <c r="L229" t="s">
        <v>2937</v>
      </c>
      <c r="M229">
        <v>1</v>
      </c>
      <c r="N229" t="s">
        <v>273</v>
      </c>
      <c r="O229" t="s">
        <v>1771</v>
      </c>
      <c r="P229" s="7">
        <v>39.76</v>
      </c>
      <c r="Q229" s="1">
        <v>45618</v>
      </c>
      <c r="R229">
        <f>WEEKNUM(Table2[[#This Row],[OrderDate]])</f>
        <v>47</v>
      </c>
      <c r="S229" s="1">
        <v>45621</v>
      </c>
      <c r="T229" t="s">
        <v>2918</v>
      </c>
    </row>
    <row r="230" spans="1:20" x14ac:dyDescent="0.35">
      <c r="A230" s="1">
        <v>45114</v>
      </c>
      <c r="B230" t="s">
        <v>2930</v>
      </c>
      <c r="C230" t="s">
        <v>24</v>
      </c>
      <c r="D230" s="9">
        <v>3</v>
      </c>
      <c r="E230" s="7">
        <v>71.91</v>
      </c>
      <c r="F230" t="s">
        <v>26</v>
      </c>
      <c r="G230" t="s">
        <v>30</v>
      </c>
      <c r="H230" s="12">
        <v>0</v>
      </c>
      <c r="I230" t="s">
        <v>33</v>
      </c>
      <c r="J230" s="7">
        <f>Table2[[#This Row],[UnitPrice]]*Table2[[#This Row],[Quantity]]*(1-Table2[[#This Row],[Discount]])</f>
        <v>215.73</v>
      </c>
      <c r="K230" t="s">
        <v>39</v>
      </c>
      <c r="L230" t="s">
        <v>45</v>
      </c>
      <c r="M230">
        <v>1</v>
      </c>
      <c r="N230" t="s">
        <v>274</v>
      </c>
      <c r="O230" t="s">
        <v>1772</v>
      </c>
      <c r="P230" s="7">
        <v>46.25</v>
      </c>
      <c r="Q230" s="1">
        <v>45114</v>
      </c>
      <c r="R230">
        <f>WEEKNUM(Table2[[#This Row],[OrderDate]])</f>
        <v>27</v>
      </c>
      <c r="S230" s="1">
        <v>45124</v>
      </c>
      <c r="T230" t="s">
        <v>2917</v>
      </c>
    </row>
    <row r="231" spans="1:20" x14ac:dyDescent="0.35">
      <c r="A231" s="1">
        <v>45570</v>
      </c>
      <c r="B231" t="s">
        <v>2930</v>
      </c>
      <c r="C231" t="s">
        <v>24</v>
      </c>
      <c r="D231" s="9">
        <v>20</v>
      </c>
      <c r="E231" s="7">
        <v>576.29999999999995</v>
      </c>
      <c r="F231" t="s">
        <v>29</v>
      </c>
      <c r="G231" t="s">
        <v>30</v>
      </c>
      <c r="H231" s="12">
        <v>0.05</v>
      </c>
      <c r="I231" t="s">
        <v>32</v>
      </c>
      <c r="J231" s="7">
        <f>Table2[[#This Row],[UnitPrice]]*Table2[[#This Row],[Quantity]]*(1-Table2[[#This Row],[Discount]])</f>
        <v>10949.699999999999</v>
      </c>
      <c r="K231" t="s">
        <v>40</v>
      </c>
      <c r="L231" t="s">
        <v>2937</v>
      </c>
      <c r="M231">
        <v>0</v>
      </c>
      <c r="N231" t="s">
        <v>275</v>
      </c>
      <c r="O231" t="s">
        <v>1773</v>
      </c>
      <c r="P231" s="7">
        <v>25.22</v>
      </c>
      <c r="Q231" s="1">
        <v>45570</v>
      </c>
      <c r="R231">
        <f>WEEKNUM(Table2[[#This Row],[OrderDate]])</f>
        <v>40</v>
      </c>
      <c r="S231" s="1">
        <v>45574</v>
      </c>
      <c r="T231" t="s">
        <v>2917</v>
      </c>
    </row>
    <row r="232" spans="1:20" x14ac:dyDescent="0.35">
      <c r="A232" s="1">
        <v>45382</v>
      </c>
      <c r="B232" t="s">
        <v>2933</v>
      </c>
      <c r="C232" t="s">
        <v>19</v>
      </c>
      <c r="D232" s="9">
        <v>7</v>
      </c>
      <c r="E232" s="7">
        <v>120.6</v>
      </c>
      <c r="F232" t="s">
        <v>26</v>
      </c>
      <c r="G232" t="s">
        <v>30</v>
      </c>
      <c r="H232" s="12">
        <v>0</v>
      </c>
      <c r="I232" t="s">
        <v>36</v>
      </c>
      <c r="J232" s="7">
        <f>Table2[[#This Row],[UnitPrice]]*Table2[[#This Row],[Quantity]]*(1-Table2[[#This Row],[Discount]])</f>
        <v>844.19999999999993</v>
      </c>
      <c r="K232" t="s">
        <v>38</v>
      </c>
      <c r="L232" t="s">
        <v>45</v>
      </c>
      <c r="M232">
        <v>0</v>
      </c>
      <c r="N232" t="s">
        <v>276</v>
      </c>
      <c r="O232" t="s">
        <v>1774</v>
      </c>
      <c r="P232" s="7">
        <v>43.8</v>
      </c>
      <c r="Q232" s="1">
        <v>45382</v>
      </c>
      <c r="R232">
        <f>WEEKNUM(Table2[[#This Row],[OrderDate]])</f>
        <v>14</v>
      </c>
      <c r="S232" s="1">
        <v>45390</v>
      </c>
      <c r="T232" t="s">
        <v>2921</v>
      </c>
    </row>
    <row r="233" spans="1:20" x14ac:dyDescent="0.35">
      <c r="A233" s="1">
        <v>45748</v>
      </c>
      <c r="B233" t="s">
        <v>2933</v>
      </c>
      <c r="C233" t="s">
        <v>25</v>
      </c>
      <c r="D233" s="9">
        <v>8</v>
      </c>
      <c r="E233" s="7">
        <v>96.19</v>
      </c>
      <c r="F233" t="s">
        <v>27</v>
      </c>
      <c r="G233" t="s">
        <v>30</v>
      </c>
      <c r="H233" s="12">
        <v>0.05</v>
      </c>
      <c r="I233" t="s">
        <v>35</v>
      </c>
      <c r="J233" s="7">
        <f>Table2[[#This Row],[UnitPrice]]*Table2[[#This Row],[Quantity]]*(1-Table2[[#This Row],[Discount]])</f>
        <v>731.04399999999998</v>
      </c>
      <c r="K233" t="s">
        <v>41</v>
      </c>
      <c r="L233" t="s">
        <v>44</v>
      </c>
      <c r="M233">
        <v>0</v>
      </c>
      <c r="N233" t="s">
        <v>277</v>
      </c>
      <c r="O233" t="s">
        <v>1775</v>
      </c>
      <c r="P233" s="7">
        <v>34.07</v>
      </c>
      <c r="Q233" s="1">
        <v>45748</v>
      </c>
      <c r="R233">
        <f>WEEKNUM(Table2[[#This Row],[OrderDate]])</f>
        <v>14</v>
      </c>
      <c r="S233" s="1">
        <v>45751</v>
      </c>
      <c r="T233" t="s">
        <v>2921</v>
      </c>
    </row>
    <row r="234" spans="1:20" x14ac:dyDescent="0.35">
      <c r="A234" s="1">
        <v>45161</v>
      </c>
      <c r="B234" t="s">
        <v>2933</v>
      </c>
      <c r="C234" t="s">
        <v>25</v>
      </c>
      <c r="D234" s="9">
        <v>14</v>
      </c>
      <c r="E234" s="7">
        <v>471.17</v>
      </c>
      <c r="F234" t="s">
        <v>27</v>
      </c>
      <c r="G234" t="s">
        <v>30</v>
      </c>
      <c r="H234" s="12">
        <v>0.05</v>
      </c>
      <c r="I234" t="s">
        <v>35</v>
      </c>
      <c r="J234" s="7">
        <f>Table2[[#This Row],[UnitPrice]]*Table2[[#This Row],[Quantity]]*(1-Table2[[#This Row],[Discount]])</f>
        <v>6266.5609999999997</v>
      </c>
      <c r="K234" t="s">
        <v>39</v>
      </c>
      <c r="L234" t="s">
        <v>43</v>
      </c>
      <c r="M234">
        <v>0</v>
      </c>
      <c r="N234" t="s">
        <v>278</v>
      </c>
      <c r="O234" t="s">
        <v>1776</v>
      </c>
      <c r="P234" s="7">
        <v>26.38</v>
      </c>
      <c r="Q234" s="1">
        <v>45161</v>
      </c>
      <c r="R234">
        <f>WEEKNUM(Table2[[#This Row],[OrderDate]])</f>
        <v>34</v>
      </c>
      <c r="S234" s="1">
        <v>45164</v>
      </c>
      <c r="T234" t="s">
        <v>2921</v>
      </c>
    </row>
    <row r="235" spans="1:20" x14ac:dyDescent="0.35">
      <c r="A235" s="1">
        <v>45518</v>
      </c>
      <c r="B235" t="s">
        <v>2932</v>
      </c>
      <c r="C235" t="s">
        <v>20</v>
      </c>
      <c r="D235" s="9">
        <v>20</v>
      </c>
      <c r="E235" s="7">
        <v>14.33</v>
      </c>
      <c r="F235" t="s">
        <v>29</v>
      </c>
      <c r="G235" t="s">
        <v>30</v>
      </c>
      <c r="H235" s="12">
        <v>0.1</v>
      </c>
      <c r="I235" t="s">
        <v>35</v>
      </c>
      <c r="J235" s="7">
        <f>Table2[[#This Row],[UnitPrice]]*Table2[[#This Row],[Quantity]]*(1-Table2[[#This Row],[Discount]])</f>
        <v>257.94000000000005</v>
      </c>
      <c r="K235" t="s">
        <v>41</v>
      </c>
      <c r="L235" t="s">
        <v>2937</v>
      </c>
      <c r="M235">
        <v>0</v>
      </c>
      <c r="N235" t="s">
        <v>279</v>
      </c>
      <c r="O235" t="s">
        <v>1777</v>
      </c>
      <c r="P235" s="7">
        <v>6.22</v>
      </c>
      <c r="Q235" s="1">
        <v>45518</v>
      </c>
      <c r="R235">
        <f>WEEKNUM(Table2[[#This Row],[OrderDate]])</f>
        <v>33</v>
      </c>
      <c r="S235" s="1">
        <v>45525</v>
      </c>
      <c r="T235" t="s">
        <v>2918</v>
      </c>
    </row>
    <row r="236" spans="1:20" x14ac:dyDescent="0.35">
      <c r="A236" s="1">
        <v>45702</v>
      </c>
      <c r="B236" t="s">
        <v>2934</v>
      </c>
      <c r="C236" t="s">
        <v>24</v>
      </c>
      <c r="D236" s="9">
        <v>18</v>
      </c>
      <c r="E236" s="7">
        <v>499.61</v>
      </c>
      <c r="F236" t="s">
        <v>26</v>
      </c>
      <c r="G236" t="s">
        <v>31</v>
      </c>
      <c r="H236" s="12">
        <v>0.15</v>
      </c>
      <c r="I236" t="s">
        <v>33</v>
      </c>
      <c r="J236" s="7">
        <f>Table2[[#This Row],[UnitPrice]]*Table2[[#This Row],[Quantity]]*(1-Table2[[#This Row],[Discount]])</f>
        <v>7644.0329999999994</v>
      </c>
      <c r="K236" t="s">
        <v>41</v>
      </c>
      <c r="L236" t="s">
        <v>2937</v>
      </c>
      <c r="M236">
        <v>0</v>
      </c>
      <c r="N236" t="s">
        <v>280</v>
      </c>
      <c r="O236" t="s">
        <v>1778</v>
      </c>
      <c r="P236" s="7">
        <v>9.64</v>
      </c>
      <c r="Q236" s="1">
        <v>45702</v>
      </c>
      <c r="R236">
        <f>WEEKNUM(Table2[[#This Row],[OrderDate]])</f>
        <v>7</v>
      </c>
      <c r="S236" s="1">
        <v>45707</v>
      </c>
      <c r="T236" t="s">
        <v>2920</v>
      </c>
    </row>
    <row r="237" spans="1:20" x14ac:dyDescent="0.35">
      <c r="A237" s="1">
        <v>45241</v>
      </c>
      <c r="B237" t="s">
        <v>2933</v>
      </c>
      <c r="C237" t="s">
        <v>23</v>
      </c>
      <c r="D237" s="9">
        <v>14</v>
      </c>
      <c r="E237" s="7">
        <v>16.329999999999998</v>
      </c>
      <c r="F237" t="s">
        <v>26</v>
      </c>
      <c r="G237" t="s">
        <v>30</v>
      </c>
      <c r="H237" s="12">
        <v>0.1</v>
      </c>
      <c r="I237" t="s">
        <v>36</v>
      </c>
      <c r="J237" s="7">
        <f>Table2[[#This Row],[UnitPrice]]*Table2[[#This Row],[Quantity]]*(1-Table2[[#This Row],[Discount]])</f>
        <v>205.75799999999998</v>
      </c>
      <c r="K237" t="s">
        <v>41</v>
      </c>
      <c r="L237" t="s">
        <v>45</v>
      </c>
      <c r="M237">
        <v>0</v>
      </c>
      <c r="N237" t="s">
        <v>281</v>
      </c>
      <c r="O237" t="s">
        <v>1779</v>
      </c>
      <c r="P237" s="7">
        <v>22.72</v>
      </c>
      <c r="Q237" s="1">
        <v>45241</v>
      </c>
      <c r="R237">
        <f>WEEKNUM(Table2[[#This Row],[OrderDate]])</f>
        <v>45</v>
      </c>
      <c r="S237" s="1">
        <v>45246</v>
      </c>
      <c r="T237" t="s">
        <v>2921</v>
      </c>
    </row>
    <row r="238" spans="1:20" x14ac:dyDescent="0.35">
      <c r="A238" s="1">
        <v>45383</v>
      </c>
      <c r="B238" t="s">
        <v>2934</v>
      </c>
      <c r="C238" t="s">
        <v>21</v>
      </c>
      <c r="D238" s="9">
        <v>17</v>
      </c>
      <c r="E238" s="7">
        <v>480.62</v>
      </c>
      <c r="F238" t="s">
        <v>28</v>
      </c>
      <c r="G238" t="s">
        <v>30</v>
      </c>
      <c r="H238" s="12">
        <v>0.15</v>
      </c>
      <c r="I238" t="s">
        <v>35</v>
      </c>
      <c r="J238" s="7">
        <f>Table2[[#This Row],[UnitPrice]]*Table2[[#This Row],[Quantity]]*(1-Table2[[#This Row],[Discount]])</f>
        <v>6944.9589999999998</v>
      </c>
      <c r="K238" t="s">
        <v>38</v>
      </c>
      <c r="L238" t="s">
        <v>43</v>
      </c>
      <c r="M238">
        <v>0</v>
      </c>
      <c r="N238" t="s">
        <v>282</v>
      </c>
      <c r="O238" t="s">
        <v>1780</v>
      </c>
      <c r="P238" s="7">
        <v>37.090000000000003</v>
      </c>
      <c r="Q238" s="1">
        <v>45383</v>
      </c>
      <c r="R238">
        <f>WEEKNUM(Table2[[#This Row],[OrderDate]])</f>
        <v>14</v>
      </c>
      <c r="S238" s="1">
        <v>45391</v>
      </c>
      <c r="T238" t="s">
        <v>2920</v>
      </c>
    </row>
    <row r="239" spans="1:20" x14ac:dyDescent="0.35">
      <c r="A239" s="1">
        <v>45456</v>
      </c>
      <c r="B239" t="s">
        <v>2932</v>
      </c>
      <c r="C239" t="s">
        <v>22</v>
      </c>
      <c r="D239" s="9">
        <v>5</v>
      </c>
      <c r="E239" s="7">
        <v>555.84</v>
      </c>
      <c r="F239" t="s">
        <v>28</v>
      </c>
      <c r="G239" t="s">
        <v>31</v>
      </c>
      <c r="H239" s="12">
        <v>0.05</v>
      </c>
      <c r="I239" t="s">
        <v>36</v>
      </c>
      <c r="J239" s="7">
        <f>Table2[[#This Row],[UnitPrice]]*Table2[[#This Row],[Quantity]]*(1-Table2[[#This Row],[Discount]])</f>
        <v>2640.2400000000002</v>
      </c>
      <c r="K239" t="s">
        <v>40</v>
      </c>
      <c r="L239" t="s">
        <v>2937</v>
      </c>
      <c r="M239">
        <v>0</v>
      </c>
      <c r="N239" t="s">
        <v>283</v>
      </c>
      <c r="O239" t="s">
        <v>1781</v>
      </c>
      <c r="P239" s="7">
        <v>29.4</v>
      </c>
      <c r="Q239" s="1">
        <v>45456</v>
      </c>
      <c r="R239">
        <f>WEEKNUM(Table2[[#This Row],[OrderDate]])</f>
        <v>24</v>
      </c>
      <c r="S239" s="1">
        <v>45463</v>
      </c>
      <c r="T239" t="s">
        <v>2918</v>
      </c>
    </row>
    <row r="240" spans="1:20" x14ac:dyDescent="0.35">
      <c r="A240" s="1">
        <v>45258</v>
      </c>
      <c r="B240" t="s">
        <v>2931</v>
      </c>
      <c r="C240" t="s">
        <v>22</v>
      </c>
      <c r="D240" s="9">
        <v>18</v>
      </c>
      <c r="E240" s="7">
        <v>174.03</v>
      </c>
      <c r="F240" t="s">
        <v>26</v>
      </c>
      <c r="G240" t="s">
        <v>30</v>
      </c>
      <c r="H240" s="12">
        <v>0.1</v>
      </c>
      <c r="I240" t="s">
        <v>34</v>
      </c>
      <c r="J240" s="7">
        <f>Table2[[#This Row],[UnitPrice]]*Table2[[#This Row],[Quantity]]*(1-Table2[[#This Row],[Discount]])</f>
        <v>2819.2860000000001</v>
      </c>
      <c r="K240" t="s">
        <v>38</v>
      </c>
      <c r="L240" t="s">
        <v>44</v>
      </c>
      <c r="M240">
        <v>0</v>
      </c>
      <c r="N240" t="s">
        <v>284</v>
      </c>
      <c r="O240" t="s">
        <v>1782</v>
      </c>
      <c r="P240" s="7">
        <v>32.19</v>
      </c>
      <c r="Q240" s="1">
        <v>45258</v>
      </c>
      <c r="R240">
        <f>WEEKNUM(Table2[[#This Row],[OrderDate]])</f>
        <v>48</v>
      </c>
      <c r="S240" s="1">
        <v>45263</v>
      </c>
      <c r="T240" t="s">
        <v>2919</v>
      </c>
    </row>
    <row r="241" spans="1:20" x14ac:dyDescent="0.35">
      <c r="A241" s="1">
        <v>45607</v>
      </c>
      <c r="B241" t="s">
        <v>2934</v>
      </c>
      <c r="C241" t="s">
        <v>21</v>
      </c>
      <c r="D241" s="9">
        <v>11</v>
      </c>
      <c r="E241" s="7">
        <v>286.05</v>
      </c>
      <c r="F241" t="s">
        <v>27</v>
      </c>
      <c r="G241" t="s">
        <v>31</v>
      </c>
      <c r="H241" s="12">
        <v>0.1</v>
      </c>
      <c r="I241" t="s">
        <v>37</v>
      </c>
      <c r="J241" s="7">
        <f>Table2[[#This Row],[UnitPrice]]*Table2[[#This Row],[Quantity]]*(1-Table2[[#This Row],[Discount]])</f>
        <v>2831.8950000000004</v>
      </c>
      <c r="K241" t="s">
        <v>41</v>
      </c>
      <c r="L241" t="s">
        <v>2937</v>
      </c>
      <c r="M241">
        <v>1</v>
      </c>
      <c r="N241" t="s">
        <v>285</v>
      </c>
      <c r="O241" t="s">
        <v>1783</v>
      </c>
      <c r="P241" s="7">
        <v>8.59</v>
      </c>
      <c r="Q241" s="1">
        <v>45607</v>
      </c>
      <c r="R241">
        <f>WEEKNUM(Table2[[#This Row],[OrderDate]])</f>
        <v>46</v>
      </c>
      <c r="S241" s="1">
        <v>45612</v>
      </c>
      <c r="T241" t="s">
        <v>2920</v>
      </c>
    </row>
    <row r="242" spans="1:20" x14ac:dyDescent="0.35">
      <c r="A242" s="1">
        <v>45600</v>
      </c>
      <c r="B242" t="s">
        <v>2931</v>
      </c>
      <c r="C242" t="s">
        <v>21</v>
      </c>
      <c r="D242" s="9">
        <v>16</v>
      </c>
      <c r="E242" s="7">
        <v>40.729999999999997</v>
      </c>
      <c r="F242" t="s">
        <v>29</v>
      </c>
      <c r="G242" t="s">
        <v>31</v>
      </c>
      <c r="H242" s="12">
        <v>0</v>
      </c>
      <c r="I242" t="s">
        <v>33</v>
      </c>
      <c r="J242" s="7">
        <f>Table2[[#This Row],[UnitPrice]]*Table2[[#This Row],[Quantity]]*(1-Table2[[#This Row],[Discount]])</f>
        <v>651.67999999999995</v>
      </c>
      <c r="K242" t="s">
        <v>40</v>
      </c>
      <c r="L242" t="s">
        <v>2937</v>
      </c>
      <c r="M242">
        <v>0</v>
      </c>
      <c r="N242" t="s">
        <v>286</v>
      </c>
      <c r="O242" t="s">
        <v>1784</v>
      </c>
      <c r="P242" s="7">
        <v>24.72</v>
      </c>
      <c r="Q242" s="1">
        <v>45600</v>
      </c>
      <c r="R242">
        <f>WEEKNUM(Table2[[#This Row],[OrderDate]])</f>
        <v>45</v>
      </c>
      <c r="S242" s="1">
        <v>45604</v>
      </c>
      <c r="T242" t="s">
        <v>2919</v>
      </c>
    </row>
    <row r="243" spans="1:20" x14ac:dyDescent="0.35">
      <c r="A243" s="1">
        <v>44927</v>
      </c>
      <c r="B243" t="s">
        <v>2934</v>
      </c>
      <c r="C243" t="s">
        <v>22</v>
      </c>
      <c r="D243" s="9">
        <v>11</v>
      </c>
      <c r="E243" s="7">
        <v>468.22</v>
      </c>
      <c r="F243" t="s">
        <v>29</v>
      </c>
      <c r="G243" t="s">
        <v>31</v>
      </c>
      <c r="H243" s="12">
        <v>0</v>
      </c>
      <c r="I243" t="s">
        <v>35</v>
      </c>
      <c r="J243" s="7">
        <f>Table2[[#This Row],[UnitPrice]]*Table2[[#This Row],[Quantity]]*(1-Table2[[#This Row],[Discount]])</f>
        <v>5150.42</v>
      </c>
      <c r="K243" t="s">
        <v>41</v>
      </c>
      <c r="L243" t="s">
        <v>45</v>
      </c>
      <c r="M243">
        <v>0</v>
      </c>
      <c r="N243" t="s">
        <v>287</v>
      </c>
      <c r="O243" t="s">
        <v>1785</v>
      </c>
      <c r="P243" s="7">
        <v>19.920000000000002</v>
      </c>
      <c r="Q243" s="1">
        <v>44927</v>
      </c>
      <c r="R243">
        <f>WEEKNUM(Table2[[#This Row],[OrderDate]])</f>
        <v>1</v>
      </c>
      <c r="S243" s="1">
        <v>44937</v>
      </c>
      <c r="T243" t="s">
        <v>2920</v>
      </c>
    </row>
    <row r="244" spans="1:20" x14ac:dyDescent="0.35">
      <c r="A244" s="1">
        <v>45675</v>
      </c>
      <c r="B244" t="s">
        <v>2931</v>
      </c>
      <c r="C244" t="s">
        <v>24</v>
      </c>
      <c r="D244" s="9">
        <v>1</v>
      </c>
      <c r="E244" s="7">
        <v>411.54</v>
      </c>
      <c r="F244" t="s">
        <v>28</v>
      </c>
      <c r="G244" t="s">
        <v>31</v>
      </c>
      <c r="H244" s="12">
        <v>0.1</v>
      </c>
      <c r="I244" t="s">
        <v>32</v>
      </c>
      <c r="J244" s="7">
        <f>Table2[[#This Row],[UnitPrice]]*Table2[[#This Row],[Quantity]]*(1-Table2[[#This Row],[Discount]])</f>
        <v>370.38600000000002</v>
      </c>
      <c r="K244" t="s">
        <v>39</v>
      </c>
      <c r="L244" t="s">
        <v>45</v>
      </c>
      <c r="M244">
        <v>0</v>
      </c>
      <c r="N244" t="s">
        <v>288</v>
      </c>
      <c r="O244" t="s">
        <v>1786</v>
      </c>
      <c r="P244" s="7">
        <v>7.46</v>
      </c>
      <c r="Q244" s="1">
        <v>45675</v>
      </c>
      <c r="R244">
        <f>WEEKNUM(Table2[[#This Row],[OrderDate]])</f>
        <v>3</v>
      </c>
      <c r="S244" s="1">
        <v>45677</v>
      </c>
      <c r="T244" t="s">
        <v>2919</v>
      </c>
    </row>
    <row r="245" spans="1:20" x14ac:dyDescent="0.35">
      <c r="A245" s="1">
        <v>45048</v>
      </c>
      <c r="B245" t="s">
        <v>2934</v>
      </c>
      <c r="C245" t="s">
        <v>25</v>
      </c>
      <c r="D245" s="9">
        <v>13</v>
      </c>
      <c r="E245" s="7">
        <v>134.19999999999999</v>
      </c>
      <c r="F245" t="s">
        <v>27</v>
      </c>
      <c r="G245" t="s">
        <v>30</v>
      </c>
      <c r="H245" s="12">
        <v>0.05</v>
      </c>
      <c r="I245" t="s">
        <v>32</v>
      </c>
      <c r="J245" s="7">
        <f>Table2[[#This Row],[UnitPrice]]*Table2[[#This Row],[Quantity]]*(1-Table2[[#This Row],[Discount]])</f>
        <v>1657.37</v>
      </c>
      <c r="K245" t="s">
        <v>40</v>
      </c>
      <c r="L245" t="s">
        <v>45</v>
      </c>
      <c r="M245">
        <v>0</v>
      </c>
      <c r="N245" t="s">
        <v>289</v>
      </c>
      <c r="O245" t="s">
        <v>1787</v>
      </c>
      <c r="P245" s="7">
        <v>9.6</v>
      </c>
      <c r="Q245" s="1">
        <v>45048</v>
      </c>
      <c r="R245">
        <f>WEEKNUM(Table2[[#This Row],[OrderDate]])</f>
        <v>18</v>
      </c>
      <c r="S245" s="1">
        <v>45056</v>
      </c>
      <c r="T245" t="s">
        <v>2920</v>
      </c>
    </row>
    <row r="246" spans="1:20" x14ac:dyDescent="0.35">
      <c r="A246" s="1">
        <v>45804</v>
      </c>
      <c r="B246" t="s">
        <v>2933</v>
      </c>
      <c r="C246" t="s">
        <v>25</v>
      </c>
      <c r="D246" s="9">
        <v>10</v>
      </c>
      <c r="E246" s="7">
        <v>351.23</v>
      </c>
      <c r="F246" t="s">
        <v>26</v>
      </c>
      <c r="G246" t="s">
        <v>31</v>
      </c>
      <c r="H246" s="12">
        <v>0.15</v>
      </c>
      <c r="I246" t="s">
        <v>34</v>
      </c>
      <c r="J246" s="7">
        <f>Table2[[#This Row],[UnitPrice]]*Table2[[#This Row],[Quantity]]*(1-Table2[[#This Row],[Discount]])</f>
        <v>2985.4549999999999</v>
      </c>
      <c r="K246" t="s">
        <v>38</v>
      </c>
      <c r="L246" t="s">
        <v>2937</v>
      </c>
      <c r="M246">
        <v>0</v>
      </c>
      <c r="N246" t="s">
        <v>290</v>
      </c>
      <c r="O246" t="s">
        <v>1788</v>
      </c>
      <c r="P246" s="7">
        <v>42.74</v>
      </c>
      <c r="Q246" s="1">
        <v>45804</v>
      </c>
      <c r="R246">
        <f>WEEKNUM(Table2[[#This Row],[OrderDate]])</f>
        <v>22</v>
      </c>
      <c r="S246" s="1">
        <v>45810</v>
      </c>
      <c r="T246" t="s">
        <v>2921</v>
      </c>
    </row>
    <row r="247" spans="1:20" x14ac:dyDescent="0.35">
      <c r="A247" s="1">
        <v>45653</v>
      </c>
      <c r="B247" t="s">
        <v>2932</v>
      </c>
      <c r="C247" t="s">
        <v>23</v>
      </c>
      <c r="D247" s="9">
        <v>14</v>
      </c>
      <c r="E247" s="7">
        <v>551.14</v>
      </c>
      <c r="F247" t="s">
        <v>28</v>
      </c>
      <c r="G247" t="s">
        <v>30</v>
      </c>
      <c r="H247" s="12">
        <v>0.1</v>
      </c>
      <c r="I247" t="s">
        <v>36</v>
      </c>
      <c r="J247" s="7">
        <f>Table2[[#This Row],[UnitPrice]]*Table2[[#This Row],[Quantity]]*(1-Table2[[#This Row],[Discount]])</f>
        <v>6944.3640000000005</v>
      </c>
      <c r="K247" t="s">
        <v>38</v>
      </c>
      <c r="L247" t="s">
        <v>43</v>
      </c>
      <c r="M247">
        <v>1</v>
      </c>
      <c r="N247" t="s">
        <v>291</v>
      </c>
      <c r="O247" t="s">
        <v>1789</v>
      </c>
      <c r="P247" s="7">
        <v>12.35</v>
      </c>
      <c r="Q247" s="1">
        <v>45653</v>
      </c>
      <c r="R247">
        <f>WEEKNUM(Table2[[#This Row],[OrderDate]])</f>
        <v>52</v>
      </c>
      <c r="S247" s="1">
        <v>45662</v>
      </c>
      <c r="T247" t="s">
        <v>2918</v>
      </c>
    </row>
    <row r="248" spans="1:20" x14ac:dyDescent="0.35">
      <c r="A248" s="1">
        <v>45734</v>
      </c>
      <c r="B248" t="s">
        <v>2933</v>
      </c>
      <c r="C248" t="s">
        <v>22</v>
      </c>
      <c r="D248" s="9">
        <v>2</v>
      </c>
      <c r="E248" s="7">
        <v>131.13</v>
      </c>
      <c r="F248" t="s">
        <v>26</v>
      </c>
      <c r="G248" t="s">
        <v>31</v>
      </c>
      <c r="H248" s="12">
        <v>0.1</v>
      </c>
      <c r="I248" t="s">
        <v>32</v>
      </c>
      <c r="J248" s="7">
        <f>Table2[[#This Row],[UnitPrice]]*Table2[[#This Row],[Quantity]]*(1-Table2[[#This Row],[Discount]])</f>
        <v>236.03399999999999</v>
      </c>
      <c r="K248" t="s">
        <v>41</v>
      </c>
      <c r="L248" t="s">
        <v>2937</v>
      </c>
      <c r="M248">
        <v>0</v>
      </c>
      <c r="N248" t="s">
        <v>292</v>
      </c>
      <c r="O248" t="s">
        <v>1790</v>
      </c>
      <c r="P248" s="7">
        <v>14.74</v>
      </c>
      <c r="Q248" s="1">
        <v>45734</v>
      </c>
      <c r="R248">
        <f>WEEKNUM(Table2[[#This Row],[OrderDate]])</f>
        <v>12</v>
      </c>
      <c r="S248" s="1">
        <v>45740</v>
      </c>
      <c r="T248" t="s">
        <v>2921</v>
      </c>
    </row>
    <row r="249" spans="1:20" x14ac:dyDescent="0.35">
      <c r="A249" s="1">
        <v>45375</v>
      </c>
      <c r="B249" t="s">
        <v>2930</v>
      </c>
      <c r="C249" t="s">
        <v>19</v>
      </c>
      <c r="D249" s="9">
        <v>6</v>
      </c>
      <c r="E249" s="7">
        <v>595.11</v>
      </c>
      <c r="F249" t="s">
        <v>28</v>
      </c>
      <c r="G249" t="s">
        <v>30</v>
      </c>
      <c r="H249" s="12">
        <v>0</v>
      </c>
      <c r="I249" t="s">
        <v>36</v>
      </c>
      <c r="J249" s="7">
        <f>Table2[[#This Row],[UnitPrice]]*Table2[[#This Row],[Quantity]]*(1-Table2[[#This Row],[Discount]])</f>
        <v>3570.66</v>
      </c>
      <c r="K249" t="s">
        <v>42</v>
      </c>
      <c r="L249" t="s">
        <v>44</v>
      </c>
      <c r="M249">
        <v>1</v>
      </c>
      <c r="N249" t="s">
        <v>293</v>
      </c>
      <c r="O249" t="s">
        <v>1599</v>
      </c>
      <c r="P249" s="7">
        <v>28.92</v>
      </c>
      <c r="Q249" s="1">
        <v>45375</v>
      </c>
      <c r="R249">
        <f>WEEKNUM(Table2[[#This Row],[OrderDate]])</f>
        <v>13</v>
      </c>
      <c r="S249" s="1">
        <v>45382</v>
      </c>
      <c r="T249" t="s">
        <v>2917</v>
      </c>
    </row>
    <row r="250" spans="1:20" x14ac:dyDescent="0.35">
      <c r="A250" s="1">
        <v>45652</v>
      </c>
      <c r="B250" t="s">
        <v>2930</v>
      </c>
      <c r="C250" t="s">
        <v>19</v>
      </c>
      <c r="D250" s="9">
        <v>6</v>
      </c>
      <c r="E250" s="7">
        <v>516.66</v>
      </c>
      <c r="F250" t="s">
        <v>28</v>
      </c>
      <c r="G250" t="s">
        <v>30</v>
      </c>
      <c r="H250" s="12">
        <v>0.05</v>
      </c>
      <c r="I250" t="s">
        <v>37</v>
      </c>
      <c r="J250" s="7">
        <f>Table2[[#This Row],[UnitPrice]]*Table2[[#This Row],[Quantity]]*(1-Table2[[#This Row],[Discount]])</f>
        <v>2944.962</v>
      </c>
      <c r="K250" t="s">
        <v>38</v>
      </c>
      <c r="L250" t="s">
        <v>2937</v>
      </c>
      <c r="M250">
        <v>1</v>
      </c>
      <c r="N250" t="s">
        <v>294</v>
      </c>
      <c r="O250" t="s">
        <v>1690</v>
      </c>
      <c r="P250" s="7">
        <v>5.15</v>
      </c>
      <c r="Q250" s="1">
        <v>45652</v>
      </c>
      <c r="R250">
        <f>WEEKNUM(Table2[[#This Row],[OrderDate]])</f>
        <v>52</v>
      </c>
      <c r="S250" s="1">
        <v>45660</v>
      </c>
      <c r="T250" t="s">
        <v>2917</v>
      </c>
    </row>
    <row r="251" spans="1:20" x14ac:dyDescent="0.35">
      <c r="A251" s="1">
        <v>44937</v>
      </c>
      <c r="B251" t="s">
        <v>2931</v>
      </c>
      <c r="C251" t="s">
        <v>21</v>
      </c>
      <c r="D251" s="9">
        <v>6</v>
      </c>
      <c r="E251" s="7">
        <v>202.57</v>
      </c>
      <c r="F251" t="s">
        <v>29</v>
      </c>
      <c r="G251" t="s">
        <v>31</v>
      </c>
      <c r="H251" s="12">
        <v>0.05</v>
      </c>
      <c r="I251" t="s">
        <v>32</v>
      </c>
      <c r="J251" s="7">
        <f>Table2[[#This Row],[UnitPrice]]*Table2[[#This Row],[Quantity]]*(1-Table2[[#This Row],[Discount]])</f>
        <v>1154.6490000000001</v>
      </c>
      <c r="K251" t="s">
        <v>39</v>
      </c>
      <c r="L251" t="s">
        <v>43</v>
      </c>
      <c r="M251">
        <v>0</v>
      </c>
      <c r="N251" t="s">
        <v>295</v>
      </c>
      <c r="O251" t="s">
        <v>1791</v>
      </c>
      <c r="P251" s="7">
        <v>24.39</v>
      </c>
      <c r="Q251" s="1">
        <v>44937</v>
      </c>
      <c r="R251">
        <f>WEEKNUM(Table2[[#This Row],[OrderDate]])</f>
        <v>2</v>
      </c>
      <c r="S251" s="1">
        <v>44940</v>
      </c>
      <c r="T251" t="s">
        <v>2919</v>
      </c>
    </row>
    <row r="252" spans="1:20" x14ac:dyDescent="0.35">
      <c r="A252" s="1">
        <v>45809</v>
      </c>
      <c r="B252" t="s">
        <v>2932</v>
      </c>
      <c r="C252" t="s">
        <v>19</v>
      </c>
      <c r="D252" s="9">
        <v>13</v>
      </c>
      <c r="E252" s="7">
        <v>306.16000000000003</v>
      </c>
      <c r="F252" t="s">
        <v>27</v>
      </c>
      <c r="G252" t="s">
        <v>30</v>
      </c>
      <c r="H252" s="12">
        <v>0.15</v>
      </c>
      <c r="I252" t="s">
        <v>34</v>
      </c>
      <c r="J252" s="7">
        <f>Table2[[#This Row],[UnitPrice]]*Table2[[#This Row],[Quantity]]*(1-Table2[[#This Row],[Discount]])</f>
        <v>3383.0680000000002</v>
      </c>
      <c r="K252" t="s">
        <v>42</v>
      </c>
      <c r="L252" t="s">
        <v>44</v>
      </c>
      <c r="M252">
        <v>0</v>
      </c>
      <c r="N252" t="s">
        <v>296</v>
      </c>
      <c r="O252" t="s">
        <v>1792</v>
      </c>
      <c r="P252" s="7">
        <v>25.16</v>
      </c>
      <c r="Q252" s="1">
        <v>45809</v>
      </c>
      <c r="R252">
        <f>WEEKNUM(Table2[[#This Row],[OrderDate]])</f>
        <v>23</v>
      </c>
      <c r="S252" s="1">
        <v>45818</v>
      </c>
      <c r="T252" t="s">
        <v>2918</v>
      </c>
    </row>
    <row r="253" spans="1:20" x14ac:dyDescent="0.35">
      <c r="A253" s="1">
        <v>45561</v>
      </c>
      <c r="B253" t="s">
        <v>2930</v>
      </c>
      <c r="C253" t="s">
        <v>21</v>
      </c>
      <c r="D253" s="9">
        <v>11</v>
      </c>
      <c r="E253" s="7">
        <v>472.74</v>
      </c>
      <c r="F253" t="s">
        <v>29</v>
      </c>
      <c r="G253" t="s">
        <v>31</v>
      </c>
      <c r="H253" s="12">
        <v>0.15</v>
      </c>
      <c r="I253" t="s">
        <v>35</v>
      </c>
      <c r="J253" s="7">
        <f>Table2[[#This Row],[UnitPrice]]*Table2[[#This Row],[Quantity]]*(1-Table2[[#This Row],[Discount]])</f>
        <v>4420.1190000000006</v>
      </c>
      <c r="K253" t="s">
        <v>40</v>
      </c>
      <c r="L253" t="s">
        <v>2937</v>
      </c>
      <c r="M253">
        <v>1</v>
      </c>
      <c r="N253" t="s">
        <v>297</v>
      </c>
      <c r="O253" t="s">
        <v>1793</v>
      </c>
      <c r="P253" s="7">
        <v>16.8</v>
      </c>
      <c r="Q253" s="1">
        <v>45561</v>
      </c>
      <c r="R253">
        <f>WEEKNUM(Table2[[#This Row],[OrderDate]])</f>
        <v>39</v>
      </c>
      <c r="S253" s="1">
        <v>45566</v>
      </c>
      <c r="T253" t="s">
        <v>2917</v>
      </c>
    </row>
    <row r="254" spans="1:20" x14ac:dyDescent="0.35">
      <c r="A254" s="1">
        <v>45514</v>
      </c>
      <c r="B254" t="s">
        <v>2930</v>
      </c>
      <c r="C254" t="s">
        <v>20</v>
      </c>
      <c r="D254" s="9">
        <v>20</v>
      </c>
      <c r="E254" s="7">
        <v>337.37</v>
      </c>
      <c r="F254" t="s">
        <v>28</v>
      </c>
      <c r="G254" t="s">
        <v>31</v>
      </c>
      <c r="H254" s="12">
        <v>0.1</v>
      </c>
      <c r="I254" t="s">
        <v>36</v>
      </c>
      <c r="J254" s="7">
        <f>Table2[[#This Row],[UnitPrice]]*Table2[[#This Row],[Quantity]]*(1-Table2[[#This Row],[Discount]])</f>
        <v>6072.66</v>
      </c>
      <c r="K254" t="s">
        <v>39</v>
      </c>
      <c r="L254" t="s">
        <v>2937</v>
      </c>
      <c r="M254">
        <v>0</v>
      </c>
      <c r="N254" t="s">
        <v>298</v>
      </c>
      <c r="O254" t="s">
        <v>1794</v>
      </c>
      <c r="P254" s="7">
        <v>43.17</v>
      </c>
      <c r="Q254" s="1">
        <v>45514</v>
      </c>
      <c r="R254">
        <f>WEEKNUM(Table2[[#This Row],[OrderDate]])</f>
        <v>32</v>
      </c>
      <c r="S254" s="1">
        <v>45521</v>
      </c>
      <c r="T254" t="s">
        <v>2917</v>
      </c>
    </row>
    <row r="255" spans="1:20" x14ac:dyDescent="0.35">
      <c r="A255" s="1">
        <v>45718</v>
      </c>
      <c r="B255" t="s">
        <v>2932</v>
      </c>
      <c r="C255" t="s">
        <v>20</v>
      </c>
      <c r="D255" s="9">
        <v>12</v>
      </c>
      <c r="E255" s="7">
        <v>34.24</v>
      </c>
      <c r="F255" t="s">
        <v>28</v>
      </c>
      <c r="G255" t="s">
        <v>31</v>
      </c>
      <c r="H255" s="12">
        <v>0.1</v>
      </c>
      <c r="I255" t="s">
        <v>34</v>
      </c>
      <c r="J255" s="7">
        <f>Table2[[#This Row],[UnitPrice]]*Table2[[#This Row],[Quantity]]*(1-Table2[[#This Row],[Discount]])</f>
        <v>369.79200000000003</v>
      </c>
      <c r="K255" t="s">
        <v>42</v>
      </c>
      <c r="L255" t="s">
        <v>2937</v>
      </c>
      <c r="M255">
        <v>0</v>
      </c>
      <c r="N255" t="s">
        <v>299</v>
      </c>
      <c r="O255" t="s">
        <v>1795</v>
      </c>
      <c r="P255" s="7">
        <v>17.64</v>
      </c>
      <c r="Q255" s="1">
        <v>45718</v>
      </c>
      <c r="R255">
        <f>WEEKNUM(Table2[[#This Row],[OrderDate]])</f>
        <v>10</v>
      </c>
      <c r="S255" s="1">
        <v>45726</v>
      </c>
      <c r="T255" t="s">
        <v>2918</v>
      </c>
    </row>
    <row r="256" spans="1:20" x14ac:dyDescent="0.35">
      <c r="A256" s="1">
        <v>44978</v>
      </c>
      <c r="B256" t="s">
        <v>2930</v>
      </c>
      <c r="C256" t="s">
        <v>24</v>
      </c>
      <c r="D256" s="9">
        <v>4</v>
      </c>
      <c r="E256" s="7">
        <v>477.05</v>
      </c>
      <c r="F256" t="s">
        <v>26</v>
      </c>
      <c r="G256" t="s">
        <v>30</v>
      </c>
      <c r="H256" s="12">
        <v>0</v>
      </c>
      <c r="I256" t="s">
        <v>35</v>
      </c>
      <c r="J256" s="7">
        <f>Table2[[#This Row],[UnitPrice]]*Table2[[#This Row],[Quantity]]*(1-Table2[[#This Row],[Discount]])</f>
        <v>1908.2</v>
      </c>
      <c r="K256" t="s">
        <v>40</v>
      </c>
      <c r="L256" t="s">
        <v>45</v>
      </c>
      <c r="M256">
        <v>0</v>
      </c>
      <c r="N256" t="s">
        <v>300</v>
      </c>
      <c r="O256" t="s">
        <v>1796</v>
      </c>
      <c r="P256" s="7">
        <v>45.54</v>
      </c>
      <c r="Q256" s="1">
        <v>44978</v>
      </c>
      <c r="R256">
        <f>WEEKNUM(Table2[[#This Row],[OrderDate]])</f>
        <v>8</v>
      </c>
      <c r="S256" s="1">
        <v>44987</v>
      </c>
      <c r="T256" t="s">
        <v>2917</v>
      </c>
    </row>
    <row r="257" spans="1:20" x14ac:dyDescent="0.35">
      <c r="A257" s="1">
        <v>45616</v>
      </c>
      <c r="B257" t="s">
        <v>2930</v>
      </c>
      <c r="C257" t="s">
        <v>19</v>
      </c>
      <c r="D257" s="9">
        <v>6</v>
      </c>
      <c r="E257" s="7">
        <v>562.92999999999995</v>
      </c>
      <c r="F257" t="s">
        <v>28</v>
      </c>
      <c r="G257" t="s">
        <v>31</v>
      </c>
      <c r="H257" s="12">
        <v>0</v>
      </c>
      <c r="I257" t="s">
        <v>33</v>
      </c>
      <c r="J257" s="7">
        <f>Table2[[#This Row],[UnitPrice]]*Table2[[#This Row],[Quantity]]*(1-Table2[[#This Row],[Discount]])</f>
        <v>3377.58</v>
      </c>
      <c r="K257" t="s">
        <v>40</v>
      </c>
      <c r="L257" t="s">
        <v>45</v>
      </c>
      <c r="M257">
        <v>0</v>
      </c>
      <c r="N257" t="s">
        <v>301</v>
      </c>
      <c r="O257" t="s">
        <v>1797</v>
      </c>
      <c r="P257" s="7">
        <v>43.73</v>
      </c>
      <c r="Q257" s="1">
        <v>45616</v>
      </c>
      <c r="R257">
        <f>WEEKNUM(Table2[[#This Row],[OrderDate]])</f>
        <v>47</v>
      </c>
      <c r="S257" s="1">
        <v>45623</v>
      </c>
      <c r="T257" t="s">
        <v>2917</v>
      </c>
    </row>
    <row r="258" spans="1:20" x14ac:dyDescent="0.35">
      <c r="A258" s="1">
        <v>45164</v>
      </c>
      <c r="B258" t="s">
        <v>2930</v>
      </c>
      <c r="C258" t="s">
        <v>22</v>
      </c>
      <c r="D258" s="9">
        <v>20</v>
      </c>
      <c r="E258" s="7">
        <v>18.29</v>
      </c>
      <c r="F258" t="s">
        <v>26</v>
      </c>
      <c r="G258" t="s">
        <v>31</v>
      </c>
      <c r="H258" s="12">
        <v>0</v>
      </c>
      <c r="I258" t="s">
        <v>36</v>
      </c>
      <c r="J258" s="7">
        <f>Table2[[#This Row],[UnitPrice]]*Table2[[#This Row],[Quantity]]*(1-Table2[[#This Row],[Discount]])</f>
        <v>365.79999999999995</v>
      </c>
      <c r="K258" t="s">
        <v>41</v>
      </c>
      <c r="L258" t="s">
        <v>43</v>
      </c>
      <c r="M258">
        <v>1</v>
      </c>
      <c r="N258" t="s">
        <v>302</v>
      </c>
      <c r="O258" t="s">
        <v>1798</v>
      </c>
      <c r="P258" s="7">
        <v>35.369999999999997</v>
      </c>
      <c r="Q258" s="1">
        <v>45164</v>
      </c>
      <c r="R258">
        <f>WEEKNUM(Table2[[#This Row],[OrderDate]])</f>
        <v>34</v>
      </c>
      <c r="S258" s="1">
        <v>45167</v>
      </c>
      <c r="T258" t="s">
        <v>2917</v>
      </c>
    </row>
    <row r="259" spans="1:20" x14ac:dyDescent="0.35">
      <c r="A259" s="1">
        <v>45292</v>
      </c>
      <c r="B259" t="s">
        <v>2932</v>
      </c>
      <c r="C259" t="s">
        <v>23</v>
      </c>
      <c r="D259" s="9">
        <v>7</v>
      </c>
      <c r="E259" s="7">
        <v>208.86</v>
      </c>
      <c r="F259" t="s">
        <v>26</v>
      </c>
      <c r="G259" t="s">
        <v>31</v>
      </c>
      <c r="H259" s="12">
        <v>0</v>
      </c>
      <c r="I259" t="s">
        <v>34</v>
      </c>
      <c r="J259" s="7">
        <f>Table2[[#This Row],[UnitPrice]]*Table2[[#This Row],[Quantity]]*(1-Table2[[#This Row],[Discount]])</f>
        <v>1462.02</v>
      </c>
      <c r="K259" t="s">
        <v>42</v>
      </c>
      <c r="L259" t="s">
        <v>43</v>
      </c>
      <c r="M259">
        <v>0</v>
      </c>
      <c r="N259" t="s">
        <v>303</v>
      </c>
      <c r="O259" t="s">
        <v>1799</v>
      </c>
      <c r="P259" s="7">
        <v>20.64</v>
      </c>
      <c r="Q259" s="1">
        <v>45292</v>
      </c>
      <c r="R259">
        <f>WEEKNUM(Table2[[#This Row],[OrderDate]])</f>
        <v>1</v>
      </c>
      <c r="S259" s="1">
        <v>45299</v>
      </c>
      <c r="T259" t="s">
        <v>2918</v>
      </c>
    </row>
    <row r="260" spans="1:20" x14ac:dyDescent="0.35">
      <c r="A260" s="1">
        <v>45620</v>
      </c>
      <c r="B260" t="s">
        <v>2932</v>
      </c>
      <c r="C260" t="s">
        <v>25</v>
      </c>
      <c r="D260" s="9">
        <v>12</v>
      </c>
      <c r="E260" s="7">
        <v>330.36</v>
      </c>
      <c r="F260" t="s">
        <v>29</v>
      </c>
      <c r="G260" t="s">
        <v>31</v>
      </c>
      <c r="H260" s="12">
        <v>0.05</v>
      </c>
      <c r="I260" t="s">
        <v>36</v>
      </c>
      <c r="J260" s="7">
        <f>Table2[[#This Row],[UnitPrice]]*Table2[[#This Row],[Quantity]]*(1-Table2[[#This Row],[Discount]])</f>
        <v>3766.1039999999998</v>
      </c>
      <c r="K260" t="s">
        <v>42</v>
      </c>
      <c r="L260" t="s">
        <v>45</v>
      </c>
      <c r="M260">
        <v>0</v>
      </c>
      <c r="N260" t="s">
        <v>304</v>
      </c>
      <c r="O260" t="s">
        <v>1800</v>
      </c>
      <c r="P260" s="7">
        <v>48.33</v>
      </c>
      <c r="Q260" s="1">
        <v>45620</v>
      </c>
      <c r="R260">
        <f>WEEKNUM(Table2[[#This Row],[OrderDate]])</f>
        <v>48</v>
      </c>
      <c r="S260" s="1">
        <v>45626</v>
      </c>
      <c r="T260" t="s">
        <v>2918</v>
      </c>
    </row>
    <row r="261" spans="1:20" x14ac:dyDescent="0.35">
      <c r="A261" s="1">
        <v>45529</v>
      </c>
      <c r="B261" t="s">
        <v>2932</v>
      </c>
      <c r="C261" t="s">
        <v>24</v>
      </c>
      <c r="D261" s="9">
        <v>7</v>
      </c>
      <c r="E261" s="7">
        <v>50.26</v>
      </c>
      <c r="F261" t="s">
        <v>28</v>
      </c>
      <c r="G261" t="s">
        <v>31</v>
      </c>
      <c r="H261" s="12">
        <v>0.15</v>
      </c>
      <c r="I261" t="s">
        <v>36</v>
      </c>
      <c r="J261" s="7">
        <f>Table2[[#This Row],[UnitPrice]]*Table2[[#This Row],[Quantity]]*(1-Table2[[#This Row],[Discount]])</f>
        <v>299.04699999999997</v>
      </c>
      <c r="K261" t="s">
        <v>42</v>
      </c>
      <c r="L261" t="s">
        <v>2937</v>
      </c>
      <c r="M261">
        <v>0</v>
      </c>
      <c r="N261" t="s">
        <v>305</v>
      </c>
      <c r="O261" t="s">
        <v>1801</v>
      </c>
      <c r="P261" s="7">
        <v>17.12</v>
      </c>
      <c r="Q261" s="1">
        <v>45529</v>
      </c>
      <c r="R261">
        <f>WEEKNUM(Table2[[#This Row],[OrderDate]])</f>
        <v>35</v>
      </c>
      <c r="S261" s="1">
        <v>45536</v>
      </c>
      <c r="T261" t="s">
        <v>2918</v>
      </c>
    </row>
    <row r="262" spans="1:20" x14ac:dyDescent="0.35">
      <c r="A262" s="1">
        <v>45087</v>
      </c>
      <c r="B262" t="s">
        <v>2932</v>
      </c>
      <c r="C262" t="s">
        <v>19</v>
      </c>
      <c r="D262" s="9">
        <v>2</v>
      </c>
      <c r="E262" s="7">
        <v>374.59</v>
      </c>
      <c r="F262" t="s">
        <v>28</v>
      </c>
      <c r="G262" t="s">
        <v>30</v>
      </c>
      <c r="H262" s="12">
        <v>0.15</v>
      </c>
      <c r="I262" t="s">
        <v>35</v>
      </c>
      <c r="J262" s="7">
        <f>Table2[[#This Row],[UnitPrice]]*Table2[[#This Row],[Quantity]]*(1-Table2[[#This Row],[Discount]])</f>
        <v>636.803</v>
      </c>
      <c r="K262" t="s">
        <v>38</v>
      </c>
      <c r="L262" t="s">
        <v>44</v>
      </c>
      <c r="M262">
        <v>0</v>
      </c>
      <c r="N262" t="s">
        <v>306</v>
      </c>
      <c r="O262" t="s">
        <v>1802</v>
      </c>
      <c r="P262" s="7">
        <v>34.64</v>
      </c>
      <c r="Q262" s="1">
        <v>45087</v>
      </c>
      <c r="R262">
        <f>WEEKNUM(Table2[[#This Row],[OrderDate]])</f>
        <v>23</v>
      </c>
      <c r="S262" s="1">
        <v>45095</v>
      </c>
      <c r="T262" t="s">
        <v>2918</v>
      </c>
    </row>
    <row r="263" spans="1:20" x14ac:dyDescent="0.35">
      <c r="A263" s="1">
        <v>45644</v>
      </c>
      <c r="B263" t="s">
        <v>2931</v>
      </c>
      <c r="C263" t="s">
        <v>25</v>
      </c>
      <c r="D263" s="9">
        <v>7</v>
      </c>
      <c r="E263" s="7">
        <v>467.6</v>
      </c>
      <c r="F263" t="s">
        <v>27</v>
      </c>
      <c r="G263" t="s">
        <v>31</v>
      </c>
      <c r="H263" s="12">
        <v>0.1</v>
      </c>
      <c r="I263" t="s">
        <v>35</v>
      </c>
      <c r="J263" s="7">
        <f>Table2[[#This Row],[UnitPrice]]*Table2[[#This Row],[Quantity]]*(1-Table2[[#This Row],[Discount]])</f>
        <v>2945.88</v>
      </c>
      <c r="K263" t="s">
        <v>41</v>
      </c>
      <c r="L263" t="s">
        <v>2937</v>
      </c>
      <c r="M263">
        <v>0</v>
      </c>
      <c r="N263" t="s">
        <v>307</v>
      </c>
      <c r="O263" t="s">
        <v>1803</v>
      </c>
      <c r="P263" s="7">
        <v>15.64</v>
      </c>
      <c r="Q263" s="1">
        <v>45644</v>
      </c>
      <c r="R263">
        <f>WEEKNUM(Table2[[#This Row],[OrderDate]])</f>
        <v>51</v>
      </c>
      <c r="S263" s="1">
        <v>45652</v>
      </c>
      <c r="T263" t="s">
        <v>2919</v>
      </c>
    </row>
    <row r="264" spans="1:20" x14ac:dyDescent="0.35">
      <c r="A264" s="1">
        <v>45166</v>
      </c>
      <c r="B264" t="s">
        <v>2930</v>
      </c>
      <c r="C264" t="s">
        <v>22</v>
      </c>
      <c r="D264" s="9">
        <v>3</v>
      </c>
      <c r="E264" s="7">
        <v>376.24</v>
      </c>
      <c r="F264" t="s">
        <v>27</v>
      </c>
      <c r="G264" t="s">
        <v>31</v>
      </c>
      <c r="H264" s="12">
        <v>0.05</v>
      </c>
      <c r="I264" t="s">
        <v>34</v>
      </c>
      <c r="J264" s="7">
        <f>Table2[[#This Row],[UnitPrice]]*Table2[[#This Row],[Quantity]]*(1-Table2[[#This Row],[Discount]])</f>
        <v>1072.2839999999999</v>
      </c>
      <c r="K264" t="s">
        <v>41</v>
      </c>
      <c r="L264" t="s">
        <v>43</v>
      </c>
      <c r="M264">
        <v>1</v>
      </c>
      <c r="N264" t="s">
        <v>308</v>
      </c>
      <c r="O264" t="s">
        <v>1804</v>
      </c>
      <c r="P264" s="7">
        <v>6.15</v>
      </c>
      <c r="Q264" s="1">
        <v>45166</v>
      </c>
      <c r="R264">
        <f>WEEKNUM(Table2[[#This Row],[OrderDate]])</f>
        <v>35</v>
      </c>
      <c r="S264" s="1">
        <v>45170</v>
      </c>
      <c r="T264" t="s">
        <v>2917</v>
      </c>
    </row>
    <row r="265" spans="1:20" x14ac:dyDescent="0.35">
      <c r="A265" s="1">
        <v>44948</v>
      </c>
      <c r="B265" t="s">
        <v>2933</v>
      </c>
      <c r="C265" t="s">
        <v>20</v>
      </c>
      <c r="D265" s="9">
        <v>13</v>
      </c>
      <c r="E265" s="7">
        <v>140.49</v>
      </c>
      <c r="F265" t="s">
        <v>27</v>
      </c>
      <c r="G265" t="s">
        <v>31</v>
      </c>
      <c r="H265" s="12">
        <v>0</v>
      </c>
      <c r="I265" t="s">
        <v>32</v>
      </c>
      <c r="J265" s="7">
        <f>Table2[[#This Row],[UnitPrice]]*Table2[[#This Row],[Quantity]]*(1-Table2[[#This Row],[Discount]])</f>
        <v>1826.3700000000001</v>
      </c>
      <c r="K265" t="s">
        <v>41</v>
      </c>
      <c r="L265" t="s">
        <v>44</v>
      </c>
      <c r="M265">
        <v>0</v>
      </c>
      <c r="N265" t="s">
        <v>309</v>
      </c>
      <c r="O265" t="s">
        <v>1805</v>
      </c>
      <c r="P265" s="7">
        <v>17.690000000000001</v>
      </c>
      <c r="Q265" s="1">
        <v>44948</v>
      </c>
      <c r="R265">
        <f>WEEKNUM(Table2[[#This Row],[OrderDate]])</f>
        <v>4</v>
      </c>
      <c r="S265" s="1">
        <v>44957</v>
      </c>
      <c r="T265" t="s">
        <v>2921</v>
      </c>
    </row>
    <row r="266" spans="1:20" x14ac:dyDescent="0.35">
      <c r="A266" s="1">
        <v>44964</v>
      </c>
      <c r="B266" t="s">
        <v>2931</v>
      </c>
      <c r="C266" t="s">
        <v>23</v>
      </c>
      <c r="D266" s="9">
        <v>3</v>
      </c>
      <c r="E266" s="7">
        <v>506.33</v>
      </c>
      <c r="F266" t="s">
        <v>26</v>
      </c>
      <c r="G266" t="s">
        <v>31</v>
      </c>
      <c r="H266" s="12">
        <v>0.15</v>
      </c>
      <c r="I266" t="s">
        <v>34</v>
      </c>
      <c r="J266" s="7">
        <f>Table2[[#This Row],[UnitPrice]]*Table2[[#This Row],[Quantity]]*(1-Table2[[#This Row],[Discount]])</f>
        <v>1291.1415</v>
      </c>
      <c r="K266" t="s">
        <v>41</v>
      </c>
      <c r="L266" t="s">
        <v>43</v>
      </c>
      <c r="M266">
        <v>0</v>
      </c>
      <c r="N266" t="s">
        <v>310</v>
      </c>
      <c r="O266" t="s">
        <v>1806</v>
      </c>
      <c r="P266" s="7">
        <v>25.71</v>
      </c>
      <c r="Q266" s="1">
        <v>44964</v>
      </c>
      <c r="R266">
        <f>WEEKNUM(Table2[[#This Row],[OrderDate]])</f>
        <v>6</v>
      </c>
      <c r="S266" s="1">
        <v>44971</v>
      </c>
      <c r="T266" t="s">
        <v>2919</v>
      </c>
    </row>
    <row r="267" spans="1:20" x14ac:dyDescent="0.35">
      <c r="A267" s="1">
        <v>45252</v>
      </c>
      <c r="B267" t="s">
        <v>2932</v>
      </c>
      <c r="C267" t="s">
        <v>23</v>
      </c>
      <c r="D267" s="9">
        <v>8</v>
      </c>
      <c r="E267" s="7">
        <v>138.72999999999999</v>
      </c>
      <c r="F267" t="s">
        <v>27</v>
      </c>
      <c r="G267" t="s">
        <v>30</v>
      </c>
      <c r="H267" s="12">
        <v>0.05</v>
      </c>
      <c r="I267" t="s">
        <v>34</v>
      </c>
      <c r="J267" s="7">
        <f>Table2[[#This Row],[UnitPrice]]*Table2[[#This Row],[Quantity]]*(1-Table2[[#This Row],[Discount]])</f>
        <v>1054.348</v>
      </c>
      <c r="K267" t="s">
        <v>38</v>
      </c>
      <c r="L267" t="s">
        <v>45</v>
      </c>
      <c r="M267">
        <v>1</v>
      </c>
      <c r="N267" t="s">
        <v>311</v>
      </c>
      <c r="O267" t="s">
        <v>1807</v>
      </c>
      <c r="P267" s="7">
        <v>48.51</v>
      </c>
      <c r="Q267" s="1">
        <v>45252</v>
      </c>
      <c r="R267">
        <f>WEEKNUM(Table2[[#This Row],[OrderDate]])</f>
        <v>47</v>
      </c>
      <c r="S267" s="1">
        <v>45259</v>
      </c>
      <c r="T267" t="s">
        <v>2918</v>
      </c>
    </row>
    <row r="268" spans="1:20" x14ac:dyDescent="0.35">
      <c r="A268" s="1">
        <v>44951</v>
      </c>
      <c r="B268" t="s">
        <v>2933</v>
      </c>
      <c r="C268" t="s">
        <v>21</v>
      </c>
      <c r="D268" s="9">
        <v>6</v>
      </c>
      <c r="E268" s="7">
        <v>134.53</v>
      </c>
      <c r="F268" t="s">
        <v>28</v>
      </c>
      <c r="G268" t="s">
        <v>31</v>
      </c>
      <c r="H268" s="12">
        <v>0.15</v>
      </c>
      <c r="I268" t="s">
        <v>35</v>
      </c>
      <c r="J268" s="7">
        <f>Table2[[#This Row],[UnitPrice]]*Table2[[#This Row],[Quantity]]*(1-Table2[[#This Row],[Discount]])</f>
        <v>686.10300000000007</v>
      </c>
      <c r="K268" t="s">
        <v>41</v>
      </c>
      <c r="L268" t="s">
        <v>43</v>
      </c>
      <c r="M268">
        <v>1</v>
      </c>
      <c r="N268" t="s">
        <v>312</v>
      </c>
      <c r="O268" t="s">
        <v>1808</v>
      </c>
      <c r="P268" s="7">
        <v>33.5</v>
      </c>
      <c r="Q268" s="1">
        <v>44951</v>
      </c>
      <c r="R268">
        <f>WEEKNUM(Table2[[#This Row],[OrderDate]])</f>
        <v>4</v>
      </c>
      <c r="S268" s="1">
        <v>44955</v>
      </c>
      <c r="T268" t="s">
        <v>2921</v>
      </c>
    </row>
    <row r="269" spans="1:20" x14ac:dyDescent="0.35">
      <c r="A269" s="1">
        <v>45721</v>
      </c>
      <c r="B269" t="s">
        <v>2932</v>
      </c>
      <c r="C269" t="s">
        <v>24</v>
      </c>
      <c r="D269" s="9">
        <v>18</v>
      </c>
      <c r="E269" s="7">
        <v>375.96</v>
      </c>
      <c r="F269" t="s">
        <v>29</v>
      </c>
      <c r="G269" t="s">
        <v>30</v>
      </c>
      <c r="H269" s="12">
        <v>0.05</v>
      </c>
      <c r="I269" t="s">
        <v>36</v>
      </c>
      <c r="J269" s="7">
        <f>Table2[[#This Row],[UnitPrice]]*Table2[[#This Row],[Quantity]]*(1-Table2[[#This Row],[Discount]])</f>
        <v>6428.9159999999993</v>
      </c>
      <c r="K269" t="s">
        <v>41</v>
      </c>
      <c r="L269" t="s">
        <v>44</v>
      </c>
      <c r="M269">
        <v>0</v>
      </c>
      <c r="N269" t="s">
        <v>313</v>
      </c>
      <c r="O269" t="s">
        <v>1809</v>
      </c>
      <c r="P269" s="7">
        <v>26.78</v>
      </c>
      <c r="Q269" s="1">
        <v>45721</v>
      </c>
      <c r="R269">
        <f>WEEKNUM(Table2[[#This Row],[OrderDate]])</f>
        <v>10</v>
      </c>
      <c r="S269" s="1">
        <v>45725</v>
      </c>
      <c r="T269" t="s">
        <v>2918</v>
      </c>
    </row>
    <row r="270" spans="1:20" x14ac:dyDescent="0.35">
      <c r="A270" s="1">
        <v>44959</v>
      </c>
      <c r="B270" t="s">
        <v>2931</v>
      </c>
      <c r="C270" t="s">
        <v>25</v>
      </c>
      <c r="D270" s="9">
        <v>10</v>
      </c>
      <c r="E270" s="7">
        <v>538.47</v>
      </c>
      <c r="F270" t="s">
        <v>29</v>
      </c>
      <c r="G270" t="s">
        <v>31</v>
      </c>
      <c r="H270" s="12">
        <v>0.1</v>
      </c>
      <c r="I270" t="s">
        <v>37</v>
      </c>
      <c r="J270" s="7">
        <f>Table2[[#This Row],[UnitPrice]]*Table2[[#This Row],[Quantity]]*(1-Table2[[#This Row],[Discount]])</f>
        <v>4846.2300000000005</v>
      </c>
      <c r="K270" t="s">
        <v>39</v>
      </c>
      <c r="L270" t="s">
        <v>45</v>
      </c>
      <c r="M270">
        <v>1</v>
      </c>
      <c r="N270" t="s">
        <v>314</v>
      </c>
      <c r="O270" t="s">
        <v>1810</v>
      </c>
      <c r="P270" s="7">
        <v>17.25</v>
      </c>
      <c r="Q270" s="1">
        <v>44959</v>
      </c>
      <c r="R270">
        <f>WEEKNUM(Table2[[#This Row],[OrderDate]])</f>
        <v>5</v>
      </c>
      <c r="S270" s="1">
        <v>44969</v>
      </c>
      <c r="T270" t="s">
        <v>2919</v>
      </c>
    </row>
    <row r="271" spans="1:20" x14ac:dyDescent="0.35">
      <c r="A271" s="1">
        <v>45070</v>
      </c>
      <c r="B271" t="s">
        <v>2931</v>
      </c>
      <c r="C271" t="s">
        <v>24</v>
      </c>
      <c r="D271" s="9">
        <v>15</v>
      </c>
      <c r="E271" s="7">
        <v>505.44</v>
      </c>
      <c r="F271" t="s">
        <v>27</v>
      </c>
      <c r="G271" t="s">
        <v>30</v>
      </c>
      <c r="H271" s="12">
        <v>0.1</v>
      </c>
      <c r="I271" t="s">
        <v>33</v>
      </c>
      <c r="J271" s="7">
        <f>Table2[[#This Row],[UnitPrice]]*Table2[[#This Row],[Quantity]]*(1-Table2[[#This Row],[Discount]])</f>
        <v>6823.4400000000005</v>
      </c>
      <c r="K271" t="s">
        <v>38</v>
      </c>
      <c r="L271" t="s">
        <v>44</v>
      </c>
      <c r="M271">
        <v>0</v>
      </c>
      <c r="N271" t="s">
        <v>315</v>
      </c>
      <c r="O271" t="s">
        <v>1811</v>
      </c>
      <c r="P271" s="7">
        <v>37.5</v>
      </c>
      <c r="Q271" s="1">
        <v>45070</v>
      </c>
      <c r="R271">
        <f>WEEKNUM(Table2[[#This Row],[OrderDate]])</f>
        <v>21</v>
      </c>
      <c r="S271" s="1">
        <v>45078</v>
      </c>
      <c r="T271" t="s">
        <v>2919</v>
      </c>
    </row>
    <row r="272" spans="1:20" x14ac:dyDescent="0.35">
      <c r="A272" s="1">
        <v>45442</v>
      </c>
      <c r="B272" t="s">
        <v>2932</v>
      </c>
      <c r="C272" t="s">
        <v>25</v>
      </c>
      <c r="D272" s="9">
        <v>4</v>
      </c>
      <c r="E272" s="7">
        <v>312.08999999999997</v>
      </c>
      <c r="F272" t="s">
        <v>28</v>
      </c>
      <c r="G272" t="s">
        <v>30</v>
      </c>
      <c r="H272" s="12">
        <v>0.15</v>
      </c>
      <c r="I272" t="s">
        <v>36</v>
      </c>
      <c r="J272" s="7">
        <f>Table2[[#This Row],[UnitPrice]]*Table2[[#This Row],[Quantity]]*(1-Table2[[#This Row],[Discount]])</f>
        <v>1061.106</v>
      </c>
      <c r="K272" t="s">
        <v>41</v>
      </c>
      <c r="L272" t="s">
        <v>44</v>
      </c>
      <c r="M272">
        <v>1</v>
      </c>
      <c r="N272" t="s">
        <v>316</v>
      </c>
      <c r="O272" t="s">
        <v>1585</v>
      </c>
      <c r="P272" s="7">
        <v>17.989999999999998</v>
      </c>
      <c r="Q272" s="1">
        <v>45442</v>
      </c>
      <c r="R272">
        <f>WEEKNUM(Table2[[#This Row],[OrderDate]])</f>
        <v>22</v>
      </c>
      <c r="S272" s="1">
        <v>45449</v>
      </c>
      <c r="T272" t="s">
        <v>2918</v>
      </c>
    </row>
    <row r="273" spans="1:20" x14ac:dyDescent="0.35">
      <c r="A273" s="1">
        <v>45314</v>
      </c>
      <c r="B273" t="s">
        <v>2933</v>
      </c>
      <c r="C273" t="s">
        <v>21</v>
      </c>
      <c r="D273" s="9">
        <v>15</v>
      </c>
      <c r="E273" s="7">
        <v>579.58000000000004</v>
      </c>
      <c r="F273" t="s">
        <v>28</v>
      </c>
      <c r="G273" t="s">
        <v>31</v>
      </c>
      <c r="H273" s="12">
        <v>0.15</v>
      </c>
      <c r="I273" t="s">
        <v>32</v>
      </c>
      <c r="J273" s="7">
        <f>Table2[[#This Row],[UnitPrice]]*Table2[[#This Row],[Quantity]]*(1-Table2[[#This Row],[Discount]])</f>
        <v>7389.6450000000004</v>
      </c>
      <c r="K273" t="s">
        <v>40</v>
      </c>
      <c r="L273" t="s">
        <v>2937</v>
      </c>
      <c r="M273">
        <v>0</v>
      </c>
      <c r="N273" t="s">
        <v>317</v>
      </c>
      <c r="O273" t="s">
        <v>1812</v>
      </c>
      <c r="P273" s="7">
        <v>31.22</v>
      </c>
      <c r="Q273" s="1">
        <v>45314</v>
      </c>
      <c r="R273">
        <f>WEEKNUM(Table2[[#This Row],[OrderDate]])</f>
        <v>4</v>
      </c>
      <c r="S273" s="1">
        <v>45322</v>
      </c>
      <c r="T273" t="s">
        <v>2921</v>
      </c>
    </row>
    <row r="274" spans="1:20" x14ac:dyDescent="0.35">
      <c r="A274" s="1">
        <v>44963</v>
      </c>
      <c r="B274" t="s">
        <v>2931</v>
      </c>
      <c r="C274" t="s">
        <v>22</v>
      </c>
      <c r="D274" s="9">
        <v>10</v>
      </c>
      <c r="E274" s="7">
        <v>217.43</v>
      </c>
      <c r="F274" t="s">
        <v>27</v>
      </c>
      <c r="G274" t="s">
        <v>31</v>
      </c>
      <c r="H274" s="12">
        <v>0.15</v>
      </c>
      <c r="I274" t="s">
        <v>37</v>
      </c>
      <c r="J274" s="7">
        <f>Table2[[#This Row],[UnitPrice]]*Table2[[#This Row],[Quantity]]*(1-Table2[[#This Row],[Discount]])</f>
        <v>1848.1550000000002</v>
      </c>
      <c r="K274" t="s">
        <v>40</v>
      </c>
      <c r="L274" t="s">
        <v>43</v>
      </c>
      <c r="M274">
        <v>0</v>
      </c>
      <c r="N274" t="s">
        <v>318</v>
      </c>
      <c r="O274" t="s">
        <v>1813</v>
      </c>
      <c r="P274" s="7">
        <v>33.14</v>
      </c>
      <c r="Q274" s="1">
        <v>44963</v>
      </c>
      <c r="R274">
        <f>WEEKNUM(Table2[[#This Row],[OrderDate]])</f>
        <v>6</v>
      </c>
      <c r="S274" s="1">
        <v>44972</v>
      </c>
      <c r="T274" t="s">
        <v>2919</v>
      </c>
    </row>
    <row r="275" spans="1:20" x14ac:dyDescent="0.35">
      <c r="A275" s="1">
        <v>45488</v>
      </c>
      <c r="B275" t="s">
        <v>2933</v>
      </c>
      <c r="C275" t="s">
        <v>20</v>
      </c>
      <c r="D275" s="9">
        <v>15</v>
      </c>
      <c r="E275" s="7">
        <v>476.15</v>
      </c>
      <c r="F275" t="s">
        <v>26</v>
      </c>
      <c r="G275" t="s">
        <v>30</v>
      </c>
      <c r="H275" s="12">
        <v>0.05</v>
      </c>
      <c r="I275" t="s">
        <v>35</v>
      </c>
      <c r="J275" s="7">
        <f>Table2[[#This Row],[UnitPrice]]*Table2[[#This Row],[Quantity]]*(1-Table2[[#This Row],[Discount]])</f>
        <v>6785.1374999999998</v>
      </c>
      <c r="K275" t="s">
        <v>38</v>
      </c>
      <c r="L275" t="s">
        <v>44</v>
      </c>
      <c r="M275">
        <v>0</v>
      </c>
      <c r="N275" t="s">
        <v>319</v>
      </c>
      <c r="O275" t="s">
        <v>1814</v>
      </c>
      <c r="P275" s="7">
        <v>24.48</v>
      </c>
      <c r="Q275" s="1">
        <v>45488</v>
      </c>
      <c r="R275">
        <f>WEEKNUM(Table2[[#This Row],[OrderDate]])</f>
        <v>29</v>
      </c>
      <c r="S275" s="1">
        <v>45492</v>
      </c>
      <c r="T275" t="s">
        <v>2921</v>
      </c>
    </row>
    <row r="276" spans="1:20" x14ac:dyDescent="0.35">
      <c r="A276" s="1">
        <v>45722</v>
      </c>
      <c r="B276" t="s">
        <v>2930</v>
      </c>
      <c r="C276" t="s">
        <v>22</v>
      </c>
      <c r="D276" s="9">
        <v>5</v>
      </c>
      <c r="E276" s="7">
        <v>89.03</v>
      </c>
      <c r="F276" t="s">
        <v>28</v>
      </c>
      <c r="G276" t="s">
        <v>30</v>
      </c>
      <c r="H276" s="12">
        <v>0.1</v>
      </c>
      <c r="I276" t="s">
        <v>34</v>
      </c>
      <c r="J276" s="7">
        <f>Table2[[#This Row],[UnitPrice]]*Table2[[#This Row],[Quantity]]*(1-Table2[[#This Row],[Discount]])</f>
        <v>400.63499999999999</v>
      </c>
      <c r="K276" t="s">
        <v>41</v>
      </c>
      <c r="L276" t="s">
        <v>45</v>
      </c>
      <c r="M276">
        <v>0</v>
      </c>
      <c r="N276" t="s">
        <v>320</v>
      </c>
      <c r="O276" t="s">
        <v>1815</v>
      </c>
      <c r="P276" s="7">
        <v>22.42</v>
      </c>
      <c r="Q276" s="1">
        <v>45722</v>
      </c>
      <c r="R276">
        <f>WEEKNUM(Table2[[#This Row],[OrderDate]])</f>
        <v>10</v>
      </c>
      <c r="S276" s="1">
        <v>45732</v>
      </c>
      <c r="T276" t="s">
        <v>2917</v>
      </c>
    </row>
    <row r="277" spans="1:20" x14ac:dyDescent="0.35">
      <c r="A277" s="1">
        <v>45136</v>
      </c>
      <c r="B277" t="s">
        <v>2934</v>
      </c>
      <c r="C277" t="s">
        <v>20</v>
      </c>
      <c r="D277" s="9">
        <v>17</v>
      </c>
      <c r="E277" s="7">
        <v>6.88</v>
      </c>
      <c r="F277" t="s">
        <v>27</v>
      </c>
      <c r="G277" t="s">
        <v>31</v>
      </c>
      <c r="H277" s="12">
        <v>0.1</v>
      </c>
      <c r="I277" t="s">
        <v>34</v>
      </c>
      <c r="J277" s="7">
        <f>Table2[[#This Row],[UnitPrice]]*Table2[[#This Row],[Quantity]]*(1-Table2[[#This Row],[Discount]])</f>
        <v>105.264</v>
      </c>
      <c r="K277" t="s">
        <v>39</v>
      </c>
      <c r="L277" t="s">
        <v>2937</v>
      </c>
      <c r="M277">
        <v>0</v>
      </c>
      <c r="N277" t="s">
        <v>321</v>
      </c>
      <c r="O277" t="s">
        <v>1816</v>
      </c>
      <c r="P277" s="7">
        <v>42.37</v>
      </c>
      <c r="Q277" s="1">
        <v>45136</v>
      </c>
      <c r="R277">
        <f>WEEKNUM(Table2[[#This Row],[OrderDate]])</f>
        <v>30</v>
      </c>
      <c r="S277" s="1">
        <v>45146</v>
      </c>
      <c r="T277" t="s">
        <v>2920</v>
      </c>
    </row>
    <row r="278" spans="1:20" x14ac:dyDescent="0.35">
      <c r="A278" s="1">
        <v>45133</v>
      </c>
      <c r="B278" t="s">
        <v>2931</v>
      </c>
      <c r="C278" t="s">
        <v>25</v>
      </c>
      <c r="D278" s="9">
        <v>6</v>
      </c>
      <c r="E278" s="7">
        <v>355.26</v>
      </c>
      <c r="F278" t="s">
        <v>29</v>
      </c>
      <c r="G278" t="s">
        <v>31</v>
      </c>
      <c r="H278" s="12">
        <v>0.1</v>
      </c>
      <c r="I278" t="s">
        <v>37</v>
      </c>
      <c r="J278" s="7">
        <f>Table2[[#This Row],[UnitPrice]]*Table2[[#This Row],[Quantity]]*(1-Table2[[#This Row],[Discount]])</f>
        <v>1918.404</v>
      </c>
      <c r="K278" t="s">
        <v>38</v>
      </c>
      <c r="L278" t="s">
        <v>45</v>
      </c>
      <c r="M278">
        <v>0</v>
      </c>
      <c r="N278" t="s">
        <v>322</v>
      </c>
      <c r="O278" t="s">
        <v>1817</v>
      </c>
      <c r="P278" s="7">
        <v>30.49</v>
      </c>
      <c r="Q278" s="1">
        <v>45133</v>
      </c>
      <c r="R278">
        <f>WEEKNUM(Table2[[#This Row],[OrderDate]])</f>
        <v>30</v>
      </c>
      <c r="S278" s="1">
        <v>45136</v>
      </c>
      <c r="T278" t="s">
        <v>2919</v>
      </c>
    </row>
    <row r="279" spans="1:20" x14ac:dyDescent="0.35">
      <c r="A279" s="1">
        <v>45392</v>
      </c>
      <c r="B279" t="s">
        <v>2933</v>
      </c>
      <c r="C279" t="s">
        <v>24</v>
      </c>
      <c r="D279" s="9">
        <v>8</v>
      </c>
      <c r="E279" s="7">
        <v>294.76</v>
      </c>
      <c r="F279" t="s">
        <v>28</v>
      </c>
      <c r="G279" t="s">
        <v>31</v>
      </c>
      <c r="H279" s="12">
        <v>0.1</v>
      </c>
      <c r="I279" t="s">
        <v>36</v>
      </c>
      <c r="J279" s="7">
        <f>Table2[[#This Row],[UnitPrice]]*Table2[[#This Row],[Quantity]]*(1-Table2[[#This Row],[Discount]])</f>
        <v>2122.2719999999999</v>
      </c>
      <c r="K279" t="s">
        <v>38</v>
      </c>
      <c r="L279" t="s">
        <v>44</v>
      </c>
      <c r="M279">
        <v>0</v>
      </c>
      <c r="N279" t="s">
        <v>323</v>
      </c>
      <c r="O279" t="s">
        <v>1818</v>
      </c>
      <c r="P279" s="7">
        <v>36.04</v>
      </c>
      <c r="Q279" s="1">
        <v>45392</v>
      </c>
      <c r="R279">
        <f>WEEKNUM(Table2[[#This Row],[OrderDate]])</f>
        <v>15</v>
      </c>
      <c r="S279" s="1">
        <v>45395</v>
      </c>
      <c r="T279" t="s">
        <v>2921</v>
      </c>
    </row>
    <row r="280" spans="1:20" x14ac:dyDescent="0.35">
      <c r="A280" s="1">
        <v>45681</v>
      </c>
      <c r="B280" t="s">
        <v>2931</v>
      </c>
      <c r="C280" t="s">
        <v>21</v>
      </c>
      <c r="D280" s="9">
        <v>16</v>
      </c>
      <c r="E280" s="7">
        <v>60.69</v>
      </c>
      <c r="F280" t="s">
        <v>27</v>
      </c>
      <c r="G280" t="s">
        <v>30</v>
      </c>
      <c r="H280" s="12">
        <v>0</v>
      </c>
      <c r="I280" t="s">
        <v>35</v>
      </c>
      <c r="J280" s="7">
        <f>Table2[[#This Row],[UnitPrice]]*Table2[[#This Row],[Quantity]]*(1-Table2[[#This Row],[Discount]])</f>
        <v>971.04</v>
      </c>
      <c r="K280" t="s">
        <v>40</v>
      </c>
      <c r="L280" t="s">
        <v>45</v>
      </c>
      <c r="M280">
        <v>0</v>
      </c>
      <c r="N280" t="s">
        <v>324</v>
      </c>
      <c r="O280" t="s">
        <v>1819</v>
      </c>
      <c r="P280" s="7">
        <v>7.03</v>
      </c>
      <c r="Q280" s="1">
        <v>45681</v>
      </c>
      <c r="R280">
        <f>WEEKNUM(Table2[[#This Row],[OrderDate]])</f>
        <v>4</v>
      </c>
      <c r="S280" s="1">
        <v>45684</v>
      </c>
      <c r="T280" t="s">
        <v>2919</v>
      </c>
    </row>
    <row r="281" spans="1:20" x14ac:dyDescent="0.35">
      <c r="A281" s="1">
        <v>45774</v>
      </c>
      <c r="B281" t="s">
        <v>2933</v>
      </c>
      <c r="C281" t="s">
        <v>19</v>
      </c>
      <c r="D281" s="9">
        <v>2</v>
      </c>
      <c r="E281" s="7">
        <v>559.63</v>
      </c>
      <c r="F281" t="s">
        <v>26</v>
      </c>
      <c r="G281" t="s">
        <v>30</v>
      </c>
      <c r="H281" s="12">
        <v>0.1</v>
      </c>
      <c r="I281" t="s">
        <v>36</v>
      </c>
      <c r="J281" s="7">
        <f>Table2[[#This Row],[UnitPrice]]*Table2[[#This Row],[Quantity]]*(1-Table2[[#This Row],[Discount]])</f>
        <v>1007.3340000000001</v>
      </c>
      <c r="K281" t="s">
        <v>40</v>
      </c>
      <c r="L281" t="s">
        <v>45</v>
      </c>
      <c r="M281">
        <v>1</v>
      </c>
      <c r="N281" t="s">
        <v>325</v>
      </c>
      <c r="O281" t="s">
        <v>1820</v>
      </c>
      <c r="P281" s="7">
        <v>42.34</v>
      </c>
      <c r="Q281" s="1">
        <v>45774</v>
      </c>
      <c r="R281">
        <f>WEEKNUM(Table2[[#This Row],[OrderDate]])</f>
        <v>18</v>
      </c>
      <c r="S281" s="1">
        <v>45780</v>
      </c>
      <c r="T281" t="s">
        <v>2921</v>
      </c>
    </row>
    <row r="282" spans="1:20" x14ac:dyDescent="0.35">
      <c r="A282" s="1">
        <v>45708</v>
      </c>
      <c r="B282" t="s">
        <v>2930</v>
      </c>
      <c r="C282" t="s">
        <v>20</v>
      </c>
      <c r="D282" s="9">
        <v>4</v>
      </c>
      <c r="E282" s="7">
        <v>232.66</v>
      </c>
      <c r="F282" t="s">
        <v>26</v>
      </c>
      <c r="G282" t="s">
        <v>30</v>
      </c>
      <c r="H282" s="12">
        <v>0.1</v>
      </c>
      <c r="I282" t="s">
        <v>34</v>
      </c>
      <c r="J282" s="7">
        <f>Table2[[#This Row],[UnitPrice]]*Table2[[#This Row],[Quantity]]*(1-Table2[[#This Row],[Discount]])</f>
        <v>837.57600000000002</v>
      </c>
      <c r="K282" t="s">
        <v>38</v>
      </c>
      <c r="L282" t="s">
        <v>45</v>
      </c>
      <c r="M282">
        <v>0</v>
      </c>
      <c r="N282" t="s">
        <v>326</v>
      </c>
      <c r="O282" t="s">
        <v>1821</v>
      </c>
      <c r="P282" s="7">
        <v>11.88</v>
      </c>
      <c r="Q282" s="1">
        <v>45708</v>
      </c>
      <c r="R282">
        <f>WEEKNUM(Table2[[#This Row],[OrderDate]])</f>
        <v>8</v>
      </c>
      <c r="S282" s="1">
        <v>45711</v>
      </c>
      <c r="T282" t="s">
        <v>2917</v>
      </c>
    </row>
    <row r="283" spans="1:20" x14ac:dyDescent="0.35">
      <c r="A283" s="1">
        <v>45183</v>
      </c>
      <c r="B283" t="s">
        <v>2931</v>
      </c>
      <c r="C283" t="s">
        <v>25</v>
      </c>
      <c r="D283" s="9">
        <v>10</v>
      </c>
      <c r="E283" s="7">
        <v>230.87</v>
      </c>
      <c r="F283" t="s">
        <v>27</v>
      </c>
      <c r="G283" t="s">
        <v>31</v>
      </c>
      <c r="H283" s="12">
        <v>0.15</v>
      </c>
      <c r="I283" t="s">
        <v>37</v>
      </c>
      <c r="J283" s="7">
        <f>Table2[[#This Row],[UnitPrice]]*Table2[[#This Row],[Quantity]]*(1-Table2[[#This Row],[Discount]])</f>
        <v>1962.3949999999998</v>
      </c>
      <c r="K283" t="s">
        <v>41</v>
      </c>
      <c r="L283" t="s">
        <v>44</v>
      </c>
      <c r="M283">
        <v>0</v>
      </c>
      <c r="N283" t="s">
        <v>327</v>
      </c>
      <c r="O283" t="s">
        <v>1768</v>
      </c>
      <c r="P283" s="7">
        <v>28.33</v>
      </c>
      <c r="Q283" s="1">
        <v>45183</v>
      </c>
      <c r="R283">
        <f>WEEKNUM(Table2[[#This Row],[OrderDate]])</f>
        <v>37</v>
      </c>
      <c r="S283" s="1">
        <v>45188</v>
      </c>
      <c r="T283" t="s">
        <v>2919</v>
      </c>
    </row>
    <row r="284" spans="1:20" x14ac:dyDescent="0.35">
      <c r="A284" s="1">
        <v>45399</v>
      </c>
      <c r="B284" t="s">
        <v>2933</v>
      </c>
      <c r="C284" t="s">
        <v>24</v>
      </c>
      <c r="D284" s="9">
        <v>7</v>
      </c>
      <c r="E284" s="7">
        <v>353.9</v>
      </c>
      <c r="F284" t="s">
        <v>28</v>
      </c>
      <c r="G284" t="s">
        <v>30</v>
      </c>
      <c r="H284" s="12">
        <v>0.15</v>
      </c>
      <c r="I284" t="s">
        <v>33</v>
      </c>
      <c r="J284" s="7">
        <f>Table2[[#This Row],[UnitPrice]]*Table2[[#This Row],[Quantity]]*(1-Table2[[#This Row],[Discount]])</f>
        <v>2105.7049999999999</v>
      </c>
      <c r="K284" t="s">
        <v>41</v>
      </c>
      <c r="L284" t="s">
        <v>44</v>
      </c>
      <c r="M284">
        <v>1</v>
      </c>
      <c r="N284" t="s">
        <v>328</v>
      </c>
      <c r="O284" t="s">
        <v>1822</v>
      </c>
      <c r="P284" s="7">
        <v>15.74</v>
      </c>
      <c r="Q284" s="1">
        <v>45399</v>
      </c>
      <c r="R284">
        <f>WEEKNUM(Table2[[#This Row],[OrderDate]])</f>
        <v>16</v>
      </c>
      <c r="S284" s="1">
        <v>45409</v>
      </c>
      <c r="T284" t="s">
        <v>2921</v>
      </c>
    </row>
    <row r="285" spans="1:20" x14ac:dyDescent="0.35">
      <c r="A285" s="1">
        <v>45610</v>
      </c>
      <c r="B285" t="s">
        <v>2934</v>
      </c>
      <c r="C285" t="s">
        <v>24</v>
      </c>
      <c r="D285" s="9">
        <v>12</v>
      </c>
      <c r="E285" s="7">
        <v>561.07000000000005</v>
      </c>
      <c r="F285" t="s">
        <v>27</v>
      </c>
      <c r="G285" t="s">
        <v>31</v>
      </c>
      <c r="H285" s="12">
        <v>0</v>
      </c>
      <c r="I285" t="s">
        <v>33</v>
      </c>
      <c r="J285" s="7">
        <f>Table2[[#This Row],[UnitPrice]]*Table2[[#This Row],[Quantity]]*(1-Table2[[#This Row],[Discount]])</f>
        <v>6732.84</v>
      </c>
      <c r="K285" t="s">
        <v>39</v>
      </c>
      <c r="L285" t="s">
        <v>2937</v>
      </c>
      <c r="M285">
        <v>0</v>
      </c>
      <c r="N285" t="s">
        <v>329</v>
      </c>
      <c r="O285" t="s">
        <v>1823</v>
      </c>
      <c r="P285" s="7">
        <v>35.020000000000003</v>
      </c>
      <c r="Q285" s="1">
        <v>45610</v>
      </c>
      <c r="R285">
        <f>WEEKNUM(Table2[[#This Row],[OrderDate]])</f>
        <v>46</v>
      </c>
      <c r="S285" s="1">
        <v>45614</v>
      </c>
      <c r="T285" t="s">
        <v>2920</v>
      </c>
    </row>
    <row r="286" spans="1:20" x14ac:dyDescent="0.35">
      <c r="A286" s="1">
        <v>45498</v>
      </c>
      <c r="B286" t="s">
        <v>2931</v>
      </c>
      <c r="C286" t="s">
        <v>22</v>
      </c>
      <c r="D286" s="9">
        <v>15</v>
      </c>
      <c r="E286" s="7">
        <v>247.21</v>
      </c>
      <c r="F286" t="s">
        <v>29</v>
      </c>
      <c r="G286" t="s">
        <v>30</v>
      </c>
      <c r="H286" s="12">
        <v>0.1</v>
      </c>
      <c r="I286" t="s">
        <v>37</v>
      </c>
      <c r="J286" s="7">
        <f>Table2[[#This Row],[UnitPrice]]*Table2[[#This Row],[Quantity]]*(1-Table2[[#This Row],[Discount]])</f>
        <v>3337.335</v>
      </c>
      <c r="K286" t="s">
        <v>39</v>
      </c>
      <c r="L286" t="s">
        <v>2937</v>
      </c>
      <c r="M286">
        <v>0</v>
      </c>
      <c r="N286" t="s">
        <v>330</v>
      </c>
      <c r="O286" t="s">
        <v>1824</v>
      </c>
      <c r="P286" s="7">
        <v>45.42</v>
      </c>
      <c r="Q286" s="1">
        <v>45498</v>
      </c>
      <c r="R286">
        <f>WEEKNUM(Table2[[#This Row],[OrderDate]])</f>
        <v>30</v>
      </c>
      <c r="S286" s="1">
        <v>45500</v>
      </c>
      <c r="T286" t="s">
        <v>2919</v>
      </c>
    </row>
    <row r="287" spans="1:20" x14ac:dyDescent="0.35">
      <c r="A287" s="1">
        <v>45509</v>
      </c>
      <c r="B287" t="s">
        <v>2930</v>
      </c>
      <c r="C287" t="s">
        <v>20</v>
      </c>
      <c r="D287" s="9">
        <v>19</v>
      </c>
      <c r="E287" s="7">
        <v>271.22000000000003</v>
      </c>
      <c r="F287" t="s">
        <v>27</v>
      </c>
      <c r="G287" t="s">
        <v>30</v>
      </c>
      <c r="H287" s="12">
        <v>0.1</v>
      </c>
      <c r="I287" t="s">
        <v>33</v>
      </c>
      <c r="J287" s="7">
        <f>Table2[[#This Row],[UnitPrice]]*Table2[[#This Row],[Quantity]]*(1-Table2[[#This Row],[Discount]])</f>
        <v>4637.8620000000001</v>
      </c>
      <c r="K287" t="s">
        <v>40</v>
      </c>
      <c r="L287" t="s">
        <v>45</v>
      </c>
      <c r="M287">
        <v>0</v>
      </c>
      <c r="N287" t="s">
        <v>331</v>
      </c>
      <c r="O287" t="s">
        <v>1825</v>
      </c>
      <c r="P287" s="7">
        <v>35.33</v>
      </c>
      <c r="Q287" s="1">
        <v>45509</v>
      </c>
      <c r="R287">
        <f>WEEKNUM(Table2[[#This Row],[OrderDate]])</f>
        <v>32</v>
      </c>
      <c r="S287" s="1">
        <v>45519</v>
      </c>
      <c r="T287" t="s">
        <v>2917</v>
      </c>
    </row>
    <row r="288" spans="1:20" x14ac:dyDescent="0.35">
      <c r="A288" s="1">
        <v>45680</v>
      </c>
      <c r="B288" t="s">
        <v>2933</v>
      </c>
      <c r="C288" t="s">
        <v>19</v>
      </c>
      <c r="D288" s="9">
        <v>6</v>
      </c>
      <c r="E288" s="7">
        <v>532.54</v>
      </c>
      <c r="F288" t="s">
        <v>27</v>
      </c>
      <c r="G288" t="s">
        <v>30</v>
      </c>
      <c r="H288" s="12">
        <v>0</v>
      </c>
      <c r="I288" t="s">
        <v>36</v>
      </c>
      <c r="J288" s="7">
        <f>Table2[[#This Row],[UnitPrice]]*Table2[[#This Row],[Quantity]]*(1-Table2[[#This Row],[Discount]])</f>
        <v>3195.24</v>
      </c>
      <c r="K288" t="s">
        <v>41</v>
      </c>
      <c r="L288" t="s">
        <v>2937</v>
      </c>
      <c r="M288">
        <v>1</v>
      </c>
      <c r="N288" t="s">
        <v>332</v>
      </c>
      <c r="O288" t="s">
        <v>1826</v>
      </c>
      <c r="P288" s="7">
        <v>25.09</v>
      </c>
      <c r="Q288" s="1">
        <v>45680</v>
      </c>
      <c r="R288">
        <f>WEEKNUM(Table2[[#This Row],[OrderDate]])</f>
        <v>4</v>
      </c>
      <c r="S288" s="1">
        <v>45690</v>
      </c>
      <c r="T288" t="s">
        <v>2921</v>
      </c>
    </row>
    <row r="289" spans="1:20" x14ac:dyDescent="0.35">
      <c r="A289" s="1">
        <v>45774</v>
      </c>
      <c r="B289" t="s">
        <v>2933</v>
      </c>
      <c r="C289" t="s">
        <v>25</v>
      </c>
      <c r="D289" s="9">
        <v>16</v>
      </c>
      <c r="E289" s="7">
        <v>329.54</v>
      </c>
      <c r="F289" t="s">
        <v>27</v>
      </c>
      <c r="G289" t="s">
        <v>30</v>
      </c>
      <c r="H289" s="12">
        <v>0.15</v>
      </c>
      <c r="I289" t="s">
        <v>37</v>
      </c>
      <c r="J289" s="7">
        <f>Table2[[#This Row],[UnitPrice]]*Table2[[#This Row],[Quantity]]*(1-Table2[[#This Row],[Discount]])</f>
        <v>4481.7440000000006</v>
      </c>
      <c r="K289" t="s">
        <v>41</v>
      </c>
      <c r="L289" t="s">
        <v>43</v>
      </c>
      <c r="M289">
        <v>1</v>
      </c>
      <c r="N289" t="s">
        <v>333</v>
      </c>
      <c r="O289" t="s">
        <v>1827</v>
      </c>
      <c r="P289" s="7">
        <v>39.39</v>
      </c>
      <c r="Q289" s="1">
        <v>45774</v>
      </c>
      <c r="R289">
        <f>WEEKNUM(Table2[[#This Row],[OrderDate]])</f>
        <v>18</v>
      </c>
      <c r="S289" s="1">
        <v>45780</v>
      </c>
      <c r="T289" t="s">
        <v>2921</v>
      </c>
    </row>
    <row r="290" spans="1:20" x14ac:dyDescent="0.35">
      <c r="A290" s="1">
        <v>45555</v>
      </c>
      <c r="B290" t="s">
        <v>2932</v>
      </c>
      <c r="C290" t="s">
        <v>20</v>
      </c>
      <c r="D290" s="9">
        <v>6</v>
      </c>
      <c r="E290" s="7">
        <v>170.1</v>
      </c>
      <c r="F290" t="s">
        <v>27</v>
      </c>
      <c r="G290" t="s">
        <v>31</v>
      </c>
      <c r="H290" s="12">
        <v>0</v>
      </c>
      <c r="I290" t="s">
        <v>32</v>
      </c>
      <c r="J290" s="7">
        <f>Table2[[#This Row],[UnitPrice]]*Table2[[#This Row],[Quantity]]*(1-Table2[[#This Row],[Discount]])</f>
        <v>1020.5999999999999</v>
      </c>
      <c r="K290" t="s">
        <v>39</v>
      </c>
      <c r="L290" t="s">
        <v>43</v>
      </c>
      <c r="M290">
        <v>0</v>
      </c>
      <c r="N290" t="s">
        <v>334</v>
      </c>
      <c r="O290" t="s">
        <v>1828</v>
      </c>
      <c r="P290" s="7">
        <v>38.61</v>
      </c>
      <c r="Q290" s="1">
        <v>45555</v>
      </c>
      <c r="R290">
        <f>WEEKNUM(Table2[[#This Row],[OrderDate]])</f>
        <v>38</v>
      </c>
      <c r="S290" s="1">
        <v>45558</v>
      </c>
      <c r="T290" t="s">
        <v>2918</v>
      </c>
    </row>
    <row r="291" spans="1:20" x14ac:dyDescent="0.35">
      <c r="A291" s="1">
        <v>45177</v>
      </c>
      <c r="B291" t="s">
        <v>2933</v>
      </c>
      <c r="C291" t="s">
        <v>19</v>
      </c>
      <c r="D291" s="9">
        <v>19</v>
      </c>
      <c r="E291" s="7">
        <v>212.83</v>
      </c>
      <c r="F291" t="s">
        <v>29</v>
      </c>
      <c r="G291" t="s">
        <v>30</v>
      </c>
      <c r="H291" s="12">
        <v>0.15</v>
      </c>
      <c r="I291" t="s">
        <v>35</v>
      </c>
      <c r="J291" s="7">
        <f>Table2[[#This Row],[UnitPrice]]*Table2[[#This Row],[Quantity]]*(1-Table2[[#This Row],[Discount]])</f>
        <v>3437.2045000000003</v>
      </c>
      <c r="K291" t="s">
        <v>38</v>
      </c>
      <c r="L291" t="s">
        <v>45</v>
      </c>
      <c r="M291">
        <v>0</v>
      </c>
      <c r="N291" t="s">
        <v>335</v>
      </c>
      <c r="O291" t="s">
        <v>1829</v>
      </c>
      <c r="P291" s="7">
        <v>42.88</v>
      </c>
      <c r="Q291" s="1">
        <v>45177</v>
      </c>
      <c r="R291">
        <f>WEEKNUM(Table2[[#This Row],[OrderDate]])</f>
        <v>36</v>
      </c>
      <c r="S291" s="1">
        <v>45184</v>
      </c>
      <c r="T291" t="s">
        <v>2921</v>
      </c>
    </row>
    <row r="292" spans="1:20" x14ac:dyDescent="0.35">
      <c r="A292" s="1">
        <v>45767</v>
      </c>
      <c r="B292" t="s">
        <v>2932</v>
      </c>
      <c r="C292" t="s">
        <v>19</v>
      </c>
      <c r="D292" s="9">
        <v>5</v>
      </c>
      <c r="E292" s="7">
        <v>578.91999999999996</v>
      </c>
      <c r="F292" t="s">
        <v>27</v>
      </c>
      <c r="G292" t="s">
        <v>30</v>
      </c>
      <c r="H292" s="12">
        <v>0</v>
      </c>
      <c r="I292" t="s">
        <v>37</v>
      </c>
      <c r="J292" s="7">
        <f>Table2[[#This Row],[UnitPrice]]*Table2[[#This Row],[Quantity]]*(1-Table2[[#This Row],[Discount]])</f>
        <v>2894.6</v>
      </c>
      <c r="K292" t="s">
        <v>40</v>
      </c>
      <c r="L292" t="s">
        <v>2937</v>
      </c>
      <c r="M292">
        <v>1</v>
      </c>
      <c r="N292" t="s">
        <v>336</v>
      </c>
      <c r="O292" t="s">
        <v>1830</v>
      </c>
      <c r="P292" s="7">
        <v>44.09</v>
      </c>
      <c r="Q292" s="1">
        <v>45767</v>
      </c>
      <c r="R292">
        <f>WEEKNUM(Table2[[#This Row],[OrderDate]])</f>
        <v>17</v>
      </c>
      <c r="S292" s="1">
        <v>45775</v>
      </c>
      <c r="T292" t="s">
        <v>2918</v>
      </c>
    </row>
    <row r="293" spans="1:20" x14ac:dyDescent="0.35">
      <c r="A293" s="1">
        <v>45463</v>
      </c>
      <c r="B293" t="s">
        <v>2931</v>
      </c>
      <c r="C293" t="s">
        <v>20</v>
      </c>
      <c r="D293" s="9">
        <v>3</v>
      </c>
      <c r="E293" s="7">
        <v>456.92</v>
      </c>
      <c r="F293" t="s">
        <v>28</v>
      </c>
      <c r="G293" t="s">
        <v>31</v>
      </c>
      <c r="H293" s="12">
        <v>0.1</v>
      </c>
      <c r="I293" t="s">
        <v>34</v>
      </c>
      <c r="J293" s="7">
        <f>Table2[[#This Row],[UnitPrice]]*Table2[[#This Row],[Quantity]]*(1-Table2[[#This Row],[Discount]])</f>
        <v>1233.684</v>
      </c>
      <c r="K293" t="s">
        <v>39</v>
      </c>
      <c r="L293" t="s">
        <v>43</v>
      </c>
      <c r="M293">
        <v>0</v>
      </c>
      <c r="N293" t="s">
        <v>337</v>
      </c>
      <c r="O293" t="s">
        <v>1831</v>
      </c>
      <c r="P293" s="7">
        <v>17.57</v>
      </c>
      <c r="Q293" s="1">
        <v>45463</v>
      </c>
      <c r="R293">
        <f>WEEKNUM(Table2[[#This Row],[OrderDate]])</f>
        <v>25</v>
      </c>
      <c r="S293" s="1">
        <v>45470</v>
      </c>
      <c r="T293" t="s">
        <v>2919</v>
      </c>
    </row>
    <row r="294" spans="1:20" x14ac:dyDescent="0.35">
      <c r="A294" s="1">
        <v>44937</v>
      </c>
      <c r="B294" t="s">
        <v>2930</v>
      </c>
      <c r="C294" t="s">
        <v>24</v>
      </c>
      <c r="D294" s="9">
        <v>12</v>
      </c>
      <c r="E294" s="7">
        <v>521.53</v>
      </c>
      <c r="F294" t="s">
        <v>29</v>
      </c>
      <c r="G294" t="s">
        <v>31</v>
      </c>
      <c r="H294" s="12">
        <v>0</v>
      </c>
      <c r="I294" t="s">
        <v>32</v>
      </c>
      <c r="J294" s="7">
        <f>Table2[[#This Row],[UnitPrice]]*Table2[[#This Row],[Quantity]]*(1-Table2[[#This Row],[Discount]])</f>
        <v>6258.36</v>
      </c>
      <c r="K294" t="s">
        <v>40</v>
      </c>
      <c r="L294" t="s">
        <v>44</v>
      </c>
      <c r="M294">
        <v>1</v>
      </c>
      <c r="N294" t="s">
        <v>338</v>
      </c>
      <c r="O294" t="s">
        <v>1832</v>
      </c>
      <c r="P294" s="7">
        <v>49.59</v>
      </c>
      <c r="Q294" s="1">
        <v>44937</v>
      </c>
      <c r="R294">
        <f>WEEKNUM(Table2[[#This Row],[OrderDate]])</f>
        <v>2</v>
      </c>
      <c r="S294" s="1">
        <v>44946</v>
      </c>
      <c r="T294" t="s">
        <v>2917</v>
      </c>
    </row>
    <row r="295" spans="1:20" x14ac:dyDescent="0.35">
      <c r="A295" s="1">
        <v>45111</v>
      </c>
      <c r="B295" t="s">
        <v>2931</v>
      </c>
      <c r="C295" t="s">
        <v>21</v>
      </c>
      <c r="D295" s="9">
        <v>17</v>
      </c>
      <c r="E295" s="7">
        <v>468.19</v>
      </c>
      <c r="F295" t="s">
        <v>29</v>
      </c>
      <c r="G295" t="s">
        <v>31</v>
      </c>
      <c r="H295" s="12">
        <v>0.05</v>
      </c>
      <c r="I295" t="s">
        <v>36</v>
      </c>
      <c r="J295" s="7">
        <f>Table2[[#This Row],[UnitPrice]]*Table2[[#This Row],[Quantity]]*(1-Table2[[#This Row],[Discount]])</f>
        <v>7561.2684999999992</v>
      </c>
      <c r="K295" t="s">
        <v>42</v>
      </c>
      <c r="L295" t="s">
        <v>2937</v>
      </c>
      <c r="M295">
        <v>0</v>
      </c>
      <c r="N295" t="s">
        <v>339</v>
      </c>
      <c r="O295" t="s">
        <v>1833</v>
      </c>
      <c r="P295" s="7">
        <v>13.84</v>
      </c>
      <c r="Q295" s="1">
        <v>45111</v>
      </c>
      <c r="R295">
        <f>WEEKNUM(Table2[[#This Row],[OrderDate]])</f>
        <v>27</v>
      </c>
      <c r="S295" s="1">
        <v>45114</v>
      </c>
      <c r="T295" t="s">
        <v>2919</v>
      </c>
    </row>
    <row r="296" spans="1:20" x14ac:dyDescent="0.35">
      <c r="A296" s="1">
        <v>45724</v>
      </c>
      <c r="B296" t="s">
        <v>2934</v>
      </c>
      <c r="C296" t="s">
        <v>23</v>
      </c>
      <c r="D296" s="9">
        <v>9</v>
      </c>
      <c r="E296" s="7">
        <v>8.81</v>
      </c>
      <c r="F296" t="s">
        <v>29</v>
      </c>
      <c r="G296" t="s">
        <v>31</v>
      </c>
      <c r="H296" s="12">
        <v>0.15</v>
      </c>
      <c r="I296" t="s">
        <v>33</v>
      </c>
      <c r="J296" s="7">
        <f>Table2[[#This Row],[UnitPrice]]*Table2[[#This Row],[Quantity]]*(1-Table2[[#This Row],[Discount]])</f>
        <v>67.396500000000003</v>
      </c>
      <c r="K296" t="s">
        <v>38</v>
      </c>
      <c r="L296" t="s">
        <v>44</v>
      </c>
      <c r="M296">
        <v>0</v>
      </c>
      <c r="N296" t="s">
        <v>340</v>
      </c>
      <c r="O296" t="s">
        <v>1834</v>
      </c>
      <c r="P296" s="7">
        <v>42.7</v>
      </c>
      <c r="Q296" s="1">
        <v>45724</v>
      </c>
      <c r="R296">
        <f>WEEKNUM(Table2[[#This Row],[OrderDate]])</f>
        <v>10</v>
      </c>
      <c r="S296" s="1">
        <v>45734</v>
      </c>
      <c r="T296" t="s">
        <v>2920</v>
      </c>
    </row>
    <row r="297" spans="1:20" x14ac:dyDescent="0.35">
      <c r="A297" s="1">
        <v>45698</v>
      </c>
      <c r="B297" t="s">
        <v>2932</v>
      </c>
      <c r="C297" t="s">
        <v>22</v>
      </c>
      <c r="D297" s="9">
        <v>6</v>
      </c>
      <c r="E297" s="7">
        <v>521.1</v>
      </c>
      <c r="F297" t="s">
        <v>27</v>
      </c>
      <c r="G297" t="s">
        <v>30</v>
      </c>
      <c r="H297" s="12">
        <v>0.15</v>
      </c>
      <c r="I297" t="s">
        <v>34</v>
      </c>
      <c r="J297" s="7">
        <f>Table2[[#This Row],[UnitPrice]]*Table2[[#This Row],[Quantity]]*(1-Table2[[#This Row],[Discount]])</f>
        <v>2657.61</v>
      </c>
      <c r="K297" t="s">
        <v>42</v>
      </c>
      <c r="L297" t="s">
        <v>2937</v>
      </c>
      <c r="M297">
        <v>0</v>
      </c>
      <c r="N297" t="s">
        <v>341</v>
      </c>
      <c r="O297" t="s">
        <v>1835</v>
      </c>
      <c r="P297" s="7">
        <v>31.14</v>
      </c>
      <c r="Q297" s="1">
        <v>45698</v>
      </c>
      <c r="R297">
        <f>WEEKNUM(Table2[[#This Row],[OrderDate]])</f>
        <v>7</v>
      </c>
      <c r="S297" s="1">
        <v>45700</v>
      </c>
      <c r="T297" t="s">
        <v>2918</v>
      </c>
    </row>
    <row r="298" spans="1:20" x14ac:dyDescent="0.35">
      <c r="A298" s="1">
        <v>45733</v>
      </c>
      <c r="B298" t="s">
        <v>2933</v>
      </c>
      <c r="C298" t="s">
        <v>23</v>
      </c>
      <c r="D298" s="9">
        <v>10</v>
      </c>
      <c r="E298" s="7">
        <v>289.91000000000003</v>
      </c>
      <c r="F298" t="s">
        <v>28</v>
      </c>
      <c r="G298" t="s">
        <v>31</v>
      </c>
      <c r="H298" s="12">
        <v>0.1</v>
      </c>
      <c r="I298" t="s">
        <v>36</v>
      </c>
      <c r="J298" s="7">
        <f>Table2[[#This Row],[UnitPrice]]*Table2[[#This Row],[Quantity]]*(1-Table2[[#This Row],[Discount]])</f>
        <v>2609.1900000000005</v>
      </c>
      <c r="K298" t="s">
        <v>42</v>
      </c>
      <c r="L298" t="s">
        <v>44</v>
      </c>
      <c r="M298">
        <v>0</v>
      </c>
      <c r="N298" t="s">
        <v>342</v>
      </c>
      <c r="O298" t="s">
        <v>1836</v>
      </c>
      <c r="P298" s="7">
        <v>32.96</v>
      </c>
      <c r="Q298" s="1">
        <v>45733</v>
      </c>
      <c r="R298">
        <f>WEEKNUM(Table2[[#This Row],[OrderDate]])</f>
        <v>12</v>
      </c>
      <c r="S298" s="1">
        <v>45737</v>
      </c>
      <c r="T298" t="s">
        <v>2921</v>
      </c>
    </row>
    <row r="299" spans="1:20" x14ac:dyDescent="0.35">
      <c r="A299" s="1">
        <v>45239</v>
      </c>
      <c r="B299" t="s">
        <v>2930</v>
      </c>
      <c r="C299" t="s">
        <v>25</v>
      </c>
      <c r="D299" s="9">
        <v>3</v>
      </c>
      <c r="E299" s="7">
        <v>142.27000000000001</v>
      </c>
      <c r="F299" t="s">
        <v>29</v>
      </c>
      <c r="G299" t="s">
        <v>31</v>
      </c>
      <c r="H299" s="12">
        <v>0.05</v>
      </c>
      <c r="I299" t="s">
        <v>37</v>
      </c>
      <c r="J299" s="7">
        <f>Table2[[#This Row],[UnitPrice]]*Table2[[#This Row],[Quantity]]*(1-Table2[[#This Row],[Discount]])</f>
        <v>405.46950000000004</v>
      </c>
      <c r="K299" t="s">
        <v>38</v>
      </c>
      <c r="L299" t="s">
        <v>44</v>
      </c>
      <c r="M299">
        <v>0</v>
      </c>
      <c r="N299" t="s">
        <v>343</v>
      </c>
      <c r="O299" t="s">
        <v>1837</v>
      </c>
      <c r="P299" s="7">
        <v>32.799999999999997</v>
      </c>
      <c r="Q299" s="1">
        <v>45239</v>
      </c>
      <c r="R299">
        <f>WEEKNUM(Table2[[#This Row],[OrderDate]])</f>
        <v>45</v>
      </c>
      <c r="S299" s="1">
        <v>45245</v>
      </c>
      <c r="T299" t="s">
        <v>2917</v>
      </c>
    </row>
    <row r="300" spans="1:20" x14ac:dyDescent="0.35">
      <c r="A300" s="1">
        <v>45260</v>
      </c>
      <c r="B300" t="s">
        <v>2934</v>
      </c>
      <c r="C300" t="s">
        <v>25</v>
      </c>
      <c r="D300" s="9">
        <v>15</v>
      </c>
      <c r="E300" s="7">
        <v>354.09</v>
      </c>
      <c r="F300" t="s">
        <v>26</v>
      </c>
      <c r="G300" t="s">
        <v>31</v>
      </c>
      <c r="H300" s="12">
        <v>0.05</v>
      </c>
      <c r="I300" t="s">
        <v>35</v>
      </c>
      <c r="J300" s="7">
        <f>Table2[[#This Row],[UnitPrice]]*Table2[[#This Row],[Quantity]]*(1-Table2[[#This Row],[Discount]])</f>
        <v>5045.7824999999993</v>
      </c>
      <c r="K300" t="s">
        <v>38</v>
      </c>
      <c r="L300" t="s">
        <v>2937</v>
      </c>
      <c r="M300">
        <v>1</v>
      </c>
      <c r="N300" t="s">
        <v>344</v>
      </c>
      <c r="O300" t="s">
        <v>1838</v>
      </c>
      <c r="P300" s="7">
        <v>25.3</v>
      </c>
      <c r="Q300" s="1">
        <v>45260</v>
      </c>
      <c r="R300">
        <f>WEEKNUM(Table2[[#This Row],[OrderDate]])</f>
        <v>48</v>
      </c>
      <c r="S300" s="1">
        <v>45268</v>
      </c>
      <c r="T300" t="s">
        <v>2920</v>
      </c>
    </row>
    <row r="301" spans="1:20" x14ac:dyDescent="0.35">
      <c r="A301" s="1">
        <v>45519</v>
      </c>
      <c r="B301" t="s">
        <v>2932</v>
      </c>
      <c r="C301" t="s">
        <v>24</v>
      </c>
      <c r="D301" s="9">
        <v>20</v>
      </c>
      <c r="E301" s="7">
        <v>358.57</v>
      </c>
      <c r="F301" t="s">
        <v>26</v>
      </c>
      <c r="G301" t="s">
        <v>30</v>
      </c>
      <c r="H301" s="12">
        <v>0</v>
      </c>
      <c r="I301" t="s">
        <v>33</v>
      </c>
      <c r="J301" s="7">
        <f>Table2[[#This Row],[UnitPrice]]*Table2[[#This Row],[Quantity]]*(1-Table2[[#This Row],[Discount]])</f>
        <v>7171.4</v>
      </c>
      <c r="K301" t="s">
        <v>41</v>
      </c>
      <c r="L301" t="s">
        <v>43</v>
      </c>
      <c r="M301">
        <v>1</v>
      </c>
      <c r="N301" t="s">
        <v>345</v>
      </c>
      <c r="O301" t="s">
        <v>1839</v>
      </c>
      <c r="P301" s="7">
        <v>21.11</v>
      </c>
      <c r="Q301" s="1">
        <v>45519</v>
      </c>
      <c r="R301">
        <f>WEEKNUM(Table2[[#This Row],[OrderDate]])</f>
        <v>33</v>
      </c>
      <c r="S301" s="1">
        <v>45524</v>
      </c>
      <c r="T301" t="s">
        <v>2918</v>
      </c>
    </row>
    <row r="302" spans="1:20" x14ac:dyDescent="0.35">
      <c r="A302" s="1">
        <v>45006</v>
      </c>
      <c r="B302" t="s">
        <v>2933</v>
      </c>
      <c r="C302" t="s">
        <v>24</v>
      </c>
      <c r="D302" s="9">
        <v>16</v>
      </c>
      <c r="E302" s="7">
        <v>33.18</v>
      </c>
      <c r="F302" t="s">
        <v>28</v>
      </c>
      <c r="G302" t="s">
        <v>31</v>
      </c>
      <c r="H302" s="12">
        <v>0.05</v>
      </c>
      <c r="I302" t="s">
        <v>32</v>
      </c>
      <c r="J302" s="7">
        <f>Table2[[#This Row],[UnitPrice]]*Table2[[#This Row],[Quantity]]*(1-Table2[[#This Row],[Discount]])</f>
        <v>504.33599999999996</v>
      </c>
      <c r="K302" t="s">
        <v>38</v>
      </c>
      <c r="L302" t="s">
        <v>44</v>
      </c>
      <c r="M302">
        <v>0</v>
      </c>
      <c r="N302" t="s">
        <v>346</v>
      </c>
      <c r="O302" t="s">
        <v>1840</v>
      </c>
      <c r="P302" s="7">
        <v>22.94</v>
      </c>
      <c r="Q302" s="1">
        <v>45006</v>
      </c>
      <c r="R302">
        <f>WEEKNUM(Table2[[#This Row],[OrderDate]])</f>
        <v>12</v>
      </c>
      <c r="S302" s="1">
        <v>45011</v>
      </c>
      <c r="T302" t="s">
        <v>2921</v>
      </c>
    </row>
    <row r="303" spans="1:20" x14ac:dyDescent="0.35">
      <c r="A303" s="1">
        <v>45225</v>
      </c>
      <c r="B303" t="s">
        <v>2933</v>
      </c>
      <c r="C303" t="s">
        <v>23</v>
      </c>
      <c r="D303" s="9">
        <v>2</v>
      </c>
      <c r="E303" s="7">
        <v>124.4</v>
      </c>
      <c r="F303" t="s">
        <v>26</v>
      </c>
      <c r="G303" t="s">
        <v>31</v>
      </c>
      <c r="H303" s="12">
        <v>0</v>
      </c>
      <c r="I303" t="s">
        <v>32</v>
      </c>
      <c r="J303" s="7">
        <f>Table2[[#This Row],[UnitPrice]]*Table2[[#This Row],[Quantity]]*(1-Table2[[#This Row],[Discount]])</f>
        <v>248.8</v>
      </c>
      <c r="K303" t="s">
        <v>38</v>
      </c>
      <c r="L303" t="s">
        <v>2937</v>
      </c>
      <c r="M303">
        <v>0</v>
      </c>
      <c r="N303" t="s">
        <v>347</v>
      </c>
      <c r="O303" t="s">
        <v>1841</v>
      </c>
      <c r="P303" s="7">
        <v>37.049999999999997</v>
      </c>
      <c r="Q303" s="1">
        <v>45225</v>
      </c>
      <c r="R303">
        <f>WEEKNUM(Table2[[#This Row],[OrderDate]])</f>
        <v>43</v>
      </c>
      <c r="S303" s="1">
        <v>45230</v>
      </c>
      <c r="T303" t="s">
        <v>2921</v>
      </c>
    </row>
    <row r="304" spans="1:20" x14ac:dyDescent="0.35">
      <c r="A304" s="1">
        <v>45233</v>
      </c>
      <c r="B304" t="s">
        <v>2933</v>
      </c>
      <c r="C304" t="s">
        <v>20</v>
      </c>
      <c r="D304" s="9">
        <v>12</v>
      </c>
      <c r="E304" s="7">
        <v>17.760000000000002</v>
      </c>
      <c r="F304" t="s">
        <v>29</v>
      </c>
      <c r="G304" t="s">
        <v>31</v>
      </c>
      <c r="H304" s="12">
        <v>0.1</v>
      </c>
      <c r="I304" t="s">
        <v>35</v>
      </c>
      <c r="J304" s="7">
        <f>Table2[[#This Row],[UnitPrice]]*Table2[[#This Row],[Quantity]]*(1-Table2[[#This Row],[Discount]])</f>
        <v>191.80800000000002</v>
      </c>
      <c r="K304" t="s">
        <v>38</v>
      </c>
      <c r="L304" t="s">
        <v>43</v>
      </c>
      <c r="M304">
        <v>0</v>
      </c>
      <c r="N304" t="s">
        <v>348</v>
      </c>
      <c r="O304" t="s">
        <v>1842</v>
      </c>
      <c r="P304" s="7">
        <v>12.18</v>
      </c>
      <c r="Q304" s="1">
        <v>45233</v>
      </c>
      <c r="R304">
        <f>WEEKNUM(Table2[[#This Row],[OrderDate]])</f>
        <v>44</v>
      </c>
      <c r="S304" s="1">
        <v>45241</v>
      </c>
      <c r="T304" t="s">
        <v>2921</v>
      </c>
    </row>
    <row r="305" spans="1:20" x14ac:dyDescent="0.35">
      <c r="A305" s="1">
        <v>45687</v>
      </c>
      <c r="B305" t="s">
        <v>2931</v>
      </c>
      <c r="C305" t="s">
        <v>22</v>
      </c>
      <c r="D305" s="9">
        <v>16</v>
      </c>
      <c r="E305" s="7">
        <v>345.53</v>
      </c>
      <c r="F305" t="s">
        <v>28</v>
      </c>
      <c r="G305" t="s">
        <v>31</v>
      </c>
      <c r="H305" s="12">
        <v>0.15</v>
      </c>
      <c r="I305" t="s">
        <v>34</v>
      </c>
      <c r="J305" s="7">
        <f>Table2[[#This Row],[UnitPrice]]*Table2[[#This Row],[Quantity]]*(1-Table2[[#This Row],[Discount]])</f>
        <v>4699.2079999999996</v>
      </c>
      <c r="K305" t="s">
        <v>39</v>
      </c>
      <c r="L305" t="s">
        <v>44</v>
      </c>
      <c r="M305">
        <v>0</v>
      </c>
      <c r="N305" t="s">
        <v>349</v>
      </c>
      <c r="O305" t="s">
        <v>1843</v>
      </c>
      <c r="P305" s="7">
        <v>13.43</v>
      </c>
      <c r="Q305" s="1">
        <v>45687</v>
      </c>
      <c r="R305">
        <f>WEEKNUM(Table2[[#This Row],[OrderDate]])</f>
        <v>5</v>
      </c>
      <c r="S305" s="1">
        <v>45693</v>
      </c>
      <c r="T305" t="s">
        <v>2919</v>
      </c>
    </row>
    <row r="306" spans="1:20" x14ac:dyDescent="0.35">
      <c r="A306" s="1">
        <v>45316</v>
      </c>
      <c r="B306" t="s">
        <v>2933</v>
      </c>
      <c r="C306" t="s">
        <v>19</v>
      </c>
      <c r="D306" s="9">
        <v>13</v>
      </c>
      <c r="E306" s="7">
        <v>453.48</v>
      </c>
      <c r="F306" t="s">
        <v>27</v>
      </c>
      <c r="G306" t="s">
        <v>30</v>
      </c>
      <c r="H306" s="12">
        <v>0.05</v>
      </c>
      <c r="I306" t="s">
        <v>33</v>
      </c>
      <c r="J306" s="7">
        <f>Table2[[#This Row],[UnitPrice]]*Table2[[#This Row],[Quantity]]*(1-Table2[[#This Row],[Discount]])</f>
        <v>5600.4779999999992</v>
      </c>
      <c r="K306" t="s">
        <v>39</v>
      </c>
      <c r="L306" t="s">
        <v>44</v>
      </c>
      <c r="M306">
        <v>0</v>
      </c>
      <c r="N306" t="s">
        <v>350</v>
      </c>
      <c r="O306" t="s">
        <v>1844</v>
      </c>
      <c r="P306" s="7">
        <v>46.28</v>
      </c>
      <c r="Q306" s="1">
        <v>45316</v>
      </c>
      <c r="R306">
        <f>WEEKNUM(Table2[[#This Row],[OrderDate]])</f>
        <v>4</v>
      </c>
      <c r="S306" s="1">
        <v>45325</v>
      </c>
      <c r="T306" t="s">
        <v>2921</v>
      </c>
    </row>
    <row r="307" spans="1:20" x14ac:dyDescent="0.35">
      <c r="A307" s="1">
        <v>45745</v>
      </c>
      <c r="B307" t="s">
        <v>2932</v>
      </c>
      <c r="C307" t="s">
        <v>19</v>
      </c>
      <c r="D307" s="9">
        <v>10</v>
      </c>
      <c r="E307" s="7">
        <v>277.74</v>
      </c>
      <c r="F307" t="s">
        <v>26</v>
      </c>
      <c r="G307" t="s">
        <v>31</v>
      </c>
      <c r="H307" s="12">
        <v>0.15</v>
      </c>
      <c r="I307" t="s">
        <v>35</v>
      </c>
      <c r="J307" s="7">
        <f>Table2[[#This Row],[UnitPrice]]*Table2[[#This Row],[Quantity]]*(1-Table2[[#This Row],[Discount]])</f>
        <v>2360.79</v>
      </c>
      <c r="K307" t="s">
        <v>39</v>
      </c>
      <c r="L307" t="s">
        <v>44</v>
      </c>
      <c r="M307">
        <v>1</v>
      </c>
      <c r="N307" t="s">
        <v>351</v>
      </c>
      <c r="O307" t="s">
        <v>1845</v>
      </c>
      <c r="P307" s="7">
        <v>35.020000000000003</v>
      </c>
      <c r="Q307" s="1">
        <v>45745</v>
      </c>
      <c r="R307">
        <f>WEEKNUM(Table2[[#This Row],[OrderDate]])</f>
        <v>13</v>
      </c>
      <c r="S307" s="1">
        <v>45749</v>
      </c>
      <c r="T307" t="s">
        <v>2918</v>
      </c>
    </row>
    <row r="308" spans="1:20" x14ac:dyDescent="0.35">
      <c r="A308" s="1">
        <v>45598</v>
      </c>
      <c r="B308" t="s">
        <v>2934</v>
      </c>
      <c r="C308" t="s">
        <v>22</v>
      </c>
      <c r="D308" s="9">
        <v>16</v>
      </c>
      <c r="E308" s="7">
        <v>89.76</v>
      </c>
      <c r="F308" t="s">
        <v>27</v>
      </c>
      <c r="G308" t="s">
        <v>30</v>
      </c>
      <c r="H308" s="12">
        <v>0</v>
      </c>
      <c r="I308" t="s">
        <v>33</v>
      </c>
      <c r="J308" s="7">
        <f>Table2[[#This Row],[UnitPrice]]*Table2[[#This Row],[Quantity]]*(1-Table2[[#This Row],[Discount]])</f>
        <v>1436.16</v>
      </c>
      <c r="K308" t="s">
        <v>41</v>
      </c>
      <c r="L308" t="s">
        <v>45</v>
      </c>
      <c r="M308">
        <v>1</v>
      </c>
      <c r="N308" t="s">
        <v>352</v>
      </c>
      <c r="O308" t="s">
        <v>1846</v>
      </c>
      <c r="P308" s="7">
        <v>44.69</v>
      </c>
      <c r="Q308" s="1">
        <v>45598</v>
      </c>
      <c r="R308">
        <f>WEEKNUM(Table2[[#This Row],[OrderDate]])</f>
        <v>44</v>
      </c>
      <c r="S308" s="1">
        <v>45605</v>
      </c>
      <c r="T308" t="s">
        <v>2920</v>
      </c>
    </row>
    <row r="309" spans="1:20" x14ac:dyDescent="0.35">
      <c r="A309" s="1">
        <v>45473</v>
      </c>
      <c r="B309" t="s">
        <v>2934</v>
      </c>
      <c r="C309" t="s">
        <v>22</v>
      </c>
      <c r="D309" s="9">
        <v>11</v>
      </c>
      <c r="E309" s="7">
        <v>535.37</v>
      </c>
      <c r="F309" t="s">
        <v>29</v>
      </c>
      <c r="G309" t="s">
        <v>30</v>
      </c>
      <c r="H309" s="12">
        <v>0</v>
      </c>
      <c r="I309" t="s">
        <v>34</v>
      </c>
      <c r="J309" s="7">
        <f>Table2[[#This Row],[UnitPrice]]*Table2[[#This Row],[Quantity]]*(1-Table2[[#This Row],[Discount]])</f>
        <v>5889.07</v>
      </c>
      <c r="K309" t="s">
        <v>42</v>
      </c>
      <c r="L309" t="s">
        <v>2937</v>
      </c>
      <c r="M309">
        <v>0</v>
      </c>
      <c r="N309" t="s">
        <v>353</v>
      </c>
      <c r="O309" t="s">
        <v>1847</v>
      </c>
      <c r="P309" s="7">
        <v>35.96</v>
      </c>
      <c r="Q309" s="1">
        <v>45473</v>
      </c>
      <c r="R309">
        <f>WEEKNUM(Table2[[#This Row],[OrderDate]])</f>
        <v>27</v>
      </c>
      <c r="S309" s="1">
        <v>45482</v>
      </c>
      <c r="T309" t="s">
        <v>2920</v>
      </c>
    </row>
    <row r="310" spans="1:20" x14ac:dyDescent="0.35">
      <c r="A310" s="1">
        <v>44937</v>
      </c>
      <c r="B310" t="s">
        <v>2932</v>
      </c>
      <c r="C310" t="s">
        <v>24</v>
      </c>
      <c r="D310" s="9">
        <v>9</v>
      </c>
      <c r="E310" s="7">
        <v>15.58</v>
      </c>
      <c r="F310" t="s">
        <v>29</v>
      </c>
      <c r="G310" t="s">
        <v>31</v>
      </c>
      <c r="H310" s="12">
        <v>0.1</v>
      </c>
      <c r="I310" t="s">
        <v>34</v>
      </c>
      <c r="J310" s="7">
        <f>Table2[[#This Row],[UnitPrice]]*Table2[[#This Row],[Quantity]]*(1-Table2[[#This Row],[Discount]])</f>
        <v>126.19800000000001</v>
      </c>
      <c r="K310" t="s">
        <v>39</v>
      </c>
      <c r="L310" t="s">
        <v>43</v>
      </c>
      <c r="M310">
        <v>1</v>
      </c>
      <c r="N310" t="s">
        <v>354</v>
      </c>
      <c r="O310" t="s">
        <v>1848</v>
      </c>
      <c r="P310" s="7">
        <v>27.81</v>
      </c>
      <c r="Q310" s="1">
        <v>44937</v>
      </c>
      <c r="R310">
        <f>WEEKNUM(Table2[[#This Row],[OrderDate]])</f>
        <v>2</v>
      </c>
      <c r="S310" s="1">
        <v>44945</v>
      </c>
      <c r="T310" t="s">
        <v>2918</v>
      </c>
    </row>
    <row r="311" spans="1:20" x14ac:dyDescent="0.35">
      <c r="A311" s="1">
        <v>45813</v>
      </c>
      <c r="B311" t="s">
        <v>2931</v>
      </c>
      <c r="C311" t="s">
        <v>21</v>
      </c>
      <c r="D311" s="9">
        <v>13</v>
      </c>
      <c r="E311" s="7">
        <v>466.54</v>
      </c>
      <c r="F311" t="s">
        <v>28</v>
      </c>
      <c r="G311" t="s">
        <v>30</v>
      </c>
      <c r="H311" s="12">
        <v>0</v>
      </c>
      <c r="I311" t="s">
        <v>32</v>
      </c>
      <c r="J311" s="7">
        <f>Table2[[#This Row],[UnitPrice]]*Table2[[#This Row],[Quantity]]*(1-Table2[[#This Row],[Discount]])</f>
        <v>6065.02</v>
      </c>
      <c r="K311" t="s">
        <v>42</v>
      </c>
      <c r="L311" t="s">
        <v>43</v>
      </c>
      <c r="M311">
        <v>0</v>
      </c>
      <c r="N311" t="s">
        <v>355</v>
      </c>
      <c r="O311" t="s">
        <v>1849</v>
      </c>
      <c r="P311" s="7">
        <v>18.63</v>
      </c>
      <c r="Q311" s="1">
        <v>45813</v>
      </c>
      <c r="R311">
        <f>WEEKNUM(Table2[[#This Row],[OrderDate]])</f>
        <v>23</v>
      </c>
      <c r="S311" s="1">
        <v>45822</v>
      </c>
      <c r="T311" t="s">
        <v>2919</v>
      </c>
    </row>
    <row r="312" spans="1:20" x14ac:dyDescent="0.35">
      <c r="A312" s="1">
        <v>45372</v>
      </c>
      <c r="B312" t="s">
        <v>2931</v>
      </c>
      <c r="C312" t="s">
        <v>23</v>
      </c>
      <c r="D312" s="9">
        <v>16</v>
      </c>
      <c r="E312" s="7">
        <v>593</v>
      </c>
      <c r="F312" t="s">
        <v>29</v>
      </c>
      <c r="G312" t="s">
        <v>31</v>
      </c>
      <c r="H312" s="12">
        <v>0.1</v>
      </c>
      <c r="I312" t="s">
        <v>32</v>
      </c>
      <c r="J312" s="7">
        <f>Table2[[#This Row],[UnitPrice]]*Table2[[#This Row],[Quantity]]*(1-Table2[[#This Row],[Discount]])</f>
        <v>8539.2000000000007</v>
      </c>
      <c r="K312" t="s">
        <v>39</v>
      </c>
      <c r="L312" t="s">
        <v>44</v>
      </c>
      <c r="M312">
        <v>0</v>
      </c>
      <c r="N312" t="s">
        <v>356</v>
      </c>
      <c r="O312" t="s">
        <v>1850</v>
      </c>
      <c r="P312" s="7">
        <v>18.77</v>
      </c>
      <c r="Q312" s="1">
        <v>45372</v>
      </c>
      <c r="R312">
        <f>WEEKNUM(Table2[[#This Row],[OrderDate]])</f>
        <v>12</v>
      </c>
      <c r="S312" s="1">
        <v>45375</v>
      </c>
      <c r="T312" t="s">
        <v>2919</v>
      </c>
    </row>
    <row r="313" spans="1:20" x14ac:dyDescent="0.35">
      <c r="A313" s="1">
        <v>45169</v>
      </c>
      <c r="B313" t="s">
        <v>2932</v>
      </c>
      <c r="C313" t="s">
        <v>21</v>
      </c>
      <c r="D313" s="9">
        <v>6</v>
      </c>
      <c r="E313" s="7">
        <v>567.36</v>
      </c>
      <c r="F313" t="s">
        <v>28</v>
      </c>
      <c r="G313" t="s">
        <v>30</v>
      </c>
      <c r="H313" s="12">
        <v>0.05</v>
      </c>
      <c r="I313" t="s">
        <v>33</v>
      </c>
      <c r="J313" s="7">
        <f>Table2[[#This Row],[UnitPrice]]*Table2[[#This Row],[Quantity]]*(1-Table2[[#This Row],[Discount]])</f>
        <v>3233.9519999999998</v>
      </c>
      <c r="K313" t="s">
        <v>39</v>
      </c>
      <c r="L313" t="s">
        <v>45</v>
      </c>
      <c r="M313">
        <v>0</v>
      </c>
      <c r="N313" t="s">
        <v>357</v>
      </c>
      <c r="O313" t="s">
        <v>1851</v>
      </c>
      <c r="P313" s="7">
        <v>45.98</v>
      </c>
      <c r="Q313" s="1">
        <v>45169</v>
      </c>
      <c r="R313">
        <f>WEEKNUM(Table2[[#This Row],[OrderDate]])</f>
        <v>35</v>
      </c>
      <c r="S313" s="1">
        <v>45177</v>
      </c>
      <c r="T313" t="s">
        <v>2918</v>
      </c>
    </row>
    <row r="314" spans="1:20" x14ac:dyDescent="0.35">
      <c r="A314" s="1">
        <v>45572</v>
      </c>
      <c r="B314" t="s">
        <v>2932</v>
      </c>
      <c r="C314" t="s">
        <v>20</v>
      </c>
      <c r="D314" s="9">
        <v>17</v>
      </c>
      <c r="E314" s="7">
        <v>523.04</v>
      </c>
      <c r="F314" t="s">
        <v>27</v>
      </c>
      <c r="G314" t="s">
        <v>31</v>
      </c>
      <c r="H314" s="12">
        <v>0.05</v>
      </c>
      <c r="I314" t="s">
        <v>32</v>
      </c>
      <c r="J314" s="7">
        <f>Table2[[#This Row],[UnitPrice]]*Table2[[#This Row],[Quantity]]*(1-Table2[[#This Row],[Discount]])</f>
        <v>8447.0959999999995</v>
      </c>
      <c r="K314" t="s">
        <v>41</v>
      </c>
      <c r="L314" t="s">
        <v>43</v>
      </c>
      <c r="M314">
        <v>0</v>
      </c>
      <c r="N314" t="s">
        <v>358</v>
      </c>
      <c r="O314" t="s">
        <v>1852</v>
      </c>
      <c r="P314" s="7">
        <v>37.380000000000003</v>
      </c>
      <c r="Q314" s="1">
        <v>45572</v>
      </c>
      <c r="R314">
        <f>WEEKNUM(Table2[[#This Row],[OrderDate]])</f>
        <v>41</v>
      </c>
      <c r="S314" s="1">
        <v>45582</v>
      </c>
      <c r="T314" t="s">
        <v>2918</v>
      </c>
    </row>
    <row r="315" spans="1:20" x14ac:dyDescent="0.35">
      <c r="A315" s="1">
        <v>45028</v>
      </c>
      <c r="B315" t="s">
        <v>2931</v>
      </c>
      <c r="C315" t="s">
        <v>19</v>
      </c>
      <c r="D315" s="9">
        <v>17</v>
      </c>
      <c r="E315" s="7">
        <v>376.4</v>
      </c>
      <c r="F315" t="s">
        <v>28</v>
      </c>
      <c r="G315" t="s">
        <v>30</v>
      </c>
      <c r="H315" s="12">
        <v>0</v>
      </c>
      <c r="I315" t="s">
        <v>33</v>
      </c>
      <c r="J315" s="7">
        <f>Table2[[#This Row],[UnitPrice]]*Table2[[#This Row],[Quantity]]*(1-Table2[[#This Row],[Discount]])</f>
        <v>6398.7999999999993</v>
      </c>
      <c r="K315" t="s">
        <v>41</v>
      </c>
      <c r="L315" t="s">
        <v>43</v>
      </c>
      <c r="M315">
        <v>0</v>
      </c>
      <c r="N315" t="s">
        <v>359</v>
      </c>
      <c r="O315" t="s">
        <v>1853</v>
      </c>
      <c r="P315" s="7">
        <v>33.380000000000003</v>
      </c>
      <c r="Q315" s="1">
        <v>45028</v>
      </c>
      <c r="R315">
        <f>WEEKNUM(Table2[[#This Row],[OrderDate]])</f>
        <v>15</v>
      </c>
      <c r="S315" s="1">
        <v>45031</v>
      </c>
      <c r="T315" t="s">
        <v>2919</v>
      </c>
    </row>
    <row r="316" spans="1:20" x14ac:dyDescent="0.35">
      <c r="A316" s="1">
        <v>45236</v>
      </c>
      <c r="B316" t="s">
        <v>2932</v>
      </c>
      <c r="C316" t="s">
        <v>25</v>
      </c>
      <c r="D316" s="9">
        <v>5</v>
      </c>
      <c r="E316" s="7">
        <v>95.19</v>
      </c>
      <c r="F316" t="s">
        <v>27</v>
      </c>
      <c r="G316" t="s">
        <v>31</v>
      </c>
      <c r="H316" s="12">
        <v>0.15</v>
      </c>
      <c r="I316" t="s">
        <v>34</v>
      </c>
      <c r="J316" s="7">
        <f>Table2[[#This Row],[UnitPrice]]*Table2[[#This Row],[Quantity]]*(1-Table2[[#This Row],[Discount]])</f>
        <v>404.5575</v>
      </c>
      <c r="K316" t="s">
        <v>40</v>
      </c>
      <c r="L316" t="s">
        <v>45</v>
      </c>
      <c r="M316">
        <v>0</v>
      </c>
      <c r="N316" t="s">
        <v>360</v>
      </c>
      <c r="O316" t="s">
        <v>1854</v>
      </c>
      <c r="P316" s="7">
        <v>48.55</v>
      </c>
      <c r="Q316" s="1">
        <v>45236</v>
      </c>
      <c r="R316">
        <f>WEEKNUM(Table2[[#This Row],[OrderDate]])</f>
        <v>45</v>
      </c>
      <c r="S316" s="1">
        <v>45246</v>
      </c>
      <c r="T316" t="s">
        <v>2918</v>
      </c>
    </row>
    <row r="317" spans="1:20" x14ac:dyDescent="0.35">
      <c r="A317" s="1">
        <v>45044</v>
      </c>
      <c r="B317" t="s">
        <v>2933</v>
      </c>
      <c r="C317" t="s">
        <v>21</v>
      </c>
      <c r="D317" s="9">
        <v>2</v>
      </c>
      <c r="E317" s="7">
        <v>210.71</v>
      </c>
      <c r="F317" t="s">
        <v>29</v>
      </c>
      <c r="G317" t="s">
        <v>30</v>
      </c>
      <c r="H317" s="12">
        <v>0.15</v>
      </c>
      <c r="I317" t="s">
        <v>36</v>
      </c>
      <c r="J317" s="7">
        <f>Table2[[#This Row],[UnitPrice]]*Table2[[#This Row],[Quantity]]*(1-Table2[[#This Row],[Discount]])</f>
        <v>358.20699999999999</v>
      </c>
      <c r="K317" t="s">
        <v>40</v>
      </c>
      <c r="L317" t="s">
        <v>44</v>
      </c>
      <c r="M317">
        <v>0</v>
      </c>
      <c r="N317" t="s">
        <v>361</v>
      </c>
      <c r="O317" t="s">
        <v>1855</v>
      </c>
      <c r="P317" s="7">
        <v>7.78</v>
      </c>
      <c r="Q317" s="1">
        <v>45044</v>
      </c>
      <c r="R317">
        <f>WEEKNUM(Table2[[#This Row],[OrderDate]])</f>
        <v>17</v>
      </c>
      <c r="S317" s="1">
        <v>45054</v>
      </c>
      <c r="T317" t="s">
        <v>2921</v>
      </c>
    </row>
    <row r="318" spans="1:20" x14ac:dyDescent="0.35">
      <c r="A318" s="1">
        <v>45278</v>
      </c>
      <c r="B318" t="s">
        <v>2933</v>
      </c>
      <c r="C318" t="s">
        <v>25</v>
      </c>
      <c r="D318" s="9">
        <v>7</v>
      </c>
      <c r="E318" s="7">
        <v>393.39</v>
      </c>
      <c r="F318" t="s">
        <v>26</v>
      </c>
      <c r="G318" t="s">
        <v>31</v>
      </c>
      <c r="H318" s="12">
        <v>0.1</v>
      </c>
      <c r="I318" t="s">
        <v>33</v>
      </c>
      <c r="J318" s="7">
        <f>Table2[[#This Row],[UnitPrice]]*Table2[[#This Row],[Quantity]]*(1-Table2[[#This Row],[Discount]])</f>
        <v>2478.357</v>
      </c>
      <c r="K318" t="s">
        <v>42</v>
      </c>
      <c r="L318" t="s">
        <v>44</v>
      </c>
      <c r="M318">
        <v>0</v>
      </c>
      <c r="N318" t="s">
        <v>362</v>
      </c>
      <c r="O318" t="s">
        <v>1856</v>
      </c>
      <c r="P318" s="7">
        <v>34.35</v>
      </c>
      <c r="Q318" s="1">
        <v>45278</v>
      </c>
      <c r="R318">
        <f>WEEKNUM(Table2[[#This Row],[OrderDate]])</f>
        <v>51</v>
      </c>
      <c r="S318" s="1">
        <v>45281</v>
      </c>
      <c r="T318" t="s">
        <v>2921</v>
      </c>
    </row>
    <row r="319" spans="1:20" x14ac:dyDescent="0.35">
      <c r="A319" s="1">
        <v>45575</v>
      </c>
      <c r="B319" t="s">
        <v>2932</v>
      </c>
      <c r="C319" t="s">
        <v>20</v>
      </c>
      <c r="D319" s="9">
        <v>13</v>
      </c>
      <c r="E319" s="7">
        <v>114.03</v>
      </c>
      <c r="F319" t="s">
        <v>27</v>
      </c>
      <c r="G319" t="s">
        <v>31</v>
      </c>
      <c r="H319" s="12">
        <v>0</v>
      </c>
      <c r="I319" t="s">
        <v>37</v>
      </c>
      <c r="J319" s="7">
        <f>Table2[[#This Row],[UnitPrice]]*Table2[[#This Row],[Quantity]]*(1-Table2[[#This Row],[Discount]])</f>
        <v>1482.39</v>
      </c>
      <c r="K319" t="s">
        <v>42</v>
      </c>
      <c r="L319" t="s">
        <v>2937</v>
      </c>
      <c r="M319">
        <v>0</v>
      </c>
      <c r="N319" t="s">
        <v>363</v>
      </c>
      <c r="O319" t="s">
        <v>1857</v>
      </c>
      <c r="P319" s="7">
        <v>43.81</v>
      </c>
      <c r="Q319" s="1">
        <v>45575</v>
      </c>
      <c r="R319">
        <f>WEEKNUM(Table2[[#This Row],[OrderDate]])</f>
        <v>41</v>
      </c>
      <c r="S319" s="1">
        <v>45581</v>
      </c>
      <c r="T319" t="s">
        <v>2918</v>
      </c>
    </row>
    <row r="320" spans="1:20" x14ac:dyDescent="0.35">
      <c r="A320" s="1">
        <v>44962</v>
      </c>
      <c r="B320" t="s">
        <v>2931</v>
      </c>
      <c r="C320" t="s">
        <v>24</v>
      </c>
      <c r="D320" s="9">
        <v>18</v>
      </c>
      <c r="E320" s="7">
        <v>336.48</v>
      </c>
      <c r="F320" t="s">
        <v>26</v>
      </c>
      <c r="G320" t="s">
        <v>31</v>
      </c>
      <c r="H320" s="12">
        <v>0</v>
      </c>
      <c r="I320" t="s">
        <v>34</v>
      </c>
      <c r="J320" s="7">
        <f>Table2[[#This Row],[UnitPrice]]*Table2[[#This Row],[Quantity]]*(1-Table2[[#This Row],[Discount]])</f>
        <v>6056.64</v>
      </c>
      <c r="K320" t="s">
        <v>38</v>
      </c>
      <c r="L320" t="s">
        <v>45</v>
      </c>
      <c r="M320">
        <v>0</v>
      </c>
      <c r="N320" t="s">
        <v>364</v>
      </c>
      <c r="O320" t="s">
        <v>1858</v>
      </c>
      <c r="P320" s="7">
        <v>18.59</v>
      </c>
      <c r="Q320" s="1">
        <v>44962</v>
      </c>
      <c r="R320">
        <f>WEEKNUM(Table2[[#This Row],[OrderDate]])</f>
        <v>6</v>
      </c>
      <c r="S320" s="1">
        <v>44964</v>
      </c>
      <c r="T320" t="s">
        <v>2919</v>
      </c>
    </row>
    <row r="321" spans="1:20" x14ac:dyDescent="0.35">
      <c r="A321" s="1">
        <v>45508</v>
      </c>
      <c r="B321" t="s">
        <v>2934</v>
      </c>
      <c r="C321" t="s">
        <v>23</v>
      </c>
      <c r="D321" s="9">
        <v>9</v>
      </c>
      <c r="E321" s="7">
        <v>24.44</v>
      </c>
      <c r="F321" t="s">
        <v>28</v>
      </c>
      <c r="G321" t="s">
        <v>30</v>
      </c>
      <c r="H321" s="12">
        <v>0.15</v>
      </c>
      <c r="I321" t="s">
        <v>32</v>
      </c>
      <c r="J321" s="7">
        <f>Table2[[#This Row],[UnitPrice]]*Table2[[#This Row],[Quantity]]*(1-Table2[[#This Row],[Discount]])</f>
        <v>186.96600000000001</v>
      </c>
      <c r="K321" t="s">
        <v>39</v>
      </c>
      <c r="L321" t="s">
        <v>44</v>
      </c>
      <c r="M321">
        <v>1</v>
      </c>
      <c r="N321" t="s">
        <v>365</v>
      </c>
      <c r="O321" t="s">
        <v>1859</v>
      </c>
      <c r="P321" s="7">
        <v>22.06</v>
      </c>
      <c r="Q321" s="1">
        <v>45508</v>
      </c>
      <c r="R321">
        <f>WEEKNUM(Table2[[#This Row],[OrderDate]])</f>
        <v>32</v>
      </c>
      <c r="S321" s="1">
        <v>45518</v>
      </c>
      <c r="T321" t="s">
        <v>2920</v>
      </c>
    </row>
    <row r="322" spans="1:20" x14ac:dyDescent="0.35">
      <c r="A322" s="1">
        <v>45588</v>
      </c>
      <c r="B322" t="s">
        <v>2934</v>
      </c>
      <c r="C322" t="s">
        <v>24</v>
      </c>
      <c r="D322" s="9">
        <v>12</v>
      </c>
      <c r="E322" s="7">
        <v>352.2</v>
      </c>
      <c r="F322" t="s">
        <v>27</v>
      </c>
      <c r="G322" t="s">
        <v>31</v>
      </c>
      <c r="H322" s="12">
        <v>0.05</v>
      </c>
      <c r="I322" t="s">
        <v>32</v>
      </c>
      <c r="J322" s="7">
        <f>Table2[[#This Row],[UnitPrice]]*Table2[[#This Row],[Quantity]]*(1-Table2[[#This Row],[Discount]])</f>
        <v>4015.0799999999995</v>
      </c>
      <c r="K322" t="s">
        <v>40</v>
      </c>
      <c r="L322" t="s">
        <v>45</v>
      </c>
      <c r="M322">
        <v>0</v>
      </c>
      <c r="N322" t="s">
        <v>366</v>
      </c>
      <c r="O322" t="s">
        <v>1860</v>
      </c>
      <c r="P322" s="7">
        <v>18.39</v>
      </c>
      <c r="Q322" s="1">
        <v>45588</v>
      </c>
      <c r="R322">
        <f>WEEKNUM(Table2[[#This Row],[OrderDate]])</f>
        <v>43</v>
      </c>
      <c r="S322" s="1">
        <v>45597</v>
      </c>
      <c r="T322" t="s">
        <v>2920</v>
      </c>
    </row>
    <row r="323" spans="1:20" x14ac:dyDescent="0.35">
      <c r="A323" s="1">
        <v>45335</v>
      </c>
      <c r="B323" t="s">
        <v>2933</v>
      </c>
      <c r="C323" t="s">
        <v>23</v>
      </c>
      <c r="D323" s="9">
        <v>7</v>
      </c>
      <c r="E323" s="7">
        <v>353.99</v>
      </c>
      <c r="F323" t="s">
        <v>28</v>
      </c>
      <c r="G323" t="s">
        <v>30</v>
      </c>
      <c r="H323" s="12">
        <v>0.05</v>
      </c>
      <c r="I323" t="s">
        <v>35</v>
      </c>
      <c r="J323" s="7">
        <f>Table2[[#This Row],[UnitPrice]]*Table2[[#This Row],[Quantity]]*(1-Table2[[#This Row],[Discount]])</f>
        <v>2354.0335</v>
      </c>
      <c r="K323" t="s">
        <v>39</v>
      </c>
      <c r="L323" t="s">
        <v>43</v>
      </c>
      <c r="M323">
        <v>0</v>
      </c>
      <c r="N323" t="s">
        <v>367</v>
      </c>
      <c r="O323" t="s">
        <v>1861</v>
      </c>
      <c r="P323" s="7">
        <v>5.93</v>
      </c>
      <c r="Q323" s="1">
        <v>45335</v>
      </c>
      <c r="R323">
        <f>WEEKNUM(Table2[[#This Row],[OrderDate]])</f>
        <v>7</v>
      </c>
      <c r="S323" s="1">
        <v>45342</v>
      </c>
      <c r="T323" t="s">
        <v>2921</v>
      </c>
    </row>
    <row r="324" spans="1:20" x14ac:dyDescent="0.35">
      <c r="A324" s="1">
        <v>45446</v>
      </c>
      <c r="B324" t="s">
        <v>2932</v>
      </c>
      <c r="C324" t="s">
        <v>24</v>
      </c>
      <c r="D324" s="9">
        <v>15</v>
      </c>
      <c r="E324" s="7">
        <v>10.220000000000001</v>
      </c>
      <c r="F324" t="s">
        <v>28</v>
      </c>
      <c r="G324" t="s">
        <v>31</v>
      </c>
      <c r="H324" s="12">
        <v>0</v>
      </c>
      <c r="I324" t="s">
        <v>33</v>
      </c>
      <c r="J324" s="7">
        <f>Table2[[#This Row],[UnitPrice]]*Table2[[#This Row],[Quantity]]*(1-Table2[[#This Row],[Discount]])</f>
        <v>153.30000000000001</v>
      </c>
      <c r="K324" t="s">
        <v>39</v>
      </c>
      <c r="L324" t="s">
        <v>43</v>
      </c>
      <c r="M324">
        <v>0</v>
      </c>
      <c r="N324" t="s">
        <v>368</v>
      </c>
      <c r="O324" t="s">
        <v>1862</v>
      </c>
      <c r="P324" s="7">
        <v>36.270000000000003</v>
      </c>
      <c r="Q324" s="1">
        <v>45446</v>
      </c>
      <c r="R324">
        <f>WEEKNUM(Table2[[#This Row],[OrderDate]])</f>
        <v>23</v>
      </c>
      <c r="S324" s="1">
        <v>45450</v>
      </c>
      <c r="T324" t="s">
        <v>2918</v>
      </c>
    </row>
    <row r="325" spans="1:20" x14ac:dyDescent="0.35">
      <c r="A325" s="1">
        <v>45030</v>
      </c>
      <c r="B325" t="s">
        <v>2932</v>
      </c>
      <c r="C325" t="s">
        <v>25</v>
      </c>
      <c r="D325" s="9">
        <v>17</v>
      </c>
      <c r="E325" s="7">
        <v>464.16</v>
      </c>
      <c r="F325" t="s">
        <v>27</v>
      </c>
      <c r="G325" t="s">
        <v>31</v>
      </c>
      <c r="H325" s="12">
        <v>0.15</v>
      </c>
      <c r="I325" t="s">
        <v>35</v>
      </c>
      <c r="J325" s="7">
        <f>Table2[[#This Row],[UnitPrice]]*Table2[[#This Row],[Quantity]]*(1-Table2[[#This Row],[Discount]])</f>
        <v>6707.1120000000001</v>
      </c>
      <c r="K325" t="s">
        <v>41</v>
      </c>
      <c r="L325" t="s">
        <v>43</v>
      </c>
      <c r="M325">
        <v>1</v>
      </c>
      <c r="N325" t="s">
        <v>369</v>
      </c>
      <c r="O325" t="s">
        <v>1863</v>
      </c>
      <c r="P325" s="7">
        <v>46.83</v>
      </c>
      <c r="Q325" s="1">
        <v>45030</v>
      </c>
      <c r="R325">
        <f>WEEKNUM(Table2[[#This Row],[OrderDate]])</f>
        <v>15</v>
      </c>
      <c r="S325" s="1">
        <v>45034</v>
      </c>
      <c r="T325" t="s">
        <v>2918</v>
      </c>
    </row>
    <row r="326" spans="1:20" x14ac:dyDescent="0.35">
      <c r="A326" s="1">
        <v>45584</v>
      </c>
      <c r="B326" t="s">
        <v>2934</v>
      </c>
      <c r="C326" t="s">
        <v>19</v>
      </c>
      <c r="D326" s="9">
        <v>16</v>
      </c>
      <c r="E326" s="7">
        <v>436.31</v>
      </c>
      <c r="F326" t="s">
        <v>28</v>
      </c>
      <c r="G326" t="s">
        <v>31</v>
      </c>
      <c r="H326" s="12">
        <v>0.05</v>
      </c>
      <c r="I326" t="s">
        <v>36</v>
      </c>
      <c r="J326" s="7">
        <f>Table2[[#This Row],[UnitPrice]]*Table2[[#This Row],[Quantity]]*(1-Table2[[#This Row],[Discount]])</f>
        <v>6631.9119999999994</v>
      </c>
      <c r="K326" t="s">
        <v>38</v>
      </c>
      <c r="L326" t="s">
        <v>2937</v>
      </c>
      <c r="M326">
        <v>0</v>
      </c>
      <c r="N326" t="s">
        <v>370</v>
      </c>
      <c r="O326" t="s">
        <v>1864</v>
      </c>
      <c r="P326" s="7">
        <v>47.61</v>
      </c>
      <c r="Q326" s="1">
        <v>45584</v>
      </c>
      <c r="R326">
        <f>WEEKNUM(Table2[[#This Row],[OrderDate]])</f>
        <v>42</v>
      </c>
      <c r="S326" s="1">
        <v>45588</v>
      </c>
      <c r="T326" t="s">
        <v>2920</v>
      </c>
    </row>
    <row r="327" spans="1:20" x14ac:dyDescent="0.35">
      <c r="A327" s="1">
        <v>45278</v>
      </c>
      <c r="B327" t="s">
        <v>2932</v>
      </c>
      <c r="C327" t="s">
        <v>19</v>
      </c>
      <c r="D327" s="9">
        <v>9</v>
      </c>
      <c r="E327" s="7">
        <v>219.93</v>
      </c>
      <c r="F327" t="s">
        <v>26</v>
      </c>
      <c r="G327" t="s">
        <v>30</v>
      </c>
      <c r="H327" s="12">
        <v>0.05</v>
      </c>
      <c r="I327" t="s">
        <v>37</v>
      </c>
      <c r="J327" s="7">
        <f>Table2[[#This Row],[UnitPrice]]*Table2[[#This Row],[Quantity]]*(1-Table2[[#This Row],[Discount]])</f>
        <v>1880.4014999999999</v>
      </c>
      <c r="K327" t="s">
        <v>39</v>
      </c>
      <c r="L327" t="s">
        <v>43</v>
      </c>
      <c r="M327">
        <v>0</v>
      </c>
      <c r="N327" t="s">
        <v>371</v>
      </c>
      <c r="O327" t="s">
        <v>1865</v>
      </c>
      <c r="P327" s="7">
        <v>44.78</v>
      </c>
      <c r="Q327" s="1">
        <v>45278</v>
      </c>
      <c r="R327">
        <f>WEEKNUM(Table2[[#This Row],[OrderDate]])</f>
        <v>51</v>
      </c>
      <c r="S327" s="1">
        <v>45282</v>
      </c>
      <c r="T327" t="s">
        <v>2918</v>
      </c>
    </row>
    <row r="328" spans="1:20" x14ac:dyDescent="0.35">
      <c r="A328" s="1">
        <v>45169</v>
      </c>
      <c r="B328" t="s">
        <v>2931</v>
      </c>
      <c r="C328" t="s">
        <v>19</v>
      </c>
      <c r="D328" s="9">
        <v>5</v>
      </c>
      <c r="E328" s="7">
        <v>311.22000000000003</v>
      </c>
      <c r="F328" t="s">
        <v>27</v>
      </c>
      <c r="G328" t="s">
        <v>30</v>
      </c>
      <c r="H328" s="12">
        <v>0.15</v>
      </c>
      <c r="I328" t="s">
        <v>36</v>
      </c>
      <c r="J328" s="7">
        <f>Table2[[#This Row],[UnitPrice]]*Table2[[#This Row],[Quantity]]*(1-Table2[[#This Row],[Discount]])</f>
        <v>1322.6850000000002</v>
      </c>
      <c r="K328" t="s">
        <v>42</v>
      </c>
      <c r="L328" t="s">
        <v>43</v>
      </c>
      <c r="M328">
        <v>0</v>
      </c>
      <c r="N328" t="s">
        <v>372</v>
      </c>
      <c r="O328" t="s">
        <v>1866</v>
      </c>
      <c r="P328" s="7">
        <v>36.979999999999997</v>
      </c>
      <c r="Q328" s="1">
        <v>45169</v>
      </c>
      <c r="R328">
        <f>WEEKNUM(Table2[[#This Row],[OrderDate]])</f>
        <v>35</v>
      </c>
      <c r="S328" s="1">
        <v>45175</v>
      </c>
      <c r="T328" t="s">
        <v>2919</v>
      </c>
    </row>
    <row r="329" spans="1:20" x14ac:dyDescent="0.35">
      <c r="A329" s="1">
        <v>45188</v>
      </c>
      <c r="B329" t="s">
        <v>2932</v>
      </c>
      <c r="C329" t="s">
        <v>19</v>
      </c>
      <c r="D329" s="9">
        <v>4</v>
      </c>
      <c r="E329" s="7">
        <v>547.55999999999995</v>
      </c>
      <c r="F329" t="s">
        <v>29</v>
      </c>
      <c r="G329" t="s">
        <v>31</v>
      </c>
      <c r="H329" s="12">
        <v>0.15</v>
      </c>
      <c r="I329" t="s">
        <v>34</v>
      </c>
      <c r="J329" s="7">
        <f>Table2[[#This Row],[UnitPrice]]*Table2[[#This Row],[Quantity]]*(1-Table2[[#This Row],[Discount]])</f>
        <v>1861.7039999999997</v>
      </c>
      <c r="K329" t="s">
        <v>39</v>
      </c>
      <c r="L329" t="s">
        <v>2937</v>
      </c>
      <c r="M329">
        <v>0</v>
      </c>
      <c r="N329" t="s">
        <v>373</v>
      </c>
      <c r="O329" t="s">
        <v>1867</v>
      </c>
      <c r="P329" s="7">
        <v>25.88</v>
      </c>
      <c r="Q329" s="1">
        <v>45188</v>
      </c>
      <c r="R329">
        <f>WEEKNUM(Table2[[#This Row],[OrderDate]])</f>
        <v>38</v>
      </c>
      <c r="S329" s="1">
        <v>45195</v>
      </c>
      <c r="T329" t="s">
        <v>2918</v>
      </c>
    </row>
    <row r="330" spans="1:20" x14ac:dyDescent="0.35">
      <c r="A330" s="1">
        <v>44984</v>
      </c>
      <c r="B330" t="s">
        <v>2934</v>
      </c>
      <c r="C330" t="s">
        <v>19</v>
      </c>
      <c r="D330" s="9">
        <v>9</v>
      </c>
      <c r="E330" s="7">
        <v>52.69</v>
      </c>
      <c r="F330" t="s">
        <v>29</v>
      </c>
      <c r="G330" t="s">
        <v>31</v>
      </c>
      <c r="H330" s="12">
        <v>0.15</v>
      </c>
      <c r="I330" t="s">
        <v>36</v>
      </c>
      <c r="J330" s="7">
        <f>Table2[[#This Row],[UnitPrice]]*Table2[[#This Row],[Quantity]]*(1-Table2[[#This Row],[Discount]])</f>
        <v>403.07849999999996</v>
      </c>
      <c r="K330" t="s">
        <v>38</v>
      </c>
      <c r="L330" t="s">
        <v>44</v>
      </c>
      <c r="M330">
        <v>0</v>
      </c>
      <c r="N330" t="s">
        <v>374</v>
      </c>
      <c r="O330" t="s">
        <v>1868</v>
      </c>
      <c r="P330" s="7">
        <v>14.59</v>
      </c>
      <c r="Q330" s="1">
        <v>44984</v>
      </c>
      <c r="R330">
        <f>WEEKNUM(Table2[[#This Row],[OrderDate]])</f>
        <v>9</v>
      </c>
      <c r="S330" s="1">
        <v>44989</v>
      </c>
      <c r="T330" t="s">
        <v>2920</v>
      </c>
    </row>
    <row r="331" spans="1:20" x14ac:dyDescent="0.35">
      <c r="A331" s="1">
        <v>45319</v>
      </c>
      <c r="B331" t="s">
        <v>2932</v>
      </c>
      <c r="C331" t="s">
        <v>24</v>
      </c>
      <c r="D331" s="9">
        <v>9</v>
      </c>
      <c r="E331" s="7">
        <v>434.74</v>
      </c>
      <c r="F331" t="s">
        <v>29</v>
      </c>
      <c r="G331" t="s">
        <v>30</v>
      </c>
      <c r="H331" s="12">
        <v>0.1</v>
      </c>
      <c r="I331" t="s">
        <v>37</v>
      </c>
      <c r="J331" s="7">
        <f>Table2[[#This Row],[UnitPrice]]*Table2[[#This Row],[Quantity]]*(1-Table2[[#This Row],[Discount]])</f>
        <v>3521.3939999999998</v>
      </c>
      <c r="K331" t="s">
        <v>38</v>
      </c>
      <c r="L331" t="s">
        <v>44</v>
      </c>
      <c r="M331">
        <v>0</v>
      </c>
      <c r="N331" t="s">
        <v>375</v>
      </c>
      <c r="O331" t="s">
        <v>1869</v>
      </c>
      <c r="P331" s="7">
        <v>20.11</v>
      </c>
      <c r="Q331" s="1">
        <v>45319</v>
      </c>
      <c r="R331">
        <f>WEEKNUM(Table2[[#This Row],[OrderDate]])</f>
        <v>5</v>
      </c>
      <c r="S331" s="1">
        <v>45322</v>
      </c>
      <c r="T331" t="s">
        <v>2918</v>
      </c>
    </row>
    <row r="332" spans="1:20" x14ac:dyDescent="0.35">
      <c r="A332" s="1">
        <v>45783</v>
      </c>
      <c r="B332" t="s">
        <v>2932</v>
      </c>
      <c r="C332" t="s">
        <v>23</v>
      </c>
      <c r="D332" s="9">
        <v>9</v>
      </c>
      <c r="E332" s="7">
        <v>124.17</v>
      </c>
      <c r="F332" t="s">
        <v>28</v>
      </c>
      <c r="G332" t="s">
        <v>30</v>
      </c>
      <c r="H332" s="12">
        <v>0</v>
      </c>
      <c r="I332" t="s">
        <v>32</v>
      </c>
      <c r="J332" s="7">
        <f>Table2[[#This Row],[UnitPrice]]*Table2[[#This Row],[Quantity]]*(1-Table2[[#This Row],[Discount]])</f>
        <v>1117.53</v>
      </c>
      <c r="K332" t="s">
        <v>41</v>
      </c>
      <c r="L332" t="s">
        <v>45</v>
      </c>
      <c r="M332">
        <v>0</v>
      </c>
      <c r="N332" t="s">
        <v>376</v>
      </c>
      <c r="O332" t="s">
        <v>1870</v>
      </c>
      <c r="P332" s="7">
        <v>13.31</v>
      </c>
      <c r="Q332" s="1">
        <v>45783</v>
      </c>
      <c r="R332">
        <f>WEEKNUM(Table2[[#This Row],[OrderDate]])</f>
        <v>19</v>
      </c>
      <c r="S332" s="1">
        <v>45787</v>
      </c>
      <c r="T332" t="s">
        <v>2918</v>
      </c>
    </row>
    <row r="333" spans="1:20" x14ac:dyDescent="0.35">
      <c r="A333" s="1">
        <v>45548</v>
      </c>
      <c r="B333" t="s">
        <v>2930</v>
      </c>
      <c r="C333" t="s">
        <v>23</v>
      </c>
      <c r="D333" s="9">
        <v>2</v>
      </c>
      <c r="E333" s="7">
        <v>375.48</v>
      </c>
      <c r="F333" t="s">
        <v>29</v>
      </c>
      <c r="G333" t="s">
        <v>31</v>
      </c>
      <c r="H333" s="12">
        <v>0.05</v>
      </c>
      <c r="I333" t="s">
        <v>36</v>
      </c>
      <c r="J333" s="7">
        <f>Table2[[#This Row],[UnitPrice]]*Table2[[#This Row],[Quantity]]*(1-Table2[[#This Row],[Discount]])</f>
        <v>713.41200000000003</v>
      </c>
      <c r="K333" t="s">
        <v>40</v>
      </c>
      <c r="L333" t="s">
        <v>43</v>
      </c>
      <c r="M333">
        <v>0</v>
      </c>
      <c r="N333" t="s">
        <v>377</v>
      </c>
      <c r="O333" t="s">
        <v>1871</v>
      </c>
      <c r="P333" s="7">
        <v>26.39</v>
      </c>
      <c r="Q333" s="1">
        <v>45548</v>
      </c>
      <c r="R333">
        <f>WEEKNUM(Table2[[#This Row],[OrderDate]])</f>
        <v>37</v>
      </c>
      <c r="S333" s="1">
        <v>45550</v>
      </c>
      <c r="T333" t="s">
        <v>2917</v>
      </c>
    </row>
    <row r="334" spans="1:20" x14ac:dyDescent="0.35">
      <c r="A334" s="1">
        <v>45071</v>
      </c>
      <c r="B334" t="s">
        <v>2930</v>
      </c>
      <c r="C334" t="s">
        <v>25</v>
      </c>
      <c r="D334" s="9">
        <v>13</v>
      </c>
      <c r="E334" s="7">
        <v>211.06</v>
      </c>
      <c r="F334" t="s">
        <v>26</v>
      </c>
      <c r="G334" t="s">
        <v>31</v>
      </c>
      <c r="H334" s="12">
        <v>0.1</v>
      </c>
      <c r="I334" t="s">
        <v>37</v>
      </c>
      <c r="J334" s="7">
        <f>Table2[[#This Row],[UnitPrice]]*Table2[[#This Row],[Quantity]]*(1-Table2[[#This Row],[Discount]])</f>
        <v>2469.402</v>
      </c>
      <c r="K334" t="s">
        <v>39</v>
      </c>
      <c r="L334" t="s">
        <v>2937</v>
      </c>
      <c r="M334">
        <v>1</v>
      </c>
      <c r="N334" t="s">
        <v>378</v>
      </c>
      <c r="O334" t="s">
        <v>1872</v>
      </c>
      <c r="P334" s="7">
        <v>19.579999999999998</v>
      </c>
      <c r="Q334" s="1">
        <v>45071</v>
      </c>
      <c r="R334">
        <f>WEEKNUM(Table2[[#This Row],[OrderDate]])</f>
        <v>21</v>
      </c>
      <c r="S334" s="1">
        <v>45075</v>
      </c>
      <c r="T334" t="s">
        <v>2917</v>
      </c>
    </row>
    <row r="335" spans="1:20" x14ac:dyDescent="0.35">
      <c r="A335" s="1">
        <v>45561</v>
      </c>
      <c r="B335" t="s">
        <v>2932</v>
      </c>
      <c r="C335" t="s">
        <v>24</v>
      </c>
      <c r="D335" s="9">
        <v>7</v>
      </c>
      <c r="E335" s="7">
        <v>88.87</v>
      </c>
      <c r="F335" t="s">
        <v>28</v>
      </c>
      <c r="G335" t="s">
        <v>31</v>
      </c>
      <c r="H335" s="12">
        <v>0</v>
      </c>
      <c r="I335" t="s">
        <v>33</v>
      </c>
      <c r="J335" s="7">
        <f>Table2[[#This Row],[UnitPrice]]*Table2[[#This Row],[Quantity]]*(1-Table2[[#This Row],[Discount]])</f>
        <v>622.09</v>
      </c>
      <c r="K335" t="s">
        <v>38</v>
      </c>
      <c r="L335" t="s">
        <v>44</v>
      </c>
      <c r="M335">
        <v>0</v>
      </c>
      <c r="N335" t="s">
        <v>379</v>
      </c>
      <c r="O335" t="s">
        <v>1873</v>
      </c>
      <c r="P335" s="7">
        <v>8.36</v>
      </c>
      <c r="Q335" s="1">
        <v>45561</v>
      </c>
      <c r="R335">
        <f>WEEKNUM(Table2[[#This Row],[OrderDate]])</f>
        <v>39</v>
      </c>
      <c r="S335" s="1">
        <v>45566</v>
      </c>
      <c r="T335" t="s">
        <v>2918</v>
      </c>
    </row>
    <row r="336" spans="1:20" x14ac:dyDescent="0.35">
      <c r="A336" s="1">
        <v>44970</v>
      </c>
      <c r="B336" t="s">
        <v>2932</v>
      </c>
      <c r="C336" t="s">
        <v>20</v>
      </c>
      <c r="D336" s="9">
        <v>5</v>
      </c>
      <c r="E336" s="7">
        <v>254.24</v>
      </c>
      <c r="F336" t="s">
        <v>26</v>
      </c>
      <c r="G336" t="s">
        <v>30</v>
      </c>
      <c r="H336" s="12">
        <v>0.05</v>
      </c>
      <c r="I336" t="s">
        <v>37</v>
      </c>
      <c r="J336" s="7">
        <f>Table2[[#This Row],[UnitPrice]]*Table2[[#This Row],[Quantity]]*(1-Table2[[#This Row],[Discount]])</f>
        <v>1207.6400000000001</v>
      </c>
      <c r="K336" t="s">
        <v>38</v>
      </c>
      <c r="L336" t="s">
        <v>2937</v>
      </c>
      <c r="M336">
        <v>0</v>
      </c>
      <c r="N336" t="s">
        <v>380</v>
      </c>
      <c r="O336" t="s">
        <v>1874</v>
      </c>
      <c r="P336" s="7">
        <v>9.9700000000000006</v>
      </c>
      <c r="Q336" s="1">
        <v>44970</v>
      </c>
      <c r="R336">
        <f>WEEKNUM(Table2[[#This Row],[OrderDate]])</f>
        <v>7</v>
      </c>
      <c r="S336" s="1">
        <v>44975</v>
      </c>
      <c r="T336" t="s">
        <v>2918</v>
      </c>
    </row>
    <row r="337" spans="1:20" x14ac:dyDescent="0.35">
      <c r="A337" s="1">
        <v>45463</v>
      </c>
      <c r="B337" t="s">
        <v>2934</v>
      </c>
      <c r="C337" t="s">
        <v>22</v>
      </c>
      <c r="D337" s="9">
        <v>5</v>
      </c>
      <c r="E337" s="7">
        <v>432.35</v>
      </c>
      <c r="F337" t="s">
        <v>28</v>
      </c>
      <c r="G337" t="s">
        <v>30</v>
      </c>
      <c r="H337" s="12">
        <v>0.1</v>
      </c>
      <c r="I337" t="s">
        <v>37</v>
      </c>
      <c r="J337" s="7">
        <f>Table2[[#This Row],[UnitPrice]]*Table2[[#This Row],[Quantity]]*(1-Table2[[#This Row],[Discount]])</f>
        <v>1945.575</v>
      </c>
      <c r="K337" t="s">
        <v>39</v>
      </c>
      <c r="L337" t="s">
        <v>2937</v>
      </c>
      <c r="M337">
        <v>1</v>
      </c>
      <c r="N337" t="s">
        <v>381</v>
      </c>
      <c r="O337" t="s">
        <v>1875</v>
      </c>
      <c r="P337" s="7">
        <v>41.48</v>
      </c>
      <c r="Q337" s="1">
        <v>45463</v>
      </c>
      <c r="R337">
        <f>WEEKNUM(Table2[[#This Row],[OrderDate]])</f>
        <v>25</v>
      </c>
      <c r="S337" s="1">
        <v>45470</v>
      </c>
      <c r="T337" t="s">
        <v>2920</v>
      </c>
    </row>
    <row r="338" spans="1:20" x14ac:dyDescent="0.35">
      <c r="A338" s="1">
        <v>45373</v>
      </c>
      <c r="B338" t="s">
        <v>2933</v>
      </c>
      <c r="C338" t="s">
        <v>19</v>
      </c>
      <c r="D338" s="9">
        <v>19</v>
      </c>
      <c r="E338" s="7">
        <v>590</v>
      </c>
      <c r="F338" t="s">
        <v>29</v>
      </c>
      <c r="G338" t="s">
        <v>31</v>
      </c>
      <c r="H338" s="12">
        <v>0.05</v>
      </c>
      <c r="I338" t="s">
        <v>33</v>
      </c>
      <c r="J338" s="7">
        <f>Table2[[#This Row],[UnitPrice]]*Table2[[#This Row],[Quantity]]*(1-Table2[[#This Row],[Discount]])</f>
        <v>10649.5</v>
      </c>
      <c r="K338" t="s">
        <v>38</v>
      </c>
      <c r="L338" t="s">
        <v>43</v>
      </c>
      <c r="M338">
        <v>0</v>
      </c>
      <c r="N338" t="s">
        <v>382</v>
      </c>
      <c r="O338" t="s">
        <v>1876</v>
      </c>
      <c r="P338" s="7">
        <v>5.91</v>
      </c>
      <c r="Q338" s="1">
        <v>45373</v>
      </c>
      <c r="R338">
        <f>WEEKNUM(Table2[[#This Row],[OrderDate]])</f>
        <v>12</v>
      </c>
      <c r="S338" s="1">
        <v>45376</v>
      </c>
      <c r="T338" t="s">
        <v>2921</v>
      </c>
    </row>
    <row r="339" spans="1:20" x14ac:dyDescent="0.35">
      <c r="A339" s="1">
        <v>45330</v>
      </c>
      <c r="B339" t="s">
        <v>2933</v>
      </c>
      <c r="C339" t="s">
        <v>23</v>
      </c>
      <c r="D339" s="9">
        <v>11</v>
      </c>
      <c r="E339" s="7">
        <v>151.25</v>
      </c>
      <c r="F339" t="s">
        <v>26</v>
      </c>
      <c r="G339" t="s">
        <v>30</v>
      </c>
      <c r="H339" s="12">
        <v>0.1</v>
      </c>
      <c r="I339" t="s">
        <v>34</v>
      </c>
      <c r="J339" s="7">
        <f>Table2[[#This Row],[UnitPrice]]*Table2[[#This Row],[Quantity]]*(1-Table2[[#This Row],[Discount]])</f>
        <v>1497.375</v>
      </c>
      <c r="K339" t="s">
        <v>40</v>
      </c>
      <c r="L339" t="s">
        <v>2937</v>
      </c>
      <c r="M339">
        <v>1</v>
      </c>
      <c r="N339" t="s">
        <v>383</v>
      </c>
      <c r="O339" t="s">
        <v>1877</v>
      </c>
      <c r="P339" s="7">
        <v>22.65</v>
      </c>
      <c r="Q339" s="1">
        <v>45330</v>
      </c>
      <c r="R339">
        <f>WEEKNUM(Table2[[#This Row],[OrderDate]])</f>
        <v>6</v>
      </c>
      <c r="S339" s="1">
        <v>45333</v>
      </c>
      <c r="T339" t="s">
        <v>2921</v>
      </c>
    </row>
    <row r="340" spans="1:20" x14ac:dyDescent="0.35">
      <c r="A340" s="1">
        <v>45444</v>
      </c>
      <c r="B340" t="s">
        <v>2930</v>
      </c>
      <c r="C340" t="s">
        <v>21</v>
      </c>
      <c r="D340" s="9">
        <v>3</v>
      </c>
      <c r="E340" s="7">
        <v>204.79</v>
      </c>
      <c r="F340" t="s">
        <v>26</v>
      </c>
      <c r="G340" t="s">
        <v>31</v>
      </c>
      <c r="H340" s="12">
        <v>0.1</v>
      </c>
      <c r="I340" t="s">
        <v>34</v>
      </c>
      <c r="J340" s="7">
        <f>Table2[[#This Row],[UnitPrice]]*Table2[[#This Row],[Quantity]]*(1-Table2[[#This Row],[Discount]])</f>
        <v>552.93299999999999</v>
      </c>
      <c r="K340" t="s">
        <v>38</v>
      </c>
      <c r="L340" t="s">
        <v>43</v>
      </c>
      <c r="M340">
        <v>1</v>
      </c>
      <c r="N340" t="s">
        <v>384</v>
      </c>
      <c r="O340" t="s">
        <v>1878</v>
      </c>
      <c r="P340" s="7">
        <v>7.72</v>
      </c>
      <c r="Q340" s="1">
        <v>45444</v>
      </c>
      <c r="R340">
        <f>WEEKNUM(Table2[[#This Row],[OrderDate]])</f>
        <v>22</v>
      </c>
      <c r="S340" s="1">
        <v>45447</v>
      </c>
      <c r="T340" t="s">
        <v>2917</v>
      </c>
    </row>
    <row r="341" spans="1:20" x14ac:dyDescent="0.35">
      <c r="A341" s="1">
        <v>45438</v>
      </c>
      <c r="B341" t="s">
        <v>2931</v>
      </c>
      <c r="C341" t="s">
        <v>19</v>
      </c>
      <c r="D341" s="9">
        <v>16</v>
      </c>
      <c r="E341" s="7">
        <v>586.52</v>
      </c>
      <c r="F341" t="s">
        <v>28</v>
      </c>
      <c r="G341" t="s">
        <v>30</v>
      </c>
      <c r="H341" s="12">
        <v>0</v>
      </c>
      <c r="I341" t="s">
        <v>36</v>
      </c>
      <c r="J341" s="7">
        <f>Table2[[#This Row],[UnitPrice]]*Table2[[#This Row],[Quantity]]*(1-Table2[[#This Row],[Discount]])</f>
        <v>9384.32</v>
      </c>
      <c r="K341" t="s">
        <v>40</v>
      </c>
      <c r="L341" t="s">
        <v>45</v>
      </c>
      <c r="M341">
        <v>1</v>
      </c>
      <c r="N341" t="s">
        <v>385</v>
      </c>
      <c r="O341" t="s">
        <v>1879</v>
      </c>
      <c r="P341" s="7">
        <v>17.059999999999999</v>
      </c>
      <c r="Q341" s="1">
        <v>45438</v>
      </c>
      <c r="R341">
        <f>WEEKNUM(Table2[[#This Row],[OrderDate]])</f>
        <v>22</v>
      </c>
      <c r="S341" s="1">
        <v>45444</v>
      </c>
      <c r="T341" t="s">
        <v>2919</v>
      </c>
    </row>
    <row r="342" spans="1:20" x14ac:dyDescent="0.35">
      <c r="A342" s="1">
        <v>45468</v>
      </c>
      <c r="B342" t="s">
        <v>2930</v>
      </c>
      <c r="C342" t="s">
        <v>25</v>
      </c>
      <c r="D342" s="9">
        <v>16</v>
      </c>
      <c r="E342" s="7">
        <v>104.83</v>
      </c>
      <c r="F342" t="s">
        <v>27</v>
      </c>
      <c r="G342" t="s">
        <v>30</v>
      </c>
      <c r="H342" s="12">
        <v>0</v>
      </c>
      <c r="I342" t="s">
        <v>35</v>
      </c>
      <c r="J342" s="7">
        <f>Table2[[#This Row],[UnitPrice]]*Table2[[#This Row],[Quantity]]*(1-Table2[[#This Row],[Discount]])</f>
        <v>1677.28</v>
      </c>
      <c r="K342" t="s">
        <v>39</v>
      </c>
      <c r="L342" t="s">
        <v>43</v>
      </c>
      <c r="M342">
        <v>0</v>
      </c>
      <c r="N342" t="s">
        <v>386</v>
      </c>
      <c r="O342" t="s">
        <v>1807</v>
      </c>
      <c r="P342" s="7">
        <v>33.99</v>
      </c>
      <c r="Q342" s="1">
        <v>45468</v>
      </c>
      <c r="R342">
        <f>WEEKNUM(Table2[[#This Row],[OrderDate]])</f>
        <v>26</v>
      </c>
      <c r="S342" s="1">
        <v>45473</v>
      </c>
      <c r="T342" t="s">
        <v>2917</v>
      </c>
    </row>
    <row r="343" spans="1:20" x14ac:dyDescent="0.35">
      <c r="A343" s="1">
        <v>45320</v>
      </c>
      <c r="B343" t="s">
        <v>2934</v>
      </c>
      <c r="C343" t="s">
        <v>25</v>
      </c>
      <c r="D343" s="9">
        <v>16</v>
      </c>
      <c r="E343" s="7">
        <v>598.48</v>
      </c>
      <c r="F343" t="s">
        <v>27</v>
      </c>
      <c r="G343" t="s">
        <v>31</v>
      </c>
      <c r="H343" s="12">
        <v>0.1</v>
      </c>
      <c r="I343" t="s">
        <v>34</v>
      </c>
      <c r="J343" s="7">
        <f>Table2[[#This Row],[UnitPrice]]*Table2[[#This Row],[Quantity]]*(1-Table2[[#This Row],[Discount]])</f>
        <v>8618.112000000001</v>
      </c>
      <c r="K343" t="s">
        <v>42</v>
      </c>
      <c r="L343" t="s">
        <v>2937</v>
      </c>
      <c r="M343">
        <v>0</v>
      </c>
      <c r="N343" t="s">
        <v>387</v>
      </c>
      <c r="O343" t="s">
        <v>1880</v>
      </c>
      <c r="P343" s="7">
        <v>47.86</v>
      </c>
      <c r="Q343" s="1">
        <v>45320</v>
      </c>
      <c r="R343">
        <f>WEEKNUM(Table2[[#This Row],[OrderDate]])</f>
        <v>5</v>
      </c>
      <c r="S343" s="1">
        <v>45329</v>
      </c>
      <c r="T343" t="s">
        <v>2920</v>
      </c>
    </row>
    <row r="344" spans="1:20" x14ac:dyDescent="0.35">
      <c r="A344" s="1">
        <v>45633</v>
      </c>
      <c r="B344" t="s">
        <v>2932</v>
      </c>
      <c r="C344" t="s">
        <v>22</v>
      </c>
      <c r="D344" s="9">
        <v>8</v>
      </c>
      <c r="E344" s="7">
        <v>367.89</v>
      </c>
      <c r="F344" t="s">
        <v>26</v>
      </c>
      <c r="G344" t="s">
        <v>31</v>
      </c>
      <c r="H344" s="12">
        <v>0.05</v>
      </c>
      <c r="I344" t="s">
        <v>33</v>
      </c>
      <c r="J344" s="7">
        <f>Table2[[#This Row],[UnitPrice]]*Table2[[#This Row],[Quantity]]*(1-Table2[[#This Row],[Discount]])</f>
        <v>2795.9639999999999</v>
      </c>
      <c r="K344" t="s">
        <v>42</v>
      </c>
      <c r="L344" t="s">
        <v>43</v>
      </c>
      <c r="M344">
        <v>0</v>
      </c>
      <c r="N344" t="s">
        <v>388</v>
      </c>
      <c r="O344" t="s">
        <v>1881</v>
      </c>
      <c r="P344" s="7">
        <v>18.100000000000001</v>
      </c>
      <c r="Q344" s="1">
        <v>45633</v>
      </c>
      <c r="R344">
        <f>WEEKNUM(Table2[[#This Row],[OrderDate]])</f>
        <v>49</v>
      </c>
      <c r="S344" s="1">
        <v>45635</v>
      </c>
      <c r="T344" t="s">
        <v>2918</v>
      </c>
    </row>
    <row r="345" spans="1:20" x14ac:dyDescent="0.35">
      <c r="A345" s="1">
        <v>45251</v>
      </c>
      <c r="B345" t="s">
        <v>2933</v>
      </c>
      <c r="C345" t="s">
        <v>22</v>
      </c>
      <c r="D345" s="9">
        <v>10</v>
      </c>
      <c r="E345" s="7">
        <v>333.35</v>
      </c>
      <c r="F345" t="s">
        <v>27</v>
      </c>
      <c r="G345" t="s">
        <v>31</v>
      </c>
      <c r="H345" s="12">
        <v>0.15</v>
      </c>
      <c r="I345" t="s">
        <v>33</v>
      </c>
      <c r="J345" s="7">
        <f>Table2[[#This Row],[UnitPrice]]*Table2[[#This Row],[Quantity]]*(1-Table2[[#This Row],[Discount]])</f>
        <v>2833.4749999999999</v>
      </c>
      <c r="K345" t="s">
        <v>41</v>
      </c>
      <c r="L345" t="s">
        <v>43</v>
      </c>
      <c r="M345">
        <v>0</v>
      </c>
      <c r="N345" t="s">
        <v>389</v>
      </c>
      <c r="O345" t="s">
        <v>1882</v>
      </c>
      <c r="P345" s="7">
        <v>39.35</v>
      </c>
      <c r="Q345" s="1">
        <v>45251</v>
      </c>
      <c r="R345">
        <f>WEEKNUM(Table2[[#This Row],[OrderDate]])</f>
        <v>47</v>
      </c>
      <c r="S345" s="1">
        <v>45256</v>
      </c>
      <c r="T345" t="s">
        <v>2921</v>
      </c>
    </row>
    <row r="346" spans="1:20" x14ac:dyDescent="0.35">
      <c r="A346" s="1">
        <v>45642</v>
      </c>
      <c r="B346" t="s">
        <v>2931</v>
      </c>
      <c r="C346" t="s">
        <v>22</v>
      </c>
      <c r="D346" s="9">
        <v>8</v>
      </c>
      <c r="E346" s="7">
        <v>378.88</v>
      </c>
      <c r="F346" t="s">
        <v>27</v>
      </c>
      <c r="G346" t="s">
        <v>30</v>
      </c>
      <c r="H346" s="12">
        <v>0.1</v>
      </c>
      <c r="I346" t="s">
        <v>34</v>
      </c>
      <c r="J346" s="7">
        <f>Table2[[#This Row],[UnitPrice]]*Table2[[#This Row],[Quantity]]*(1-Table2[[#This Row],[Discount]])</f>
        <v>2727.9360000000001</v>
      </c>
      <c r="K346" t="s">
        <v>41</v>
      </c>
      <c r="L346" t="s">
        <v>45</v>
      </c>
      <c r="M346">
        <v>1</v>
      </c>
      <c r="N346" t="s">
        <v>390</v>
      </c>
      <c r="O346" t="s">
        <v>1883</v>
      </c>
      <c r="P346" s="7">
        <v>5.22</v>
      </c>
      <c r="Q346" s="1">
        <v>45642</v>
      </c>
      <c r="R346">
        <f>WEEKNUM(Table2[[#This Row],[OrderDate]])</f>
        <v>51</v>
      </c>
      <c r="S346" s="1">
        <v>45650</v>
      </c>
      <c r="T346" t="s">
        <v>2919</v>
      </c>
    </row>
    <row r="347" spans="1:20" x14ac:dyDescent="0.35">
      <c r="A347" s="1">
        <v>45143</v>
      </c>
      <c r="B347" t="s">
        <v>2934</v>
      </c>
      <c r="C347" t="s">
        <v>23</v>
      </c>
      <c r="D347" s="9">
        <v>12</v>
      </c>
      <c r="E347" s="7">
        <v>169.2</v>
      </c>
      <c r="F347" t="s">
        <v>28</v>
      </c>
      <c r="G347" t="s">
        <v>31</v>
      </c>
      <c r="H347" s="12">
        <v>0.05</v>
      </c>
      <c r="I347" t="s">
        <v>36</v>
      </c>
      <c r="J347" s="7">
        <f>Table2[[#This Row],[UnitPrice]]*Table2[[#This Row],[Quantity]]*(1-Table2[[#This Row],[Discount]])</f>
        <v>1928.8799999999999</v>
      </c>
      <c r="K347" t="s">
        <v>39</v>
      </c>
      <c r="L347" t="s">
        <v>44</v>
      </c>
      <c r="M347">
        <v>0</v>
      </c>
      <c r="N347" t="s">
        <v>391</v>
      </c>
      <c r="O347" t="s">
        <v>1884</v>
      </c>
      <c r="P347" s="7">
        <v>28.65</v>
      </c>
      <c r="Q347" s="1">
        <v>45143</v>
      </c>
      <c r="R347">
        <f>WEEKNUM(Table2[[#This Row],[OrderDate]])</f>
        <v>31</v>
      </c>
      <c r="S347" s="1">
        <v>45153</v>
      </c>
      <c r="T347" t="s">
        <v>2920</v>
      </c>
    </row>
    <row r="348" spans="1:20" x14ac:dyDescent="0.35">
      <c r="A348" s="1">
        <v>45168</v>
      </c>
      <c r="B348" t="s">
        <v>2934</v>
      </c>
      <c r="C348" t="s">
        <v>22</v>
      </c>
      <c r="D348" s="9">
        <v>7</v>
      </c>
      <c r="E348" s="7">
        <v>103.03</v>
      </c>
      <c r="F348" t="s">
        <v>29</v>
      </c>
      <c r="G348" t="s">
        <v>31</v>
      </c>
      <c r="H348" s="12">
        <v>0.1</v>
      </c>
      <c r="I348" t="s">
        <v>37</v>
      </c>
      <c r="J348" s="7">
        <f>Table2[[#This Row],[UnitPrice]]*Table2[[#This Row],[Quantity]]*(1-Table2[[#This Row],[Discount]])</f>
        <v>649.08900000000006</v>
      </c>
      <c r="K348" t="s">
        <v>38</v>
      </c>
      <c r="L348" t="s">
        <v>43</v>
      </c>
      <c r="M348">
        <v>1</v>
      </c>
      <c r="N348" t="s">
        <v>392</v>
      </c>
      <c r="O348" t="s">
        <v>1885</v>
      </c>
      <c r="P348" s="7">
        <v>5.29</v>
      </c>
      <c r="Q348" s="1">
        <v>45168</v>
      </c>
      <c r="R348">
        <f>WEEKNUM(Table2[[#This Row],[OrderDate]])</f>
        <v>35</v>
      </c>
      <c r="S348" s="1">
        <v>45175</v>
      </c>
      <c r="T348" t="s">
        <v>2920</v>
      </c>
    </row>
    <row r="349" spans="1:20" x14ac:dyDescent="0.35">
      <c r="A349" s="1">
        <v>45741</v>
      </c>
      <c r="B349" t="s">
        <v>2930</v>
      </c>
      <c r="C349" t="s">
        <v>25</v>
      </c>
      <c r="D349" s="9">
        <v>3</v>
      </c>
      <c r="E349" s="7">
        <v>378.74</v>
      </c>
      <c r="F349" t="s">
        <v>29</v>
      </c>
      <c r="G349" t="s">
        <v>30</v>
      </c>
      <c r="H349" s="12">
        <v>0.15</v>
      </c>
      <c r="I349" t="s">
        <v>34</v>
      </c>
      <c r="J349" s="7">
        <f>Table2[[#This Row],[UnitPrice]]*Table2[[#This Row],[Quantity]]*(1-Table2[[#This Row],[Discount]])</f>
        <v>965.78700000000003</v>
      </c>
      <c r="K349" t="s">
        <v>38</v>
      </c>
      <c r="L349" t="s">
        <v>44</v>
      </c>
      <c r="M349">
        <v>0</v>
      </c>
      <c r="N349" t="s">
        <v>393</v>
      </c>
      <c r="O349" t="s">
        <v>1886</v>
      </c>
      <c r="P349" s="7">
        <v>8.2200000000000006</v>
      </c>
      <c r="Q349" s="1">
        <v>45741</v>
      </c>
      <c r="R349">
        <f>WEEKNUM(Table2[[#This Row],[OrderDate]])</f>
        <v>13</v>
      </c>
      <c r="S349" s="1">
        <v>45743</v>
      </c>
      <c r="T349" t="s">
        <v>2917</v>
      </c>
    </row>
    <row r="350" spans="1:20" x14ac:dyDescent="0.35">
      <c r="A350" s="1">
        <v>45639</v>
      </c>
      <c r="B350" t="s">
        <v>2931</v>
      </c>
      <c r="C350" t="s">
        <v>20</v>
      </c>
      <c r="D350" s="9">
        <v>15</v>
      </c>
      <c r="E350" s="7">
        <v>27.21</v>
      </c>
      <c r="F350" t="s">
        <v>28</v>
      </c>
      <c r="G350" t="s">
        <v>30</v>
      </c>
      <c r="H350" s="12">
        <v>0</v>
      </c>
      <c r="I350" t="s">
        <v>33</v>
      </c>
      <c r="J350" s="7">
        <f>Table2[[#This Row],[UnitPrice]]*Table2[[#This Row],[Quantity]]*(1-Table2[[#This Row],[Discount]])</f>
        <v>408.15000000000003</v>
      </c>
      <c r="K350" t="s">
        <v>38</v>
      </c>
      <c r="L350" t="s">
        <v>45</v>
      </c>
      <c r="M350">
        <v>0</v>
      </c>
      <c r="N350" t="s">
        <v>394</v>
      </c>
      <c r="O350" t="s">
        <v>1887</v>
      </c>
      <c r="P350" s="7">
        <v>43.69</v>
      </c>
      <c r="Q350" s="1">
        <v>45639</v>
      </c>
      <c r="R350">
        <f>WEEKNUM(Table2[[#This Row],[OrderDate]])</f>
        <v>50</v>
      </c>
      <c r="S350" s="1">
        <v>45648</v>
      </c>
      <c r="T350" t="s">
        <v>2919</v>
      </c>
    </row>
    <row r="351" spans="1:20" x14ac:dyDescent="0.35">
      <c r="A351" s="1">
        <v>45176</v>
      </c>
      <c r="B351" t="s">
        <v>2934</v>
      </c>
      <c r="C351" t="s">
        <v>20</v>
      </c>
      <c r="D351" s="9">
        <v>14</v>
      </c>
      <c r="E351" s="7">
        <v>52.09</v>
      </c>
      <c r="F351" t="s">
        <v>27</v>
      </c>
      <c r="G351" t="s">
        <v>31</v>
      </c>
      <c r="H351" s="12">
        <v>0</v>
      </c>
      <c r="I351" t="s">
        <v>37</v>
      </c>
      <c r="J351" s="7">
        <f>Table2[[#This Row],[UnitPrice]]*Table2[[#This Row],[Quantity]]*(1-Table2[[#This Row],[Discount]])</f>
        <v>729.26</v>
      </c>
      <c r="K351" t="s">
        <v>39</v>
      </c>
      <c r="L351" t="s">
        <v>2937</v>
      </c>
      <c r="M351">
        <v>1</v>
      </c>
      <c r="N351" t="s">
        <v>395</v>
      </c>
      <c r="O351" t="s">
        <v>1888</v>
      </c>
      <c r="P351" s="7">
        <v>48.02</v>
      </c>
      <c r="Q351" s="1">
        <v>45176</v>
      </c>
      <c r="R351">
        <f>WEEKNUM(Table2[[#This Row],[OrderDate]])</f>
        <v>36</v>
      </c>
      <c r="S351" s="1">
        <v>45183</v>
      </c>
      <c r="T351" t="s">
        <v>2920</v>
      </c>
    </row>
    <row r="352" spans="1:20" x14ac:dyDescent="0.35">
      <c r="A352" s="1">
        <v>45272</v>
      </c>
      <c r="B352" t="s">
        <v>2931</v>
      </c>
      <c r="C352" t="s">
        <v>23</v>
      </c>
      <c r="D352" s="9">
        <v>7</v>
      </c>
      <c r="E352" s="7">
        <v>570.01</v>
      </c>
      <c r="F352" t="s">
        <v>28</v>
      </c>
      <c r="G352" t="s">
        <v>30</v>
      </c>
      <c r="H352" s="12">
        <v>0</v>
      </c>
      <c r="I352" t="s">
        <v>35</v>
      </c>
      <c r="J352" s="7">
        <f>Table2[[#This Row],[UnitPrice]]*Table2[[#This Row],[Quantity]]*(1-Table2[[#This Row],[Discount]])</f>
        <v>3990.0699999999997</v>
      </c>
      <c r="K352" t="s">
        <v>40</v>
      </c>
      <c r="L352" t="s">
        <v>45</v>
      </c>
      <c r="M352">
        <v>0</v>
      </c>
      <c r="N352" t="s">
        <v>396</v>
      </c>
      <c r="O352" t="s">
        <v>1889</v>
      </c>
      <c r="P352" s="7">
        <v>42.33</v>
      </c>
      <c r="Q352" s="1">
        <v>45272</v>
      </c>
      <c r="R352">
        <f>WEEKNUM(Table2[[#This Row],[OrderDate]])</f>
        <v>50</v>
      </c>
      <c r="S352" s="1">
        <v>45281</v>
      </c>
      <c r="T352" t="s">
        <v>2919</v>
      </c>
    </row>
    <row r="353" spans="1:20" x14ac:dyDescent="0.35">
      <c r="A353" s="1">
        <v>45407</v>
      </c>
      <c r="B353" t="s">
        <v>2930</v>
      </c>
      <c r="C353" t="s">
        <v>23</v>
      </c>
      <c r="D353" s="9">
        <v>19</v>
      </c>
      <c r="E353" s="7">
        <v>526.23</v>
      </c>
      <c r="F353" t="s">
        <v>26</v>
      </c>
      <c r="G353" t="s">
        <v>31</v>
      </c>
      <c r="H353" s="12">
        <v>0</v>
      </c>
      <c r="I353" t="s">
        <v>37</v>
      </c>
      <c r="J353" s="7">
        <f>Table2[[#This Row],[UnitPrice]]*Table2[[#This Row],[Quantity]]*(1-Table2[[#This Row],[Discount]])</f>
        <v>9998.3700000000008</v>
      </c>
      <c r="K353" t="s">
        <v>40</v>
      </c>
      <c r="L353" t="s">
        <v>45</v>
      </c>
      <c r="M353">
        <v>0</v>
      </c>
      <c r="N353" t="s">
        <v>397</v>
      </c>
      <c r="O353" t="s">
        <v>1890</v>
      </c>
      <c r="P353" s="7">
        <v>32.770000000000003</v>
      </c>
      <c r="Q353" s="1">
        <v>45407</v>
      </c>
      <c r="R353">
        <f>WEEKNUM(Table2[[#This Row],[OrderDate]])</f>
        <v>17</v>
      </c>
      <c r="S353" s="1">
        <v>45417</v>
      </c>
      <c r="T353" t="s">
        <v>2917</v>
      </c>
    </row>
    <row r="354" spans="1:20" x14ac:dyDescent="0.35">
      <c r="A354" s="1">
        <v>45781</v>
      </c>
      <c r="B354" t="s">
        <v>2931</v>
      </c>
      <c r="C354" t="s">
        <v>19</v>
      </c>
      <c r="D354" s="9">
        <v>8</v>
      </c>
      <c r="E354" s="7">
        <v>294.51</v>
      </c>
      <c r="F354" t="s">
        <v>27</v>
      </c>
      <c r="G354" t="s">
        <v>30</v>
      </c>
      <c r="H354" s="12">
        <v>0.15</v>
      </c>
      <c r="I354" t="s">
        <v>36</v>
      </c>
      <c r="J354" s="7">
        <f>Table2[[#This Row],[UnitPrice]]*Table2[[#This Row],[Quantity]]*(1-Table2[[#This Row],[Discount]])</f>
        <v>2002.6679999999999</v>
      </c>
      <c r="K354" t="s">
        <v>39</v>
      </c>
      <c r="L354" t="s">
        <v>2937</v>
      </c>
      <c r="M354">
        <v>0</v>
      </c>
      <c r="N354" t="s">
        <v>398</v>
      </c>
      <c r="O354" t="s">
        <v>1891</v>
      </c>
      <c r="P354" s="7">
        <v>10.46</v>
      </c>
      <c r="Q354" s="1">
        <v>45781</v>
      </c>
      <c r="R354">
        <f>WEEKNUM(Table2[[#This Row],[OrderDate]])</f>
        <v>19</v>
      </c>
      <c r="S354" s="1">
        <v>45784</v>
      </c>
      <c r="T354" t="s">
        <v>2919</v>
      </c>
    </row>
    <row r="355" spans="1:20" x14ac:dyDescent="0.35">
      <c r="A355" s="1">
        <v>45185</v>
      </c>
      <c r="B355" t="s">
        <v>2932</v>
      </c>
      <c r="C355" t="s">
        <v>23</v>
      </c>
      <c r="D355" s="9">
        <v>18</v>
      </c>
      <c r="E355" s="7">
        <v>448.27</v>
      </c>
      <c r="F355" t="s">
        <v>28</v>
      </c>
      <c r="G355" t="s">
        <v>30</v>
      </c>
      <c r="H355" s="12">
        <v>0.05</v>
      </c>
      <c r="I355" t="s">
        <v>36</v>
      </c>
      <c r="J355" s="7">
        <f>Table2[[#This Row],[UnitPrice]]*Table2[[#This Row],[Quantity]]*(1-Table2[[#This Row],[Discount]])</f>
        <v>7665.4169999999995</v>
      </c>
      <c r="K355" t="s">
        <v>40</v>
      </c>
      <c r="L355" t="s">
        <v>44</v>
      </c>
      <c r="M355">
        <v>0</v>
      </c>
      <c r="N355" t="s">
        <v>399</v>
      </c>
      <c r="O355" t="s">
        <v>1892</v>
      </c>
      <c r="P355" s="7">
        <v>47.56</v>
      </c>
      <c r="Q355" s="1">
        <v>45185</v>
      </c>
      <c r="R355">
        <f>WEEKNUM(Table2[[#This Row],[OrderDate]])</f>
        <v>37</v>
      </c>
      <c r="S355" s="1">
        <v>45189</v>
      </c>
      <c r="T355" t="s">
        <v>2918</v>
      </c>
    </row>
    <row r="356" spans="1:20" x14ac:dyDescent="0.35">
      <c r="A356" s="1">
        <v>45588</v>
      </c>
      <c r="B356" t="s">
        <v>2933</v>
      </c>
      <c r="C356" t="s">
        <v>21</v>
      </c>
      <c r="D356" s="9">
        <v>17</v>
      </c>
      <c r="E356" s="7">
        <v>583.88</v>
      </c>
      <c r="F356" t="s">
        <v>29</v>
      </c>
      <c r="G356" t="s">
        <v>31</v>
      </c>
      <c r="H356" s="12">
        <v>0.1</v>
      </c>
      <c r="I356" t="s">
        <v>33</v>
      </c>
      <c r="J356" s="7">
        <f>Table2[[#This Row],[UnitPrice]]*Table2[[#This Row],[Quantity]]*(1-Table2[[#This Row],[Discount]])</f>
        <v>8933.3639999999996</v>
      </c>
      <c r="K356" t="s">
        <v>40</v>
      </c>
      <c r="L356" t="s">
        <v>45</v>
      </c>
      <c r="M356">
        <v>0</v>
      </c>
      <c r="N356" t="s">
        <v>400</v>
      </c>
      <c r="O356" t="s">
        <v>1893</v>
      </c>
      <c r="P356" s="7">
        <v>37.53</v>
      </c>
      <c r="Q356" s="1">
        <v>45588</v>
      </c>
      <c r="R356">
        <f>WEEKNUM(Table2[[#This Row],[OrderDate]])</f>
        <v>43</v>
      </c>
      <c r="S356" s="1">
        <v>45591</v>
      </c>
      <c r="T356" t="s">
        <v>2921</v>
      </c>
    </row>
    <row r="357" spans="1:20" x14ac:dyDescent="0.35">
      <c r="A357" s="1">
        <v>45049</v>
      </c>
      <c r="B357" t="s">
        <v>2931</v>
      </c>
      <c r="C357" t="s">
        <v>21</v>
      </c>
      <c r="D357" s="9">
        <v>2</v>
      </c>
      <c r="E357" s="7">
        <v>97.5</v>
      </c>
      <c r="F357" t="s">
        <v>29</v>
      </c>
      <c r="G357" t="s">
        <v>31</v>
      </c>
      <c r="H357" s="12">
        <v>0.1</v>
      </c>
      <c r="I357" t="s">
        <v>33</v>
      </c>
      <c r="J357" s="7">
        <f>Table2[[#This Row],[UnitPrice]]*Table2[[#This Row],[Quantity]]*(1-Table2[[#This Row],[Discount]])</f>
        <v>175.5</v>
      </c>
      <c r="K357" t="s">
        <v>42</v>
      </c>
      <c r="L357" t="s">
        <v>2937</v>
      </c>
      <c r="M357">
        <v>1</v>
      </c>
      <c r="N357" t="s">
        <v>401</v>
      </c>
      <c r="O357" t="s">
        <v>1894</v>
      </c>
      <c r="P357" s="7">
        <v>46.37</v>
      </c>
      <c r="Q357" s="1">
        <v>45049</v>
      </c>
      <c r="R357">
        <f>WEEKNUM(Table2[[#This Row],[OrderDate]])</f>
        <v>18</v>
      </c>
      <c r="S357" s="1">
        <v>45052</v>
      </c>
      <c r="T357" t="s">
        <v>2919</v>
      </c>
    </row>
    <row r="358" spans="1:20" x14ac:dyDescent="0.35">
      <c r="A358" s="1">
        <v>45734</v>
      </c>
      <c r="B358" t="s">
        <v>2931</v>
      </c>
      <c r="C358" t="s">
        <v>25</v>
      </c>
      <c r="D358" s="9">
        <v>16</v>
      </c>
      <c r="E358" s="7">
        <v>420.79</v>
      </c>
      <c r="F358" t="s">
        <v>26</v>
      </c>
      <c r="G358" t="s">
        <v>30</v>
      </c>
      <c r="H358" s="12">
        <v>0.15</v>
      </c>
      <c r="I358" t="s">
        <v>35</v>
      </c>
      <c r="J358" s="7">
        <f>Table2[[#This Row],[UnitPrice]]*Table2[[#This Row],[Quantity]]*(1-Table2[[#This Row],[Discount]])</f>
        <v>5722.7439999999997</v>
      </c>
      <c r="K358" t="s">
        <v>42</v>
      </c>
      <c r="L358" t="s">
        <v>43</v>
      </c>
      <c r="M358">
        <v>1</v>
      </c>
      <c r="N358" t="s">
        <v>402</v>
      </c>
      <c r="O358" t="s">
        <v>1592</v>
      </c>
      <c r="P358" s="7">
        <v>22.13</v>
      </c>
      <c r="Q358" s="1">
        <v>45734</v>
      </c>
      <c r="R358">
        <f>WEEKNUM(Table2[[#This Row],[OrderDate]])</f>
        <v>12</v>
      </c>
      <c r="S358" s="1">
        <v>45741</v>
      </c>
      <c r="T358" t="s">
        <v>2919</v>
      </c>
    </row>
    <row r="359" spans="1:20" x14ac:dyDescent="0.35">
      <c r="A359" s="1">
        <v>45163</v>
      </c>
      <c r="B359" t="s">
        <v>2933</v>
      </c>
      <c r="C359" t="s">
        <v>22</v>
      </c>
      <c r="D359" s="9">
        <v>13</v>
      </c>
      <c r="E359" s="7">
        <v>513.17999999999995</v>
      </c>
      <c r="F359" t="s">
        <v>26</v>
      </c>
      <c r="G359" t="s">
        <v>31</v>
      </c>
      <c r="H359" s="12">
        <v>0</v>
      </c>
      <c r="I359" t="s">
        <v>32</v>
      </c>
      <c r="J359" s="7">
        <f>Table2[[#This Row],[UnitPrice]]*Table2[[#This Row],[Quantity]]*(1-Table2[[#This Row],[Discount]])</f>
        <v>6671.3399999999992</v>
      </c>
      <c r="K359" t="s">
        <v>40</v>
      </c>
      <c r="L359" t="s">
        <v>43</v>
      </c>
      <c r="M359">
        <v>0</v>
      </c>
      <c r="N359" t="s">
        <v>403</v>
      </c>
      <c r="O359" t="s">
        <v>1895</v>
      </c>
      <c r="P359" s="7">
        <v>10.57</v>
      </c>
      <c r="Q359" s="1">
        <v>45163</v>
      </c>
      <c r="R359">
        <f>WEEKNUM(Table2[[#This Row],[OrderDate]])</f>
        <v>34</v>
      </c>
      <c r="S359" s="1">
        <v>45165</v>
      </c>
      <c r="T359" t="s">
        <v>2921</v>
      </c>
    </row>
    <row r="360" spans="1:20" x14ac:dyDescent="0.35">
      <c r="A360" s="1">
        <v>45120</v>
      </c>
      <c r="B360" t="s">
        <v>2931</v>
      </c>
      <c r="C360" t="s">
        <v>23</v>
      </c>
      <c r="D360" s="9">
        <v>19</v>
      </c>
      <c r="E360" s="7">
        <v>475.64</v>
      </c>
      <c r="F360" t="s">
        <v>28</v>
      </c>
      <c r="G360" t="s">
        <v>31</v>
      </c>
      <c r="H360" s="12">
        <v>0.1</v>
      </c>
      <c r="I360" t="s">
        <v>34</v>
      </c>
      <c r="J360" s="7">
        <f>Table2[[#This Row],[UnitPrice]]*Table2[[#This Row],[Quantity]]*(1-Table2[[#This Row],[Discount]])</f>
        <v>8133.4440000000004</v>
      </c>
      <c r="K360" t="s">
        <v>42</v>
      </c>
      <c r="L360" t="s">
        <v>45</v>
      </c>
      <c r="M360">
        <v>1</v>
      </c>
      <c r="N360" t="s">
        <v>404</v>
      </c>
      <c r="O360" t="s">
        <v>1896</v>
      </c>
      <c r="P360" s="7">
        <v>11.17</v>
      </c>
      <c r="Q360" s="1">
        <v>45120</v>
      </c>
      <c r="R360">
        <f>WEEKNUM(Table2[[#This Row],[OrderDate]])</f>
        <v>28</v>
      </c>
      <c r="S360" s="1">
        <v>45124</v>
      </c>
      <c r="T360" t="s">
        <v>2919</v>
      </c>
    </row>
    <row r="361" spans="1:20" x14ac:dyDescent="0.35">
      <c r="A361" s="1">
        <v>45713</v>
      </c>
      <c r="B361" t="s">
        <v>2931</v>
      </c>
      <c r="C361" t="s">
        <v>24</v>
      </c>
      <c r="D361" s="9">
        <v>13</v>
      </c>
      <c r="E361" s="7">
        <v>238.34</v>
      </c>
      <c r="F361" t="s">
        <v>28</v>
      </c>
      <c r="G361" t="s">
        <v>31</v>
      </c>
      <c r="H361" s="12">
        <v>0.1</v>
      </c>
      <c r="I361" t="s">
        <v>35</v>
      </c>
      <c r="J361" s="7">
        <f>Table2[[#This Row],[UnitPrice]]*Table2[[#This Row],[Quantity]]*(1-Table2[[#This Row],[Discount]])</f>
        <v>2788.578</v>
      </c>
      <c r="K361" t="s">
        <v>40</v>
      </c>
      <c r="L361" t="s">
        <v>44</v>
      </c>
      <c r="M361">
        <v>1</v>
      </c>
      <c r="N361" t="s">
        <v>405</v>
      </c>
      <c r="O361" t="s">
        <v>1897</v>
      </c>
      <c r="P361" s="7">
        <v>7.9</v>
      </c>
      <c r="Q361" s="1">
        <v>45713</v>
      </c>
      <c r="R361">
        <f>WEEKNUM(Table2[[#This Row],[OrderDate]])</f>
        <v>9</v>
      </c>
      <c r="S361" s="1">
        <v>45722</v>
      </c>
      <c r="T361" t="s">
        <v>2919</v>
      </c>
    </row>
    <row r="362" spans="1:20" x14ac:dyDescent="0.35">
      <c r="A362" s="1">
        <v>45761</v>
      </c>
      <c r="B362" t="s">
        <v>2934</v>
      </c>
      <c r="C362" t="s">
        <v>19</v>
      </c>
      <c r="D362" s="9">
        <v>14</v>
      </c>
      <c r="E362" s="7">
        <v>285.02999999999997</v>
      </c>
      <c r="F362" t="s">
        <v>26</v>
      </c>
      <c r="G362" t="s">
        <v>30</v>
      </c>
      <c r="H362" s="12">
        <v>0.1</v>
      </c>
      <c r="I362" t="s">
        <v>32</v>
      </c>
      <c r="J362" s="7">
        <f>Table2[[#This Row],[UnitPrice]]*Table2[[#This Row],[Quantity]]*(1-Table2[[#This Row],[Discount]])</f>
        <v>3591.3779999999997</v>
      </c>
      <c r="K362" t="s">
        <v>40</v>
      </c>
      <c r="L362" t="s">
        <v>44</v>
      </c>
      <c r="M362">
        <v>0</v>
      </c>
      <c r="N362" t="s">
        <v>406</v>
      </c>
      <c r="O362" t="s">
        <v>1898</v>
      </c>
      <c r="P362" s="7">
        <v>41.5</v>
      </c>
      <c r="Q362" s="1">
        <v>45761</v>
      </c>
      <c r="R362">
        <f>WEEKNUM(Table2[[#This Row],[OrderDate]])</f>
        <v>16</v>
      </c>
      <c r="S362" s="1">
        <v>45764</v>
      </c>
      <c r="T362" t="s">
        <v>2920</v>
      </c>
    </row>
    <row r="363" spans="1:20" x14ac:dyDescent="0.35">
      <c r="A363" s="1">
        <v>45823</v>
      </c>
      <c r="B363" t="s">
        <v>2934</v>
      </c>
      <c r="C363" t="s">
        <v>21</v>
      </c>
      <c r="D363" s="9">
        <v>5</v>
      </c>
      <c r="E363" s="7">
        <v>5.52</v>
      </c>
      <c r="F363" t="s">
        <v>28</v>
      </c>
      <c r="G363" t="s">
        <v>31</v>
      </c>
      <c r="H363" s="12">
        <v>0.05</v>
      </c>
      <c r="I363" t="s">
        <v>33</v>
      </c>
      <c r="J363" s="7">
        <f>Table2[[#This Row],[UnitPrice]]*Table2[[#This Row],[Quantity]]*(1-Table2[[#This Row],[Discount]])</f>
        <v>26.219999999999995</v>
      </c>
      <c r="K363" t="s">
        <v>40</v>
      </c>
      <c r="L363" t="s">
        <v>43</v>
      </c>
      <c r="M363">
        <v>0</v>
      </c>
      <c r="N363" t="s">
        <v>407</v>
      </c>
      <c r="O363" t="s">
        <v>1899</v>
      </c>
      <c r="P363" s="7">
        <v>10.58</v>
      </c>
      <c r="Q363" s="1">
        <v>45823</v>
      </c>
      <c r="R363">
        <f>WEEKNUM(Table2[[#This Row],[OrderDate]])</f>
        <v>25</v>
      </c>
      <c r="S363" s="1">
        <v>45826</v>
      </c>
      <c r="T363" t="s">
        <v>2920</v>
      </c>
    </row>
    <row r="364" spans="1:20" x14ac:dyDescent="0.35">
      <c r="A364" s="1">
        <v>45587</v>
      </c>
      <c r="B364" t="s">
        <v>2931</v>
      </c>
      <c r="C364" t="s">
        <v>23</v>
      </c>
      <c r="D364" s="9">
        <v>18</v>
      </c>
      <c r="E364" s="7">
        <v>396.25</v>
      </c>
      <c r="F364" t="s">
        <v>29</v>
      </c>
      <c r="G364" t="s">
        <v>31</v>
      </c>
      <c r="H364" s="12">
        <v>0.1</v>
      </c>
      <c r="I364" t="s">
        <v>34</v>
      </c>
      <c r="J364" s="7">
        <f>Table2[[#This Row],[UnitPrice]]*Table2[[#This Row],[Quantity]]*(1-Table2[[#This Row],[Discount]])</f>
        <v>6419.25</v>
      </c>
      <c r="K364" t="s">
        <v>40</v>
      </c>
      <c r="L364" t="s">
        <v>43</v>
      </c>
      <c r="M364">
        <v>0</v>
      </c>
      <c r="N364" t="s">
        <v>408</v>
      </c>
      <c r="O364" t="s">
        <v>1900</v>
      </c>
      <c r="P364" s="7">
        <v>20.39</v>
      </c>
      <c r="Q364" s="1">
        <v>45587</v>
      </c>
      <c r="R364">
        <f>WEEKNUM(Table2[[#This Row],[OrderDate]])</f>
        <v>43</v>
      </c>
      <c r="S364" s="1">
        <v>45592</v>
      </c>
      <c r="T364" t="s">
        <v>2919</v>
      </c>
    </row>
    <row r="365" spans="1:20" x14ac:dyDescent="0.35">
      <c r="A365" s="1">
        <v>45097</v>
      </c>
      <c r="B365" t="s">
        <v>2932</v>
      </c>
      <c r="C365" t="s">
        <v>19</v>
      </c>
      <c r="D365" s="9">
        <v>9</v>
      </c>
      <c r="E365" s="7">
        <v>282.8</v>
      </c>
      <c r="F365" t="s">
        <v>29</v>
      </c>
      <c r="G365" t="s">
        <v>30</v>
      </c>
      <c r="H365" s="12">
        <v>0.05</v>
      </c>
      <c r="I365" t="s">
        <v>32</v>
      </c>
      <c r="J365" s="7">
        <f>Table2[[#This Row],[UnitPrice]]*Table2[[#This Row],[Quantity]]*(1-Table2[[#This Row],[Discount]])</f>
        <v>2417.94</v>
      </c>
      <c r="K365" t="s">
        <v>38</v>
      </c>
      <c r="L365" t="s">
        <v>2937</v>
      </c>
      <c r="M365">
        <v>0</v>
      </c>
      <c r="N365" t="s">
        <v>409</v>
      </c>
      <c r="O365" t="s">
        <v>1901</v>
      </c>
      <c r="P365" s="7">
        <v>49.79</v>
      </c>
      <c r="Q365" s="1">
        <v>45097</v>
      </c>
      <c r="R365">
        <f>WEEKNUM(Table2[[#This Row],[OrderDate]])</f>
        <v>25</v>
      </c>
      <c r="S365" s="1">
        <v>45102</v>
      </c>
      <c r="T365" t="s">
        <v>2918</v>
      </c>
    </row>
    <row r="366" spans="1:20" x14ac:dyDescent="0.35">
      <c r="A366" s="1">
        <v>45721</v>
      </c>
      <c r="B366" t="s">
        <v>2932</v>
      </c>
      <c r="C366" t="s">
        <v>20</v>
      </c>
      <c r="D366" s="9">
        <v>6</v>
      </c>
      <c r="E366" s="7">
        <v>525.42999999999995</v>
      </c>
      <c r="F366" t="s">
        <v>28</v>
      </c>
      <c r="G366" t="s">
        <v>30</v>
      </c>
      <c r="H366" s="12">
        <v>0.05</v>
      </c>
      <c r="I366" t="s">
        <v>33</v>
      </c>
      <c r="J366" s="7">
        <f>Table2[[#This Row],[UnitPrice]]*Table2[[#This Row],[Quantity]]*(1-Table2[[#This Row],[Discount]])</f>
        <v>2994.9509999999996</v>
      </c>
      <c r="K366" t="s">
        <v>40</v>
      </c>
      <c r="L366" t="s">
        <v>2937</v>
      </c>
      <c r="M366">
        <v>0</v>
      </c>
      <c r="N366" t="s">
        <v>410</v>
      </c>
      <c r="O366" t="s">
        <v>1902</v>
      </c>
      <c r="P366" s="7">
        <v>39.28</v>
      </c>
      <c r="Q366" s="1">
        <v>45721</v>
      </c>
      <c r="R366">
        <f>WEEKNUM(Table2[[#This Row],[OrderDate]])</f>
        <v>10</v>
      </c>
      <c r="S366" s="1">
        <v>45727</v>
      </c>
      <c r="T366" t="s">
        <v>2918</v>
      </c>
    </row>
    <row r="367" spans="1:20" x14ac:dyDescent="0.35">
      <c r="A367" s="1">
        <v>45227</v>
      </c>
      <c r="B367" t="s">
        <v>2933</v>
      </c>
      <c r="C367" t="s">
        <v>24</v>
      </c>
      <c r="D367" s="9">
        <v>15</v>
      </c>
      <c r="E367" s="7">
        <v>127.67</v>
      </c>
      <c r="F367" t="s">
        <v>29</v>
      </c>
      <c r="G367" t="s">
        <v>31</v>
      </c>
      <c r="H367" s="12">
        <v>0.1</v>
      </c>
      <c r="I367" t="s">
        <v>33</v>
      </c>
      <c r="J367" s="7">
        <f>Table2[[#This Row],[UnitPrice]]*Table2[[#This Row],[Quantity]]*(1-Table2[[#This Row],[Discount]])</f>
        <v>1723.5450000000001</v>
      </c>
      <c r="K367" t="s">
        <v>41</v>
      </c>
      <c r="L367" t="s">
        <v>2937</v>
      </c>
      <c r="M367">
        <v>0</v>
      </c>
      <c r="N367" t="s">
        <v>411</v>
      </c>
      <c r="O367" t="s">
        <v>1903</v>
      </c>
      <c r="P367" s="7">
        <v>48.77</v>
      </c>
      <c r="Q367" s="1">
        <v>45227</v>
      </c>
      <c r="R367">
        <f>WEEKNUM(Table2[[#This Row],[OrderDate]])</f>
        <v>43</v>
      </c>
      <c r="S367" s="1">
        <v>45229</v>
      </c>
      <c r="T367" t="s">
        <v>2921</v>
      </c>
    </row>
    <row r="368" spans="1:20" x14ac:dyDescent="0.35">
      <c r="A368" s="1">
        <v>45735</v>
      </c>
      <c r="B368" t="s">
        <v>2934</v>
      </c>
      <c r="C368" t="s">
        <v>19</v>
      </c>
      <c r="D368" s="9">
        <v>17</v>
      </c>
      <c r="E368" s="7">
        <v>511.8</v>
      </c>
      <c r="F368" t="s">
        <v>26</v>
      </c>
      <c r="G368" t="s">
        <v>31</v>
      </c>
      <c r="H368" s="12">
        <v>0.05</v>
      </c>
      <c r="I368" t="s">
        <v>35</v>
      </c>
      <c r="J368" s="7">
        <f>Table2[[#This Row],[UnitPrice]]*Table2[[#This Row],[Quantity]]*(1-Table2[[#This Row],[Discount]])</f>
        <v>8265.57</v>
      </c>
      <c r="K368" t="s">
        <v>40</v>
      </c>
      <c r="L368" t="s">
        <v>45</v>
      </c>
      <c r="M368">
        <v>1</v>
      </c>
      <c r="N368" t="s">
        <v>412</v>
      </c>
      <c r="O368" t="s">
        <v>1904</v>
      </c>
      <c r="P368" s="7">
        <v>13.33</v>
      </c>
      <c r="Q368" s="1">
        <v>45735</v>
      </c>
      <c r="R368">
        <f>WEEKNUM(Table2[[#This Row],[OrderDate]])</f>
        <v>12</v>
      </c>
      <c r="S368" s="1">
        <v>45742</v>
      </c>
      <c r="T368" t="s">
        <v>2920</v>
      </c>
    </row>
    <row r="369" spans="1:20" x14ac:dyDescent="0.35">
      <c r="A369" s="1">
        <v>45144</v>
      </c>
      <c r="B369" t="s">
        <v>2933</v>
      </c>
      <c r="C369" t="s">
        <v>24</v>
      </c>
      <c r="D369" s="9">
        <v>4</v>
      </c>
      <c r="E369" s="7">
        <v>555.86</v>
      </c>
      <c r="F369" t="s">
        <v>28</v>
      </c>
      <c r="G369" t="s">
        <v>31</v>
      </c>
      <c r="H369" s="12">
        <v>0.05</v>
      </c>
      <c r="I369" t="s">
        <v>37</v>
      </c>
      <c r="J369" s="7">
        <f>Table2[[#This Row],[UnitPrice]]*Table2[[#This Row],[Quantity]]*(1-Table2[[#This Row],[Discount]])</f>
        <v>2112.268</v>
      </c>
      <c r="K369" t="s">
        <v>42</v>
      </c>
      <c r="L369" t="s">
        <v>43</v>
      </c>
      <c r="M369">
        <v>0</v>
      </c>
      <c r="N369" t="s">
        <v>413</v>
      </c>
      <c r="O369" t="s">
        <v>1905</v>
      </c>
      <c r="P369" s="7">
        <v>28.92</v>
      </c>
      <c r="Q369" s="1">
        <v>45144</v>
      </c>
      <c r="R369">
        <f>WEEKNUM(Table2[[#This Row],[OrderDate]])</f>
        <v>32</v>
      </c>
      <c r="S369" s="1">
        <v>45146</v>
      </c>
      <c r="T369" t="s">
        <v>2921</v>
      </c>
    </row>
    <row r="370" spans="1:20" x14ac:dyDescent="0.35">
      <c r="A370" s="1">
        <v>45546</v>
      </c>
      <c r="B370" t="s">
        <v>2934</v>
      </c>
      <c r="C370" t="s">
        <v>23</v>
      </c>
      <c r="D370" s="9">
        <v>15</v>
      </c>
      <c r="E370" s="7">
        <v>202.72</v>
      </c>
      <c r="F370" t="s">
        <v>29</v>
      </c>
      <c r="G370" t="s">
        <v>31</v>
      </c>
      <c r="H370" s="12">
        <v>0.05</v>
      </c>
      <c r="I370" t="s">
        <v>32</v>
      </c>
      <c r="J370" s="7">
        <f>Table2[[#This Row],[UnitPrice]]*Table2[[#This Row],[Quantity]]*(1-Table2[[#This Row],[Discount]])</f>
        <v>2888.76</v>
      </c>
      <c r="K370" t="s">
        <v>41</v>
      </c>
      <c r="L370" t="s">
        <v>45</v>
      </c>
      <c r="M370">
        <v>1</v>
      </c>
      <c r="N370" t="s">
        <v>414</v>
      </c>
      <c r="O370" t="s">
        <v>1906</v>
      </c>
      <c r="P370" s="7">
        <v>41.61</v>
      </c>
      <c r="Q370" s="1">
        <v>45546</v>
      </c>
      <c r="R370">
        <f>WEEKNUM(Table2[[#This Row],[OrderDate]])</f>
        <v>37</v>
      </c>
      <c r="S370" s="1">
        <v>45554</v>
      </c>
      <c r="T370" t="s">
        <v>2920</v>
      </c>
    </row>
    <row r="371" spans="1:20" x14ac:dyDescent="0.35">
      <c r="A371" s="1">
        <v>45665</v>
      </c>
      <c r="B371" t="s">
        <v>2934</v>
      </c>
      <c r="C371" t="s">
        <v>22</v>
      </c>
      <c r="D371" s="9">
        <v>4</v>
      </c>
      <c r="E371" s="7">
        <v>353.7</v>
      </c>
      <c r="F371" t="s">
        <v>27</v>
      </c>
      <c r="G371" t="s">
        <v>30</v>
      </c>
      <c r="H371" s="12">
        <v>0</v>
      </c>
      <c r="I371" t="s">
        <v>34</v>
      </c>
      <c r="J371" s="7">
        <f>Table2[[#This Row],[UnitPrice]]*Table2[[#This Row],[Quantity]]*(1-Table2[[#This Row],[Discount]])</f>
        <v>1414.8</v>
      </c>
      <c r="K371" t="s">
        <v>40</v>
      </c>
      <c r="L371" t="s">
        <v>43</v>
      </c>
      <c r="M371">
        <v>0</v>
      </c>
      <c r="N371" t="s">
        <v>415</v>
      </c>
      <c r="O371" t="s">
        <v>1907</v>
      </c>
      <c r="P371" s="7">
        <v>41.98</v>
      </c>
      <c r="Q371" s="1">
        <v>45665</v>
      </c>
      <c r="R371">
        <f>WEEKNUM(Table2[[#This Row],[OrderDate]])</f>
        <v>2</v>
      </c>
      <c r="S371" s="1">
        <v>45669</v>
      </c>
      <c r="T371" t="s">
        <v>2920</v>
      </c>
    </row>
    <row r="372" spans="1:20" x14ac:dyDescent="0.35">
      <c r="A372" s="1">
        <v>45516</v>
      </c>
      <c r="B372" t="s">
        <v>2934</v>
      </c>
      <c r="C372" t="s">
        <v>22</v>
      </c>
      <c r="D372" s="9">
        <v>3</v>
      </c>
      <c r="E372" s="7">
        <v>149.25</v>
      </c>
      <c r="F372" t="s">
        <v>29</v>
      </c>
      <c r="G372" t="s">
        <v>30</v>
      </c>
      <c r="H372" s="12">
        <v>0</v>
      </c>
      <c r="I372" t="s">
        <v>35</v>
      </c>
      <c r="J372" s="7">
        <f>Table2[[#This Row],[UnitPrice]]*Table2[[#This Row],[Quantity]]*(1-Table2[[#This Row],[Discount]])</f>
        <v>447.75</v>
      </c>
      <c r="K372" t="s">
        <v>41</v>
      </c>
      <c r="L372" t="s">
        <v>2937</v>
      </c>
      <c r="M372">
        <v>1</v>
      </c>
      <c r="N372" t="s">
        <v>416</v>
      </c>
      <c r="O372" t="s">
        <v>1908</v>
      </c>
      <c r="P372" s="7">
        <v>13.17</v>
      </c>
      <c r="Q372" s="1">
        <v>45516</v>
      </c>
      <c r="R372">
        <f>WEEKNUM(Table2[[#This Row],[OrderDate]])</f>
        <v>33</v>
      </c>
      <c r="S372" s="1">
        <v>45518</v>
      </c>
      <c r="T372" t="s">
        <v>2920</v>
      </c>
    </row>
    <row r="373" spans="1:20" x14ac:dyDescent="0.35">
      <c r="A373" s="1">
        <v>45015</v>
      </c>
      <c r="B373" t="s">
        <v>2931</v>
      </c>
      <c r="C373" t="s">
        <v>23</v>
      </c>
      <c r="D373" s="9">
        <v>19</v>
      </c>
      <c r="E373" s="7">
        <v>156.44</v>
      </c>
      <c r="F373" t="s">
        <v>28</v>
      </c>
      <c r="G373" t="s">
        <v>30</v>
      </c>
      <c r="H373" s="12">
        <v>0.1</v>
      </c>
      <c r="I373" t="s">
        <v>33</v>
      </c>
      <c r="J373" s="7">
        <f>Table2[[#This Row],[UnitPrice]]*Table2[[#This Row],[Quantity]]*(1-Table2[[#This Row],[Discount]])</f>
        <v>2675.1240000000003</v>
      </c>
      <c r="K373" t="s">
        <v>38</v>
      </c>
      <c r="L373" t="s">
        <v>45</v>
      </c>
      <c r="M373">
        <v>0</v>
      </c>
      <c r="N373" t="s">
        <v>417</v>
      </c>
      <c r="O373" t="s">
        <v>1909</v>
      </c>
      <c r="P373" s="7">
        <v>19.440000000000001</v>
      </c>
      <c r="Q373" s="1">
        <v>45015</v>
      </c>
      <c r="R373">
        <f>WEEKNUM(Table2[[#This Row],[OrderDate]])</f>
        <v>13</v>
      </c>
      <c r="S373" s="1">
        <v>45020</v>
      </c>
      <c r="T373" t="s">
        <v>2919</v>
      </c>
    </row>
    <row r="374" spans="1:20" x14ac:dyDescent="0.35">
      <c r="A374" s="1">
        <v>44958</v>
      </c>
      <c r="B374" t="s">
        <v>2934</v>
      </c>
      <c r="C374" t="s">
        <v>20</v>
      </c>
      <c r="D374" s="9">
        <v>7</v>
      </c>
      <c r="E374" s="7">
        <v>241.76</v>
      </c>
      <c r="F374" t="s">
        <v>29</v>
      </c>
      <c r="G374" t="s">
        <v>30</v>
      </c>
      <c r="H374" s="12">
        <v>0</v>
      </c>
      <c r="I374" t="s">
        <v>35</v>
      </c>
      <c r="J374" s="7">
        <f>Table2[[#This Row],[UnitPrice]]*Table2[[#This Row],[Quantity]]*(1-Table2[[#This Row],[Discount]])</f>
        <v>1692.32</v>
      </c>
      <c r="K374" t="s">
        <v>38</v>
      </c>
      <c r="L374" t="s">
        <v>44</v>
      </c>
      <c r="M374">
        <v>0</v>
      </c>
      <c r="N374" t="s">
        <v>418</v>
      </c>
      <c r="O374" t="s">
        <v>1910</v>
      </c>
      <c r="P374" s="7">
        <v>48.13</v>
      </c>
      <c r="Q374" s="1">
        <v>44958</v>
      </c>
      <c r="R374">
        <f>WEEKNUM(Table2[[#This Row],[OrderDate]])</f>
        <v>5</v>
      </c>
      <c r="S374" s="1">
        <v>44966</v>
      </c>
      <c r="T374" t="s">
        <v>2920</v>
      </c>
    </row>
    <row r="375" spans="1:20" x14ac:dyDescent="0.35">
      <c r="A375" s="1">
        <v>45765</v>
      </c>
      <c r="B375" t="s">
        <v>2931</v>
      </c>
      <c r="C375" t="s">
        <v>19</v>
      </c>
      <c r="D375" s="9">
        <v>20</v>
      </c>
      <c r="E375" s="7">
        <v>170.49</v>
      </c>
      <c r="F375" t="s">
        <v>27</v>
      </c>
      <c r="G375" t="s">
        <v>30</v>
      </c>
      <c r="H375" s="12">
        <v>0</v>
      </c>
      <c r="I375" t="s">
        <v>36</v>
      </c>
      <c r="J375" s="7">
        <f>Table2[[#This Row],[UnitPrice]]*Table2[[#This Row],[Quantity]]*(1-Table2[[#This Row],[Discount]])</f>
        <v>3409.8</v>
      </c>
      <c r="K375" t="s">
        <v>38</v>
      </c>
      <c r="L375" t="s">
        <v>43</v>
      </c>
      <c r="M375">
        <v>0</v>
      </c>
      <c r="N375" t="s">
        <v>419</v>
      </c>
      <c r="O375" t="s">
        <v>1646</v>
      </c>
      <c r="P375" s="7">
        <v>19.739999999999998</v>
      </c>
      <c r="Q375" s="1">
        <v>45765</v>
      </c>
      <c r="R375">
        <f>WEEKNUM(Table2[[#This Row],[OrderDate]])</f>
        <v>16</v>
      </c>
      <c r="S375" s="1">
        <v>45774</v>
      </c>
      <c r="T375" t="s">
        <v>2919</v>
      </c>
    </row>
    <row r="376" spans="1:20" x14ac:dyDescent="0.35">
      <c r="A376" s="1">
        <v>45745</v>
      </c>
      <c r="B376" t="s">
        <v>2934</v>
      </c>
      <c r="C376" t="s">
        <v>23</v>
      </c>
      <c r="D376" s="9">
        <v>11</v>
      </c>
      <c r="E376" s="7">
        <v>149.66999999999999</v>
      </c>
      <c r="F376" t="s">
        <v>28</v>
      </c>
      <c r="G376" t="s">
        <v>31</v>
      </c>
      <c r="H376" s="12">
        <v>0.1</v>
      </c>
      <c r="I376" t="s">
        <v>32</v>
      </c>
      <c r="J376" s="7">
        <f>Table2[[#This Row],[UnitPrice]]*Table2[[#This Row],[Quantity]]*(1-Table2[[#This Row],[Discount]])</f>
        <v>1481.7329999999999</v>
      </c>
      <c r="K376" t="s">
        <v>40</v>
      </c>
      <c r="L376" t="s">
        <v>2937</v>
      </c>
      <c r="M376">
        <v>0</v>
      </c>
      <c r="N376" t="s">
        <v>420</v>
      </c>
      <c r="O376" t="s">
        <v>1911</v>
      </c>
      <c r="P376" s="7">
        <v>34.130000000000003</v>
      </c>
      <c r="Q376" s="1">
        <v>45745</v>
      </c>
      <c r="R376">
        <f>WEEKNUM(Table2[[#This Row],[OrderDate]])</f>
        <v>13</v>
      </c>
      <c r="S376" s="1">
        <v>45749</v>
      </c>
      <c r="T376" t="s">
        <v>2920</v>
      </c>
    </row>
    <row r="377" spans="1:20" x14ac:dyDescent="0.35">
      <c r="A377" s="1">
        <v>45407</v>
      </c>
      <c r="B377" t="s">
        <v>2930</v>
      </c>
      <c r="C377" t="s">
        <v>24</v>
      </c>
      <c r="D377" s="9">
        <v>1</v>
      </c>
      <c r="E377" s="7">
        <v>173.56</v>
      </c>
      <c r="F377" t="s">
        <v>29</v>
      </c>
      <c r="G377" t="s">
        <v>31</v>
      </c>
      <c r="H377" s="12">
        <v>0.1</v>
      </c>
      <c r="I377" t="s">
        <v>32</v>
      </c>
      <c r="J377" s="7">
        <f>Table2[[#This Row],[UnitPrice]]*Table2[[#This Row],[Quantity]]*(1-Table2[[#This Row],[Discount]])</f>
        <v>156.20400000000001</v>
      </c>
      <c r="K377" t="s">
        <v>41</v>
      </c>
      <c r="L377" t="s">
        <v>43</v>
      </c>
      <c r="M377">
        <v>0</v>
      </c>
      <c r="N377" t="s">
        <v>421</v>
      </c>
      <c r="O377" t="s">
        <v>1912</v>
      </c>
      <c r="P377" s="7">
        <v>39.1</v>
      </c>
      <c r="Q377" s="1">
        <v>45407</v>
      </c>
      <c r="R377">
        <f>WEEKNUM(Table2[[#This Row],[OrderDate]])</f>
        <v>17</v>
      </c>
      <c r="S377" s="1">
        <v>45410</v>
      </c>
      <c r="T377" t="s">
        <v>2917</v>
      </c>
    </row>
    <row r="378" spans="1:20" x14ac:dyDescent="0.35">
      <c r="A378" s="1">
        <v>45557</v>
      </c>
      <c r="B378" t="s">
        <v>2932</v>
      </c>
      <c r="C378" t="s">
        <v>23</v>
      </c>
      <c r="D378" s="9">
        <v>7</v>
      </c>
      <c r="E378" s="7">
        <v>349.55</v>
      </c>
      <c r="F378" t="s">
        <v>27</v>
      </c>
      <c r="G378" t="s">
        <v>31</v>
      </c>
      <c r="H378" s="12">
        <v>0.05</v>
      </c>
      <c r="I378" t="s">
        <v>35</v>
      </c>
      <c r="J378" s="7">
        <f>Table2[[#This Row],[UnitPrice]]*Table2[[#This Row],[Quantity]]*(1-Table2[[#This Row],[Discount]])</f>
        <v>2324.5074999999997</v>
      </c>
      <c r="K378" t="s">
        <v>40</v>
      </c>
      <c r="L378" t="s">
        <v>43</v>
      </c>
      <c r="M378">
        <v>0</v>
      </c>
      <c r="N378" t="s">
        <v>422</v>
      </c>
      <c r="O378" t="s">
        <v>1913</v>
      </c>
      <c r="P378" s="7">
        <v>23.7</v>
      </c>
      <c r="Q378" s="1">
        <v>45557</v>
      </c>
      <c r="R378">
        <f>WEEKNUM(Table2[[#This Row],[OrderDate]])</f>
        <v>39</v>
      </c>
      <c r="S378" s="1">
        <v>45562</v>
      </c>
      <c r="T378" t="s">
        <v>2918</v>
      </c>
    </row>
    <row r="379" spans="1:20" x14ac:dyDescent="0.35">
      <c r="A379" s="1">
        <v>45143</v>
      </c>
      <c r="B379" t="s">
        <v>2934</v>
      </c>
      <c r="C379" t="s">
        <v>24</v>
      </c>
      <c r="D379" s="9">
        <v>9</v>
      </c>
      <c r="E379" s="7">
        <v>245.14</v>
      </c>
      <c r="F379" t="s">
        <v>26</v>
      </c>
      <c r="G379" t="s">
        <v>30</v>
      </c>
      <c r="H379" s="12">
        <v>0</v>
      </c>
      <c r="I379" t="s">
        <v>33</v>
      </c>
      <c r="J379" s="7">
        <f>Table2[[#This Row],[UnitPrice]]*Table2[[#This Row],[Quantity]]*(1-Table2[[#This Row],[Discount]])</f>
        <v>2206.2599999999998</v>
      </c>
      <c r="K379" t="s">
        <v>38</v>
      </c>
      <c r="L379" t="s">
        <v>44</v>
      </c>
      <c r="M379">
        <v>1</v>
      </c>
      <c r="N379" t="s">
        <v>423</v>
      </c>
      <c r="O379" t="s">
        <v>1914</v>
      </c>
      <c r="P379" s="7">
        <v>44.6</v>
      </c>
      <c r="Q379" s="1">
        <v>45143</v>
      </c>
      <c r="R379">
        <f>WEEKNUM(Table2[[#This Row],[OrderDate]])</f>
        <v>31</v>
      </c>
      <c r="S379" s="1">
        <v>45152</v>
      </c>
      <c r="T379" t="s">
        <v>2920</v>
      </c>
    </row>
    <row r="380" spans="1:20" x14ac:dyDescent="0.35">
      <c r="A380" s="1">
        <v>45450</v>
      </c>
      <c r="B380" t="s">
        <v>2932</v>
      </c>
      <c r="C380" t="s">
        <v>21</v>
      </c>
      <c r="D380" s="9">
        <v>1</v>
      </c>
      <c r="E380" s="7">
        <v>423.08</v>
      </c>
      <c r="F380" t="s">
        <v>26</v>
      </c>
      <c r="G380" t="s">
        <v>30</v>
      </c>
      <c r="H380" s="12">
        <v>0.05</v>
      </c>
      <c r="I380" t="s">
        <v>37</v>
      </c>
      <c r="J380" s="7">
        <f>Table2[[#This Row],[UnitPrice]]*Table2[[#This Row],[Quantity]]*(1-Table2[[#This Row],[Discount]])</f>
        <v>401.92599999999999</v>
      </c>
      <c r="K380" t="s">
        <v>39</v>
      </c>
      <c r="L380" t="s">
        <v>45</v>
      </c>
      <c r="M380">
        <v>0</v>
      </c>
      <c r="N380" t="s">
        <v>424</v>
      </c>
      <c r="O380" t="s">
        <v>1915</v>
      </c>
      <c r="P380" s="7">
        <v>31.75</v>
      </c>
      <c r="Q380" s="1">
        <v>45450</v>
      </c>
      <c r="R380">
        <f>WEEKNUM(Table2[[#This Row],[OrderDate]])</f>
        <v>23</v>
      </c>
      <c r="S380" s="1">
        <v>45454</v>
      </c>
      <c r="T380" t="s">
        <v>2918</v>
      </c>
    </row>
    <row r="381" spans="1:20" x14ac:dyDescent="0.35">
      <c r="A381" s="1">
        <v>45801</v>
      </c>
      <c r="B381" t="s">
        <v>2930</v>
      </c>
      <c r="C381" t="s">
        <v>20</v>
      </c>
      <c r="D381" s="9">
        <v>19</v>
      </c>
      <c r="E381" s="7">
        <v>337.82</v>
      </c>
      <c r="F381" t="s">
        <v>26</v>
      </c>
      <c r="G381" t="s">
        <v>30</v>
      </c>
      <c r="H381" s="12">
        <v>0.15</v>
      </c>
      <c r="I381" t="s">
        <v>33</v>
      </c>
      <c r="J381" s="7">
        <f>Table2[[#This Row],[UnitPrice]]*Table2[[#This Row],[Quantity]]*(1-Table2[[#This Row],[Discount]])</f>
        <v>5455.7929999999997</v>
      </c>
      <c r="K381" t="s">
        <v>38</v>
      </c>
      <c r="L381" t="s">
        <v>43</v>
      </c>
      <c r="M381">
        <v>0</v>
      </c>
      <c r="N381" t="s">
        <v>425</v>
      </c>
      <c r="O381" t="s">
        <v>1916</v>
      </c>
      <c r="P381" s="7">
        <v>45.74</v>
      </c>
      <c r="Q381" s="1">
        <v>45801</v>
      </c>
      <c r="R381">
        <f>WEEKNUM(Table2[[#This Row],[OrderDate]])</f>
        <v>21</v>
      </c>
      <c r="S381" s="1">
        <v>45807</v>
      </c>
      <c r="T381" t="s">
        <v>2917</v>
      </c>
    </row>
    <row r="382" spans="1:20" x14ac:dyDescent="0.35">
      <c r="A382" s="1">
        <v>45491</v>
      </c>
      <c r="B382" t="s">
        <v>2932</v>
      </c>
      <c r="C382" t="s">
        <v>22</v>
      </c>
      <c r="D382" s="9">
        <v>10</v>
      </c>
      <c r="E382" s="7">
        <v>252.63</v>
      </c>
      <c r="F382" t="s">
        <v>26</v>
      </c>
      <c r="G382" t="s">
        <v>31</v>
      </c>
      <c r="H382" s="12">
        <v>0.15</v>
      </c>
      <c r="I382" t="s">
        <v>32</v>
      </c>
      <c r="J382" s="7">
        <f>Table2[[#This Row],[UnitPrice]]*Table2[[#This Row],[Quantity]]*(1-Table2[[#This Row],[Discount]])</f>
        <v>2147.355</v>
      </c>
      <c r="K382" t="s">
        <v>42</v>
      </c>
      <c r="L382" t="s">
        <v>43</v>
      </c>
      <c r="M382">
        <v>0</v>
      </c>
      <c r="N382" t="s">
        <v>426</v>
      </c>
      <c r="O382" t="s">
        <v>1917</v>
      </c>
      <c r="P382" s="7">
        <v>8.92</v>
      </c>
      <c r="Q382" s="1">
        <v>45491</v>
      </c>
      <c r="R382">
        <f>WEEKNUM(Table2[[#This Row],[OrderDate]])</f>
        <v>29</v>
      </c>
      <c r="S382" s="1">
        <v>45498</v>
      </c>
      <c r="T382" t="s">
        <v>2918</v>
      </c>
    </row>
    <row r="383" spans="1:20" x14ac:dyDescent="0.35">
      <c r="A383" s="1">
        <v>45487</v>
      </c>
      <c r="B383" t="s">
        <v>2933</v>
      </c>
      <c r="C383" t="s">
        <v>24</v>
      </c>
      <c r="D383" s="9">
        <v>3</v>
      </c>
      <c r="E383" s="7">
        <v>87.02</v>
      </c>
      <c r="F383" t="s">
        <v>26</v>
      </c>
      <c r="G383" t="s">
        <v>30</v>
      </c>
      <c r="H383" s="12">
        <v>0.1</v>
      </c>
      <c r="I383" t="s">
        <v>34</v>
      </c>
      <c r="J383" s="7">
        <f>Table2[[#This Row],[UnitPrice]]*Table2[[#This Row],[Quantity]]*(1-Table2[[#This Row],[Discount]])</f>
        <v>234.95400000000001</v>
      </c>
      <c r="K383" t="s">
        <v>42</v>
      </c>
      <c r="L383" t="s">
        <v>45</v>
      </c>
      <c r="M383">
        <v>0</v>
      </c>
      <c r="N383" t="s">
        <v>427</v>
      </c>
      <c r="O383" t="s">
        <v>1918</v>
      </c>
      <c r="P383" s="7">
        <v>11.13</v>
      </c>
      <c r="Q383" s="1">
        <v>45487</v>
      </c>
      <c r="R383">
        <f>WEEKNUM(Table2[[#This Row],[OrderDate]])</f>
        <v>29</v>
      </c>
      <c r="S383" s="1">
        <v>45489</v>
      </c>
      <c r="T383" t="s">
        <v>2921</v>
      </c>
    </row>
    <row r="384" spans="1:20" x14ac:dyDescent="0.35">
      <c r="A384" s="1">
        <v>45030</v>
      </c>
      <c r="B384" t="s">
        <v>2934</v>
      </c>
      <c r="C384" t="s">
        <v>24</v>
      </c>
      <c r="D384" s="9">
        <v>11</v>
      </c>
      <c r="E384" s="7">
        <v>6.72</v>
      </c>
      <c r="F384" t="s">
        <v>29</v>
      </c>
      <c r="G384" t="s">
        <v>30</v>
      </c>
      <c r="H384" s="12">
        <v>0.05</v>
      </c>
      <c r="I384" t="s">
        <v>37</v>
      </c>
      <c r="J384" s="7">
        <f>Table2[[#This Row],[UnitPrice]]*Table2[[#This Row],[Quantity]]*(1-Table2[[#This Row],[Discount]])</f>
        <v>70.224000000000004</v>
      </c>
      <c r="K384" t="s">
        <v>42</v>
      </c>
      <c r="L384" t="s">
        <v>44</v>
      </c>
      <c r="M384">
        <v>0</v>
      </c>
      <c r="N384" t="s">
        <v>428</v>
      </c>
      <c r="O384" t="s">
        <v>1919</v>
      </c>
      <c r="P384" s="7">
        <v>34.270000000000003</v>
      </c>
      <c r="Q384" s="1">
        <v>45030</v>
      </c>
      <c r="R384">
        <f>WEEKNUM(Table2[[#This Row],[OrderDate]])</f>
        <v>15</v>
      </c>
      <c r="S384" s="1">
        <v>45035</v>
      </c>
      <c r="T384" t="s">
        <v>2920</v>
      </c>
    </row>
    <row r="385" spans="1:20" x14ac:dyDescent="0.35">
      <c r="A385" s="1">
        <v>45078</v>
      </c>
      <c r="B385" t="s">
        <v>2932</v>
      </c>
      <c r="C385" t="s">
        <v>25</v>
      </c>
      <c r="D385" s="9">
        <v>2</v>
      </c>
      <c r="E385" s="7">
        <v>279.38</v>
      </c>
      <c r="F385" t="s">
        <v>29</v>
      </c>
      <c r="G385" t="s">
        <v>31</v>
      </c>
      <c r="H385" s="12">
        <v>0.1</v>
      </c>
      <c r="I385" t="s">
        <v>35</v>
      </c>
      <c r="J385" s="7">
        <f>Table2[[#This Row],[UnitPrice]]*Table2[[#This Row],[Quantity]]*(1-Table2[[#This Row],[Discount]])</f>
        <v>502.88400000000001</v>
      </c>
      <c r="K385" t="s">
        <v>38</v>
      </c>
      <c r="L385" t="s">
        <v>43</v>
      </c>
      <c r="M385">
        <v>0</v>
      </c>
      <c r="N385" t="s">
        <v>429</v>
      </c>
      <c r="O385" t="s">
        <v>1920</v>
      </c>
      <c r="P385" s="7">
        <v>22.95</v>
      </c>
      <c r="Q385" s="1">
        <v>45078</v>
      </c>
      <c r="R385">
        <f>WEEKNUM(Table2[[#This Row],[OrderDate]])</f>
        <v>22</v>
      </c>
      <c r="S385" s="1">
        <v>45083</v>
      </c>
      <c r="T385" t="s">
        <v>2918</v>
      </c>
    </row>
    <row r="386" spans="1:20" x14ac:dyDescent="0.35">
      <c r="A386" s="1">
        <v>45764</v>
      </c>
      <c r="B386" t="s">
        <v>2934</v>
      </c>
      <c r="C386" t="s">
        <v>20</v>
      </c>
      <c r="D386" s="9">
        <v>9</v>
      </c>
      <c r="E386" s="7">
        <v>207.8</v>
      </c>
      <c r="F386" t="s">
        <v>29</v>
      </c>
      <c r="G386" t="s">
        <v>31</v>
      </c>
      <c r="H386" s="12">
        <v>0.1</v>
      </c>
      <c r="I386" t="s">
        <v>33</v>
      </c>
      <c r="J386" s="7">
        <f>Table2[[#This Row],[UnitPrice]]*Table2[[#This Row],[Quantity]]*(1-Table2[[#This Row],[Discount]])</f>
        <v>1683.18</v>
      </c>
      <c r="K386" t="s">
        <v>38</v>
      </c>
      <c r="L386" t="s">
        <v>45</v>
      </c>
      <c r="M386">
        <v>0</v>
      </c>
      <c r="N386" t="s">
        <v>430</v>
      </c>
      <c r="O386" t="s">
        <v>1921</v>
      </c>
      <c r="P386" s="7">
        <v>16.989999999999998</v>
      </c>
      <c r="Q386" s="1">
        <v>45764</v>
      </c>
      <c r="R386">
        <f>WEEKNUM(Table2[[#This Row],[OrderDate]])</f>
        <v>16</v>
      </c>
      <c r="S386" s="1">
        <v>45767</v>
      </c>
      <c r="T386" t="s">
        <v>2920</v>
      </c>
    </row>
    <row r="387" spans="1:20" x14ac:dyDescent="0.35">
      <c r="A387" s="1">
        <v>45747</v>
      </c>
      <c r="B387" t="s">
        <v>2930</v>
      </c>
      <c r="C387" t="s">
        <v>25</v>
      </c>
      <c r="D387" s="9">
        <v>15</v>
      </c>
      <c r="E387" s="7">
        <v>511.88</v>
      </c>
      <c r="F387" t="s">
        <v>28</v>
      </c>
      <c r="G387" t="s">
        <v>30</v>
      </c>
      <c r="H387" s="12">
        <v>0.05</v>
      </c>
      <c r="I387" t="s">
        <v>37</v>
      </c>
      <c r="J387" s="7">
        <f>Table2[[#This Row],[UnitPrice]]*Table2[[#This Row],[Quantity]]*(1-Table2[[#This Row],[Discount]])</f>
        <v>7294.2899999999991</v>
      </c>
      <c r="K387" t="s">
        <v>42</v>
      </c>
      <c r="L387" t="s">
        <v>44</v>
      </c>
      <c r="M387">
        <v>0</v>
      </c>
      <c r="N387" t="s">
        <v>431</v>
      </c>
      <c r="O387" t="s">
        <v>1922</v>
      </c>
      <c r="P387" s="7">
        <v>10.220000000000001</v>
      </c>
      <c r="Q387" s="1">
        <v>45747</v>
      </c>
      <c r="R387">
        <f>WEEKNUM(Table2[[#This Row],[OrderDate]])</f>
        <v>14</v>
      </c>
      <c r="S387" s="1">
        <v>45756</v>
      </c>
      <c r="T387" t="s">
        <v>2917</v>
      </c>
    </row>
    <row r="388" spans="1:20" x14ac:dyDescent="0.35">
      <c r="A388" s="1">
        <v>45488</v>
      </c>
      <c r="B388" t="s">
        <v>2930</v>
      </c>
      <c r="C388" t="s">
        <v>25</v>
      </c>
      <c r="D388" s="9">
        <v>10</v>
      </c>
      <c r="E388" s="7">
        <v>325.97000000000003</v>
      </c>
      <c r="F388" t="s">
        <v>29</v>
      </c>
      <c r="G388" t="s">
        <v>31</v>
      </c>
      <c r="H388" s="12">
        <v>0</v>
      </c>
      <c r="I388" t="s">
        <v>37</v>
      </c>
      <c r="J388" s="7">
        <f>Table2[[#This Row],[UnitPrice]]*Table2[[#This Row],[Quantity]]*(1-Table2[[#This Row],[Discount]])</f>
        <v>3259.7000000000003</v>
      </c>
      <c r="K388" t="s">
        <v>42</v>
      </c>
      <c r="L388" t="s">
        <v>43</v>
      </c>
      <c r="M388">
        <v>1</v>
      </c>
      <c r="N388" t="s">
        <v>432</v>
      </c>
      <c r="O388" t="s">
        <v>1923</v>
      </c>
      <c r="P388" s="7">
        <v>49.95</v>
      </c>
      <c r="Q388" s="1">
        <v>45488</v>
      </c>
      <c r="R388">
        <f>WEEKNUM(Table2[[#This Row],[OrderDate]])</f>
        <v>29</v>
      </c>
      <c r="S388" s="1">
        <v>45495</v>
      </c>
      <c r="T388" t="s">
        <v>2917</v>
      </c>
    </row>
    <row r="389" spans="1:20" x14ac:dyDescent="0.35">
      <c r="A389" s="1">
        <v>45534</v>
      </c>
      <c r="B389" t="s">
        <v>2932</v>
      </c>
      <c r="C389" t="s">
        <v>19</v>
      </c>
      <c r="D389" s="9">
        <v>17</v>
      </c>
      <c r="E389" s="7">
        <v>469.32</v>
      </c>
      <c r="F389" t="s">
        <v>26</v>
      </c>
      <c r="G389" t="s">
        <v>31</v>
      </c>
      <c r="H389" s="12">
        <v>0</v>
      </c>
      <c r="I389" t="s">
        <v>35</v>
      </c>
      <c r="J389" s="7">
        <f>Table2[[#This Row],[UnitPrice]]*Table2[[#This Row],[Quantity]]*(1-Table2[[#This Row],[Discount]])</f>
        <v>7978.44</v>
      </c>
      <c r="K389" t="s">
        <v>39</v>
      </c>
      <c r="L389" t="s">
        <v>45</v>
      </c>
      <c r="M389">
        <v>1</v>
      </c>
      <c r="N389" t="s">
        <v>433</v>
      </c>
      <c r="O389" t="s">
        <v>1924</v>
      </c>
      <c r="P389" s="7">
        <v>5.86</v>
      </c>
      <c r="Q389" s="1">
        <v>45534</v>
      </c>
      <c r="R389">
        <f>WEEKNUM(Table2[[#This Row],[OrderDate]])</f>
        <v>35</v>
      </c>
      <c r="S389" s="1">
        <v>45536</v>
      </c>
      <c r="T389" t="s">
        <v>2918</v>
      </c>
    </row>
    <row r="390" spans="1:20" x14ac:dyDescent="0.35">
      <c r="A390" s="1">
        <v>45664</v>
      </c>
      <c r="B390" t="s">
        <v>2934</v>
      </c>
      <c r="C390" t="s">
        <v>20</v>
      </c>
      <c r="D390" s="9">
        <v>13</v>
      </c>
      <c r="E390" s="7">
        <v>186.69</v>
      </c>
      <c r="F390" t="s">
        <v>29</v>
      </c>
      <c r="G390" t="s">
        <v>30</v>
      </c>
      <c r="H390" s="12">
        <v>0</v>
      </c>
      <c r="I390" t="s">
        <v>37</v>
      </c>
      <c r="J390" s="7">
        <f>Table2[[#This Row],[UnitPrice]]*Table2[[#This Row],[Quantity]]*(1-Table2[[#This Row],[Discount]])</f>
        <v>2426.9699999999998</v>
      </c>
      <c r="K390" t="s">
        <v>42</v>
      </c>
      <c r="L390" t="s">
        <v>43</v>
      </c>
      <c r="M390">
        <v>0</v>
      </c>
      <c r="N390" t="s">
        <v>434</v>
      </c>
      <c r="O390" t="s">
        <v>1925</v>
      </c>
      <c r="P390" s="7">
        <v>19.920000000000002</v>
      </c>
      <c r="Q390" s="1">
        <v>45664</v>
      </c>
      <c r="R390">
        <f>WEEKNUM(Table2[[#This Row],[OrderDate]])</f>
        <v>2</v>
      </c>
      <c r="S390" s="1">
        <v>45667</v>
      </c>
      <c r="T390" t="s">
        <v>2920</v>
      </c>
    </row>
    <row r="391" spans="1:20" x14ac:dyDescent="0.35">
      <c r="A391" s="1">
        <v>45693</v>
      </c>
      <c r="B391" t="s">
        <v>2932</v>
      </c>
      <c r="C391" t="s">
        <v>20</v>
      </c>
      <c r="D391" s="9">
        <v>16</v>
      </c>
      <c r="E391" s="7">
        <v>34.659999999999997</v>
      </c>
      <c r="F391" t="s">
        <v>28</v>
      </c>
      <c r="G391" t="s">
        <v>31</v>
      </c>
      <c r="H391" s="12">
        <v>0.05</v>
      </c>
      <c r="I391" t="s">
        <v>33</v>
      </c>
      <c r="J391" s="7">
        <f>Table2[[#This Row],[UnitPrice]]*Table2[[#This Row],[Quantity]]*(1-Table2[[#This Row],[Discount]])</f>
        <v>526.83199999999988</v>
      </c>
      <c r="K391" t="s">
        <v>41</v>
      </c>
      <c r="L391" t="s">
        <v>2937</v>
      </c>
      <c r="M391">
        <v>0</v>
      </c>
      <c r="N391" t="s">
        <v>435</v>
      </c>
      <c r="O391" t="s">
        <v>1926</v>
      </c>
      <c r="P391" s="7">
        <v>49.9</v>
      </c>
      <c r="Q391" s="1">
        <v>45693</v>
      </c>
      <c r="R391">
        <f>WEEKNUM(Table2[[#This Row],[OrderDate]])</f>
        <v>6</v>
      </c>
      <c r="S391" s="1">
        <v>45699</v>
      </c>
      <c r="T391" t="s">
        <v>2918</v>
      </c>
    </row>
    <row r="392" spans="1:20" x14ac:dyDescent="0.35">
      <c r="A392" s="1">
        <v>45383</v>
      </c>
      <c r="B392" t="s">
        <v>2931</v>
      </c>
      <c r="C392" t="s">
        <v>25</v>
      </c>
      <c r="D392" s="9">
        <v>18</v>
      </c>
      <c r="E392" s="7">
        <v>155.04</v>
      </c>
      <c r="F392" t="s">
        <v>26</v>
      </c>
      <c r="G392" t="s">
        <v>30</v>
      </c>
      <c r="H392" s="12">
        <v>0.15</v>
      </c>
      <c r="I392" t="s">
        <v>34</v>
      </c>
      <c r="J392" s="7">
        <f>Table2[[#This Row],[UnitPrice]]*Table2[[#This Row],[Quantity]]*(1-Table2[[#This Row],[Discount]])</f>
        <v>2372.1119999999996</v>
      </c>
      <c r="K392" t="s">
        <v>42</v>
      </c>
      <c r="L392" t="s">
        <v>45</v>
      </c>
      <c r="M392">
        <v>0</v>
      </c>
      <c r="N392" t="s">
        <v>436</v>
      </c>
      <c r="O392" t="s">
        <v>1927</v>
      </c>
      <c r="P392" s="7">
        <v>39.99</v>
      </c>
      <c r="Q392" s="1">
        <v>45383</v>
      </c>
      <c r="R392">
        <f>WEEKNUM(Table2[[#This Row],[OrderDate]])</f>
        <v>14</v>
      </c>
      <c r="S392" s="1">
        <v>45386</v>
      </c>
      <c r="T392" t="s">
        <v>2919</v>
      </c>
    </row>
    <row r="393" spans="1:20" x14ac:dyDescent="0.35">
      <c r="A393" s="1">
        <v>45717</v>
      </c>
      <c r="B393" t="s">
        <v>2933</v>
      </c>
      <c r="C393" t="s">
        <v>23</v>
      </c>
      <c r="D393" s="9">
        <v>4</v>
      </c>
      <c r="E393" s="7">
        <v>69.599999999999994</v>
      </c>
      <c r="F393" t="s">
        <v>29</v>
      </c>
      <c r="G393" t="s">
        <v>30</v>
      </c>
      <c r="H393" s="12">
        <v>0.05</v>
      </c>
      <c r="I393" t="s">
        <v>32</v>
      </c>
      <c r="J393" s="7">
        <f>Table2[[#This Row],[UnitPrice]]*Table2[[#This Row],[Quantity]]*(1-Table2[[#This Row],[Discount]])</f>
        <v>264.47999999999996</v>
      </c>
      <c r="K393" t="s">
        <v>39</v>
      </c>
      <c r="L393" t="s">
        <v>44</v>
      </c>
      <c r="M393">
        <v>0</v>
      </c>
      <c r="N393" t="s">
        <v>437</v>
      </c>
      <c r="O393" t="s">
        <v>1928</v>
      </c>
      <c r="P393" s="7">
        <v>17.68</v>
      </c>
      <c r="Q393" s="1">
        <v>45717</v>
      </c>
      <c r="R393">
        <f>WEEKNUM(Table2[[#This Row],[OrderDate]])</f>
        <v>9</v>
      </c>
      <c r="S393" s="1">
        <v>45725</v>
      </c>
      <c r="T393" t="s">
        <v>2921</v>
      </c>
    </row>
    <row r="394" spans="1:20" x14ac:dyDescent="0.35">
      <c r="A394" s="1">
        <v>45110</v>
      </c>
      <c r="B394" t="s">
        <v>2934</v>
      </c>
      <c r="C394" t="s">
        <v>23</v>
      </c>
      <c r="D394" s="9">
        <v>13</v>
      </c>
      <c r="E394" s="7">
        <v>55.09</v>
      </c>
      <c r="F394" t="s">
        <v>27</v>
      </c>
      <c r="G394" t="s">
        <v>30</v>
      </c>
      <c r="H394" s="12">
        <v>0.15</v>
      </c>
      <c r="I394" t="s">
        <v>36</v>
      </c>
      <c r="J394" s="7">
        <f>Table2[[#This Row],[UnitPrice]]*Table2[[#This Row],[Quantity]]*(1-Table2[[#This Row],[Discount]])</f>
        <v>608.74450000000002</v>
      </c>
      <c r="K394" t="s">
        <v>42</v>
      </c>
      <c r="L394" t="s">
        <v>43</v>
      </c>
      <c r="M394">
        <v>1</v>
      </c>
      <c r="N394" t="s">
        <v>438</v>
      </c>
      <c r="O394" t="s">
        <v>1929</v>
      </c>
      <c r="P394" s="7">
        <v>47.78</v>
      </c>
      <c r="Q394" s="1">
        <v>45110</v>
      </c>
      <c r="R394">
        <f>WEEKNUM(Table2[[#This Row],[OrderDate]])</f>
        <v>27</v>
      </c>
      <c r="S394" s="1">
        <v>45113</v>
      </c>
      <c r="T394" t="s">
        <v>2920</v>
      </c>
    </row>
    <row r="395" spans="1:20" x14ac:dyDescent="0.35">
      <c r="A395" s="1">
        <v>45041</v>
      </c>
      <c r="B395" t="s">
        <v>2934</v>
      </c>
      <c r="C395" t="s">
        <v>19</v>
      </c>
      <c r="D395" s="9">
        <v>13</v>
      </c>
      <c r="E395" s="7">
        <v>206.11</v>
      </c>
      <c r="F395" t="s">
        <v>26</v>
      </c>
      <c r="G395" t="s">
        <v>31</v>
      </c>
      <c r="H395" s="12">
        <v>0.15</v>
      </c>
      <c r="I395" t="s">
        <v>37</v>
      </c>
      <c r="J395" s="7">
        <f>Table2[[#This Row],[UnitPrice]]*Table2[[#This Row],[Quantity]]*(1-Table2[[#This Row],[Discount]])</f>
        <v>2277.5155</v>
      </c>
      <c r="K395" t="s">
        <v>39</v>
      </c>
      <c r="L395" t="s">
        <v>44</v>
      </c>
      <c r="M395">
        <v>1</v>
      </c>
      <c r="N395" t="s">
        <v>439</v>
      </c>
      <c r="O395" t="s">
        <v>1930</v>
      </c>
      <c r="P395" s="7">
        <v>22.59</v>
      </c>
      <c r="Q395" s="1">
        <v>45041</v>
      </c>
      <c r="R395">
        <f>WEEKNUM(Table2[[#This Row],[OrderDate]])</f>
        <v>17</v>
      </c>
      <c r="S395" s="1">
        <v>45047</v>
      </c>
      <c r="T395" t="s">
        <v>2920</v>
      </c>
    </row>
    <row r="396" spans="1:20" x14ac:dyDescent="0.35">
      <c r="A396" s="1">
        <v>45756</v>
      </c>
      <c r="B396" t="s">
        <v>2933</v>
      </c>
      <c r="C396" t="s">
        <v>24</v>
      </c>
      <c r="D396" s="9">
        <v>14</v>
      </c>
      <c r="E396" s="7">
        <v>484.38</v>
      </c>
      <c r="F396" t="s">
        <v>29</v>
      </c>
      <c r="G396" t="s">
        <v>31</v>
      </c>
      <c r="H396" s="12">
        <v>0.05</v>
      </c>
      <c r="I396" t="s">
        <v>34</v>
      </c>
      <c r="J396" s="7">
        <f>Table2[[#This Row],[UnitPrice]]*Table2[[#This Row],[Quantity]]*(1-Table2[[#This Row],[Discount]])</f>
        <v>6442.253999999999</v>
      </c>
      <c r="K396" t="s">
        <v>41</v>
      </c>
      <c r="L396" t="s">
        <v>44</v>
      </c>
      <c r="M396">
        <v>0</v>
      </c>
      <c r="N396" t="s">
        <v>440</v>
      </c>
      <c r="O396" t="s">
        <v>1931</v>
      </c>
      <c r="P396" s="7">
        <v>29.24</v>
      </c>
      <c r="Q396" s="1">
        <v>45756</v>
      </c>
      <c r="R396">
        <f>WEEKNUM(Table2[[#This Row],[OrderDate]])</f>
        <v>15</v>
      </c>
      <c r="S396" s="1">
        <v>45766</v>
      </c>
      <c r="T396" t="s">
        <v>2921</v>
      </c>
    </row>
    <row r="397" spans="1:20" x14ac:dyDescent="0.35">
      <c r="A397" s="1">
        <v>45235</v>
      </c>
      <c r="B397" t="s">
        <v>2931</v>
      </c>
      <c r="C397" t="s">
        <v>23</v>
      </c>
      <c r="D397" s="9">
        <v>6</v>
      </c>
      <c r="E397" s="7">
        <v>449.57</v>
      </c>
      <c r="F397" t="s">
        <v>29</v>
      </c>
      <c r="G397" t="s">
        <v>30</v>
      </c>
      <c r="H397" s="12">
        <v>0</v>
      </c>
      <c r="I397" t="s">
        <v>34</v>
      </c>
      <c r="J397" s="7">
        <f>Table2[[#This Row],[UnitPrice]]*Table2[[#This Row],[Quantity]]*(1-Table2[[#This Row],[Discount]])</f>
        <v>2697.42</v>
      </c>
      <c r="K397" t="s">
        <v>39</v>
      </c>
      <c r="L397" t="s">
        <v>45</v>
      </c>
      <c r="M397">
        <v>0</v>
      </c>
      <c r="N397" t="s">
        <v>441</v>
      </c>
      <c r="O397" t="s">
        <v>1932</v>
      </c>
      <c r="P397" s="7">
        <v>23.09</v>
      </c>
      <c r="Q397" s="1">
        <v>45235</v>
      </c>
      <c r="R397">
        <f>WEEKNUM(Table2[[#This Row],[OrderDate]])</f>
        <v>45</v>
      </c>
      <c r="S397" s="1">
        <v>45242</v>
      </c>
      <c r="T397" t="s">
        <v>2919</v>
      </c>
    </row>
    <row r="398" spans="1:20" x14ac:dyDescent="0.35">
      <c r="A398" s="1">
        <v>44939</v>
      </c>
      <c r="B398" t="s">
        <v>2930</v>
      </c>
      <c r="C398" t="s">
        <v>19</v>
      </c>
      <c r="D398" s="9">
        <v>9</v>
      </c>
      <c r="E398" s="7">
        <v>223.01</v>
      </c>
      <c r="F398" t="s">
        <v>28</v>
      </c>
      <c r="G398" t="s">
        <v>31</v>
      </c>
      <c r="H398" s="12">
        <v>0</v>
      </c>
      <c r="I398" t="s">
        <v>36</v>
      </c>
      <c r="J398" s="7">
        <f>Table2[[#This Row],[UnitPrice]]*Table2[[#This Row],[Quantity]]*(1-Table2[[#This Row],[Discount]])</f>
        <v>2007.09</v>
      </c>
      <c r="K398" t="s">
        <v>42</v>
      </c>
      <c r="L398" t="s">
        <v>2937</v>
      </c>
      <c r="M398">
        <v>1</v>
      </c>
      <c r="N398" t="s">
        <v>442</v>
      </c>
      <c r="O398" t="s">
        <v>1933</v>
      </c>
      <c r="P398" s="7">
        <v>11.9</v>
      </c>
      <c r="Q398" s="1">
        <v>44939</v>
      </c>
      <c r="R398">
        <f>WEEKNUM(Table2[[#This Row],[OrderDate]])</f>
        <v>2</v>
      </c>
      <c r="S398" s="1">
        <v>44945</v>
      </c>
      <c r="T398" t="s">
        <v>2917</v>
      </c>
    </row>
    <row r="399" spans="1:20" x14ac:dyDescent="0.35">
      <c r="A399" s="1">
        <v>45694</v>
      </c>
      <c r="B399" t="s">
        <v>2933</v>
      </c>
      <c r="C399" t="s">
        <v>22</v>
      </c>
      <c r="D399" s="9">
        <v>14</v>
      </c>
      <c r="E399" s="7">
        <v>291.91000000000003</v>
      </c>
      <c r="F399" t="s">
        <v>27</v>
      </c>
      <c r="G399" t="s">
        <v>31</v>
      </c>
      <c r="H399" s="12">
        <v>0.15</v>
      </c>
      <c r="I399" t="s">
        <v>34</v>
      </c>
      <c r="J399" s="7">
        <f>Table2[[#This Row],[UnitPrice]]*Table2[[#This Row],[Quantity]]*(1-Table2[[#This Row],[Discount]])</f>
        <v>3473.7290000000003</v>
      </c>
      <c r="K399" t="s">
        <v>40</v>
      </c>
      <c r="L399" t="s">
        <v>2937</v>
      </c>
      <c r="M399">
        <v>0</v>
      </c>
      <c r="N399" t="s">
        <v>443</v>
      </c>
      <c r="O399" t="s">
        <v>1934</v>
      </c>
      <c r="P399" s="7">
        <v>27.51</v>
      </c>
      <c r="Q399" s="1">
        <v>45694</v>
      </c>
      <c r="R399">
        <f>WEEKNUM(Table2[[#This Row],[OrderDate]])</f>
        <v>6</v>
      </c>
      <c r="S399" s="1">
        <v>45698</v>
      </c>
      <c r="T399" t="s">
        <v>2921</v>
      </c>
    </row>
    <row r="400" spans="1:20" x14ac:dyDescent="0.35">
      <c r="A400" s="1">
        <v>45066</v>
      </c>
      <c r="B400" t="s">
        <v>2932</v>
      </c>
      <c r="C400" t="s">
        <v>23</v>
      </c>
      <c r="D400" s="9">
        <v>13</v>
      </c>
      <c r="E400" s="7">
        <v>90.86</v>
      </c>
      <c r="F400" t="s">
        <v>27</v>
      </c>
      <c r="G400" t="s">
        <v>30</v>
      </c>
      <c r="H400" s="12">
        <v>0</v>
      </c>
      <c r="I400" t="s">
        <v>35</v>
      </c>
      <c r="J400" s="7">
        <f>Table2[[#This Row],[UnitPrice]]*Table2[[#This Row],[Quantity]]*(1-Table2[[#This Row],[Discount]])</f>
        <v>1181.18</v>
      </c>
      <c r="K400" t="s">
        <v>39</v>
      </c>
      <c r="L400" t="s">
        <v>44</v>
      </c>
      <c r="M400">
        <v>0</v>
      </c>
      <c r="N400" t="s">
        <v>444</v>
      </c>
      <c r="O400" t="s">
        <v>1935</v>
      </c>
      <c r="P400" s="7">
        <v>16.739999999999998</v>
      </c>
      <c r="Q400" s="1">
        <v>45066</v>
      </c>
      <c r="R400">
        <f>WEEKNUM(Table2[[#This Row],[OrderDate]])</f>
        <v>20</v>
      </c>
      <c r="S400" s="1">
        <v>45071</v>
      </c>
      <c r="T400" t="s">
        <v>2918</v>
      </c>
    </row>
    <row r="401" spans="1:20" x14ac:dyDescent="0.35">
      <c r="A401" s="1">
        <v>45826</v>
      </c>
      <c r="B401" t="s">
        <v>2930</v>
      </c>
      <c r="C401" t="s">
        <v>21</v>
      </c>
      <c r="D401" s="9">
        <v>4</v>
      </c>
      <c r="E401" s="7">
        <v>109.05</v>
      </c>
      <c r="F401" t="s">
        <v>29</v>
      </c>
      <c r="G401" t="s">
        <v>30</v>
      </c>
      <c r="H401" s="12">
        <v>0</v>
      </c>
      <c r="I401" t="s">
        <v>36</v>
      </c>
      <c r="J401" s="7">
        <f>Table2[[#This Row],[UnitPrice]]*Table2[[#This Row],[Quantity]]*(1-Table2[[#This Row],[Discount]])</f>
        <v>436.2</v>
      </c>
      <c r="K401" t="s">
        <v>39</v>
      </c>
      <c r="L401" t="s">
        <v>45</v>
      </c>
      <c r="M401">
        <v>0</v>
      </c>
      <c r="N401" t="s">
        <v>445</v>
      </c>
      <c r="O401" t="s">
        <v>1936</v>
      </c>
      <c r="P401" s="7">
        <v>21.02</v>
      </c>
      <c r="Q401" s="1">
        <v>45826</v>
      </c>
      <c r="R401">
        <f>WEEKNUM(Table2[[#This Row],[OrderDate]])</f>
        <v>25</v>
      </c>
      <c r="S401" s="1">
        <v>45832</v>
      </c>
      <c r="T401" t="s">
        <v>2917</v>
      </c>
    </row>
    <row r="402" spans="1:20" x14ac:dyDescent="0.35">
      <c r="A402" s="1">
        <v>44980</v>
      </c>
      <c r="B402" t="s">
        <v>2933</v>
      </c>
      <c r="C402" t="s">
        <v>24</v>
      </c>
      <c r="D402" s="9">
        <v>12</v>
      </c>
      <c r="E402" s="7">
        <v>245.6</v>
      </c>
      <c r="F402" t="s">
        <v>29</v>
      </c>
      <c r="G402" t="s">
        <v>31</v>
      </c>
      <c r="H402" s="12">
        <v>0</v>
      </c>
      <c r="I402" t="s">
        <v>37</v>
      </c>
      <c r="J402" s="7">
        <f>Table2[[#This Row],[UnitPrice]]*Table2[[#This Row],[Quantity]]*(1-Table2[[#This Row],[Discount]])</f>
        <v>2947.2</v>
      </c>
      <c r="K402" t="s">
        <v>42</v>
      </c>
      <c r="L402" t="s">
        <v>43</v>
      </c>
      <c r="M402">
        <v>1</v>
      </c>
      <c r="N402" t="s">
        <v>446</v>
      </c>
      <c r="O402" t="s">
        <v>1937</v>
      </c>
      <c r="P402" s="7">
        <v>43.92</v>
      </c>
      <c r="Q402" s="1">
        <v>44980</v>
      </c>
      <c r="R402">
        <f>WEEKNUM(Table2[[#This Row],[OrderDate]])</f>
        <v>8</v>
      </c>
      <c r="S402" s="1">
        <v>44984</v>
      </c>
      <c r="T402" t="s">
        <v>2921</v>
      </c>
    </row>
    <row r="403" spans="1:20" x14ac:dyDescent="0.35">
      <c r="A403" s="1">
        <v>45605</v>
      </c>
      <c r="B403" t="s">
        <v>2930</v>
      </c>
      <c r="C403" t="s">
        <v>25</v>
      </c>
      <c r="D403" s="9">
        <v>15</v>
      </c>
      <c r="E403" s="7">
        <v>380.03</v>
      </c>
      <c r="F403" t="s">
        <v>27</v>
      </c>
      <c r="G403" t="s">
        <v>31</v>
      </c>
      <c r="H403" s="12">
        <v>0</v>
      </c>
      <c r="I403" t="s">
        <v>37</v>
      </c>
      <c r="J403" s="7">
        <f>Table2[[#This Row],[UnitPrice]]*Table2[[#This Row],[Quantity]]*(1-Table2[[#This Row],[Discount]])</f>
        <v>5700.45</v>
      </c>
      <c r="K403" t="s">
        <v>38</v>
      </c>
      <c r="L403" t="s">
        <v>2937</v>
      </c>
      <c r="M403">
        <v>0</v>
      </c>
      <c r="N403" t="s">
        <v>447</v>
      </c>
      <c r="O403" t="s">
        <v>1938</v>
      </c>
      <c r="P403" s="7">
        <v>25.72</v>
      </c>
      <c r="Q403" s="1">
        <v>45605</v>
      </c>
      <c r="R403">
        <f>WEEKNUM(Table2[[#This Row],[OrderDate]])</f>
        <v>45</v>
      </c>
      <c r="S403" s="1">
        <v>45608</v>
      </c>
      <c r="T403" t="s">
        <v>2917</v>
      </c>
    </row>
    <row r="404" spans="1:20" x14ac:dyDescent="0.35">
      <c r="A404" s="1">
        <v>45498</v>
      </c>
      <c r="B404" t="s">
        <v>2932</v>
      </c>
      <c r="C404" t="s">
        <v>24</v>
      </c>
      <c r="D404" s="9">
        <v>3</v>
      </c>
      <c r="E404" s="7">
        <v>417.58</v>
      </c>
      <c r="F404" t="s">
        <v>29</v>
      </c>
      <c r="G404" t="s">
        <v>31</v>
      </c>
      <c r="H404" s="12">
        <v>0.05</v>
      </c>
      <c r="I404" t="s">
        <v>34</v>
      </c>
      <c r="J404" s="7">
        <f>Table2[[#This Row],[UnitPrice]]*Table2[[#This Row],[Quantity]]*(1-Table2[[#This Row],[Discount]])</f>
        <v>1190.1030000000001</v>
      </c>
      <c r="K404" t="s">
        <v>39</v>
      </c>
      <c r="L404" t="s">
        <v>44</v>
      </c>
      <c r="M404">
        <v>0</v>
      </c>
      <c r="N404" t="s">
        <v>448</v>
      </c>
      <c r="O404" t="s">
        <v>1939</v>
      </c>
      <c r="P404" s="7">
        <v>43.42</v>
      </c>
      <c r="Q404" s="1">
        <v>45498</v>
      </c>
      <c r="R404">
        <f>WEEKNUM(Table2[[#This Row],[OrderDate]])</f>
        <v>30</v>
      </c>
      <c r="S404" s="1">
        <v>45504</v>
      </c>
      <c r="T404" t="s">
        <v>2918</v>
      </c>
    </row>
    <row r="405" spans="1:20" x14ac:dyDescent="0.35">
      <c r="A405" s="1">
        <v>45157</v>
      </c>
      <c r="B405" t="s">
        <v>2933</v>
      </c>
      <c r="C405" t="s">
        <v>19</v>
      </c>
      <c r="D405" s="9">
        <v>15</v>
      </c>
      <c r="E405" s="7">
        <v>432.17</v>
      </c>
      <c r="F405" t="s">
        <v>29</v>
      </c>
      <c r="G405" t="s">
        <v>30</v>
      </c>
      <c r="H405" s="12">
        <v>0.15</v>
      </c>
      <c r="I405" t="s">
        <v>34</v>
      </c>
      <c r="J405" s="7">
        <f>Table2[[#This Row],[UnitPrice]]*Table2[[#This Row],[Quantity]]*(1-Table2[[#This Row],[Discount]])</f>
        <v>5510.1674999999996</v>
      </c>
      <c r="K405" t="s">
        <v>41</v>
      </c>
      <c r="L405" t="s">
        <v>45</v>
      </c>
      <c r="M405">
        <v>0</v>
      </c>
      <c r="N405" t="s">
        <v>449</v>
      </c>
      <c r="O405" t="s">
        <v>1940</v>
      </c>
      <c r="P405" s="7">
        <v>44.88</v>
      </c>
      <c r="Q405" s="1">
        <v>45157</v>
      </c>
      <c r="R405">
        <f>WEEKNUM(Table2[[#This Row],[OrderDate]])</f>
        <v>33</v>
      </c>
      <c r="S405" s="1">
        <v>45161</v>
      </c>
      <c r="T405" t="s">
        <v>2921</v>
      </c>
    </row>
    <row r="406" spans="1:20" x14ac:dyDescent="0.35">
      <c r="A406" s="1">
        <v>45243</v>
      </c>
      <c r="B406" t="s">
        <v>2932</v>
      </c>
      <c r="C406" t="s">
        <v>23</v>
      </c>
      <c r="D406" s="9">
        <v>13</v>
      </c>
      <c r="E406" s="7">
        <v>531.77</v>
      </c>
      <c r="F406" t="s">
        <v>28</v>
      </c>
      <c r="G406" t="s">
        <v>31</v>
      </c>
      <c r="H406" s="12">
        <v>0.1</v>
      </c>
      <c r="I406" t="s">
        <v>37</v>
      </c>
      <c r="J406" s="7">
        <f>Table2[[#This Row],[UnitPrice]]*Table2[[#This Row],[Quantity]]*(1-Table2[[#This Row],[Discount]])</f>
        <v>6221.7090000000007</v>
      </c>
      <c r="K406" t="s">
        <v>38</v>
      </c>
      <c r="L406" t="s">
        <v>44</v>
      </c>
      <c r="M406">
        <v>0</v>
      </c>
      <c r="N406" t="s">
        <v>450</v>
      </c>
      <c r="O406" t="s">
        <v>1941</v>
      </c>
      <c r="P406" s="7">
        <v>37.909999999999997</v>
      </c>
      <c r="Q406" s="1">
        <v>45243</v>
      </c>
      <c r="R406">
        <f>WEEKNUM(Table2[[#This Row],[OrderDate]])</f>
        <v>46</v>
      </c>
      <c r="S406" s="1">
        <v>45245</v>
      </c>
      <c r="T406" t="s">
        <v>2918</v>
      </c>
    </row>
    <row r="407" spans="1:20" x14ac:dyDescent="0.35">
      <c r="A407" s="1">
        <v>45545</v>
      </c>
      <c r="B407" t="s">
        <v>2933</v>
      </c>
      <c r="C407" t="s">
        <v>24</v>
      </c>
      <c r="D407" s="9">
        <v>13</v>
      </c>
      <c r="E407" s="7">
        <v>442.99</v>
      </c>
      <c r="F407" t="s">
        <v>27</v>
      </c>
      <c r="G407" t="s">
        <v>30</v>
      </c>
      <c r="H407" s="12">
        <v>0.05</v>
      </c>
      <c r="I407" t="s">
        <v>33</v>
      </c>
      <c r="J407" s="7">
        <f>Table2[[#This Row],[UnitPrice]]*Table2[[#This Row],[Quantity]]*(1-Table2[[#This Row],[Discount]])</f>
        <v>5470.9264999999996</v>
      </c>
      <c r="K407" t="s">
        <v>39</v>
      </c>
      <c r="L407" t="s">
        <v>44</v>
      </c>
      <c r="M407">
        <v>0</v>
      </c>
      <c r="N407" t="s">
        <v>451</v>
      </c>
      <c r="O407" t="s">
        <v>1942</v>
      </c>
      <c r="P407" s="7">
        <v>37.119999999999997</v>
      </c>
      <c r="Q407" s="1">
        <v>45545</v>
      </c>
      <c r="R407">
        <f>WEEKNUM(Table2[[#This Row],[OrderDate]])</f>
        <v>37</v>
      </c>
      <c r="S407" s="1">
        <v>45553</v>
      </c>
      <c r="T407" t="s">
        <v>2921</v>
      </c>
    </row>
    <row r="408" spans="1:20" x14ac:dyDescent="0.35">
      <c r="A408" s="1">
        <v>45534</v>
      </c>
      <c r="B408" t="s">
        <v>2934</v>
      </c>
      <c r="C408" t="s">
        <v>22</v>
      </c>
      <c r="D408" s="9">
        <v>13</v>
      </c>
      <c r="E408" s="7">
        <v>567.5</v>
      </c>
      <c r="F408" t="s">
        <v>27</v>
      </c>
      <c r="G408" t="s">
        <v>31</v>
      </c>
      <c r="H408" s="12">
        <v>0</v>
      </c>
      <c r="I408" t="s">
        <v>32</v>
      </c>
      <c r="J408" s="7">
        <f>Table2[[#This Row],[UnitPrice]]*Table2[[#This Row],[Quantity]]*(1-Table2[[#This Row],[Discount]])</f>
        <v>7377.5</v>
      </c>
      <c r="K408" t="s">
        <v>40</v>
      </c>
      <c r="L408" t="s">
        <v>2937</v>
      </c>
      <c r="M408">
        <v>0</v>
      </c>
      <c r="N408" t="s">
        <v>452</v>
      </c>
      <c r="O408" t="s">
        <v>1943</v>
      </c>
      <c r="P408" s="7">
        <v>28.41</v>
      </c>
      <c r="Q408" s="1">
        <v>45534</v>
      </c>
      <c r="R408">
        <f>WEEKNUM(Table2[[#This Row],[OrderDate]])</f>
        <v>35</v>
      </c>
      <c r="S408" s="1">
        <v>45537</v>
      </c>
      <c r="T408" t="s">
        <v>2920</v>
      </c>
    </row>
    <row r="409" spans="1:20" x14ac:dyDescent="0.35">
      <c r="A409" s="1">
        <v>45606</v>
      </c>
      <c r="B409" t="s">
        <v>2930</v>
      </c>
      <c r="C409" t="s">
        <v>24</v>
      </c>
      <c r="D409" s="9">
        <v>15</v>
      </c>
      <c r="E409" s="7">
        <v>469.52</v>
      </c>
      <c r="F409" t="s">
        <v>28</v>
      </c>
      <c r="G409" t="s">
        <v>30</v>
      </c>
      <c r="H409" s="12">
        <v>0</v>
      </c>
      <c r="I409" t="s">
        <v>33</v>
      </c>
      <c r="J409" s="7">
        <f>Table2[[#This Row],[UnitPrice]]*Table2[[#This Row],[Quantity]]*(1-Table2[[#This Row],[Discount]])</f>
        <v>7042.7999999999993</v>
      </c>
      <c r="K409" t="s">
        <v>40</v>
      </c>
      <c r="L409" t="s">
        <v>43</v>
      </c>
      <c r="M409">
        <v>0</v>
      </c>
      <c r="N409" t="s">
        <v>453</v>
      </c>
      <c r="O409" t="s">
        <v>1944</v>
      </c>
      <c r="P409" s="7">
        <v>35.6</v>
      </c>
      <c r="Q409" s="1">
        <v>45606</v>
      </c>
      <c r="R409">
        <f>WEEKNUM(Table2[[#This Row],[OrderDate]])</f>
        <v>46</v>
      </c>
      <c r="S409" s="1">
        <v>45613</v>
      </c>
      <c r="T409" t="s">
        <v>2917</v>
      </c>
    </row>
    <row r="410" spans="1:20" x14ac:dyDescent="0.35">
      <c r="A410" s="1">
        <v>45029</v>
      </c>
      <c r="B410" t="s">
        <v>2930</v>
      </c>
      <c r="C410" t="s">
        <v>25</v>
      </c>
      <c r="D410" s="9">
        <v>1</v>
      </c>
      <c r="E410" s="7">
        <v>396.09</v>
      </c>
      <c r="F410" t="s">
        <v>29</v>
      </c>
      <c r="G410" t="s">
        <v>30</v>
      </c>
      <c r="H410" s="12">
        <v>0.15</v>
      </c>
      <c r="I410" t="s">
        <v>34</v>
      </c>
      <c r="J410" s="7">
        <f>Table2[[#This Row],[UnitPrice]]*Table2[[#This Row],[Quantity]]*(1-Table2[[#This Row],[Discount]])</f>
        <v>336.67649999999998</v>
      </c>
      <c r="K410" t="s">
        <v>40</v>
      </c>
      <c r="L410" t="s">
        <v>45</v>
      </c>
      <c r="M410">
        <v>0</v>
      </c>
      <c r="N410" t="s">
        <v>454</v>
      </c>
      <c r="O410" t="s">
        <v>1945</v>
      </c>
      <c r="P410" s="7">
        <v>39.380000000000003</v>
      </c>
      <c r="Q410" s="1">
        <v>45029</v>
      </c>
      <c r="R410">
        <f>WEEKNUM(Table2[[#This Row],[OrderDate]])</f>
        <v>15</v>
      </c>
      <c r="S410" s="1">
        <v>45035</v>
      </c>
      <c r="T410" t="s">
        <v>2917</v>
      </c>
    </row>
    <row r="411" spans="1:20" x14ac:dyDescent="0.35">
      <c r="A411" s="1">
        <v>45250</v>
      </c>
      <c r="B411" t="s">
        <v>2930</v>
      </c>
      <c r="C411" t="s">
        <v>19</v>
      </c>
      <c r="D411" s="9">
        <v>12</v>
      </c>
      <c r="E411" s="7">
        <v>195.73</v>
      </c>
      <c r="F411" t="s">
        <v>28</v>
      </c>
      <c r="G411" t="s">
        <v>30</v>
      </c>
      <c r="H411" s="12">
        <v>0.05</v>
      </c>
      <c r="I411" t="s">
        <v>33</v>
      </c>
      <c r="J411" s="7">
        <f>Table2[[#This Row],[UnitPrice]]*Table2[[#This Row],[Quantity]]*(1-Table2[[#This Row],[Discount]])</f>
        <v>2231.3219999999997</v>
      </c>
      <c r="K411" t="s">
        <v>42</v>
      </c>
      <c r="L411" t="s">
        <v>44</v>
      </c>
      <c r="M411">
        <v>0</v>
      </c>
      <c r="N411" t="s">
        <v>455</v>
      </c>
      <c r="O411" t="s">
        <v>1946</v>
      </c>
      <c r="P411" s="7">
        <v>37.090000000000003</v>
      </c>
      <c r="Q411" s="1">
        <v>45250</v>
      </c>
      <c r="R411">
        <f>WEEKNUM(Table2[[#This Row],[OrderDate]])</f>
        <v>47</v>
      </c>
      <c r="S411" s="1">
        <v>45257</v>
      </c>
      <c r="T411" t="s">
        <v>2917</v>
      </c>
    </row>
    <row r="412" spans="1:20" x14ac:dyDescent="0.35">
      <c r="A412" s="1">
        <v>45761</v>
      </c>
      <c r="B412" t="s">
        <v>2931</v>
      </c>
      <c r="C412" t="s">
        <v>25</v>
      </c>
      <c r="D412" s="9">
        <v>5</v>
      </c>
      <c r="E412" s="7">
        <v>412.24</v>
      </c>
      <c r="F412" t="s">
        <v>26</v>
      </c>
      <c r="G412" t="s">
        <v>30</v>
      </c>
      <c r="H412" s="12">
        <v>0.15</v>
      </c>
      <c r="I412" t="s">
        <v>35</v>
      </c>
      <c r="J412" s="7">
        <f>Table2[[#This Row],[UnitPrice]]*Table2[[#This Row],[Quantity]]*(1-Table2[[#This Row],[Discount]])</f>
        <v>1752.0199999999998</v>
      </c>
      <c r="K412" t="s">
        <v>42</v>
      </c>
      <c r="L412" t="s">
        <v>43</v>
      </c>
      <c r="M412">
        <v>0</v>
      </c>
      <c r="N412" t="s">
        <v>456</v>
      </c>
      <c r="O412" t="s">
        <v>1750</v>
      </c>
      <c r="P412" s="7">
        <v>29.31</v>
      </c>
      <c r="Q412" s="1">
        <v>45761</v>
      </c>
      <c r="R412">
        <f>WEEKNUM(Table2[[#This Row],[OrderDate]])</f>
        <v>16</v>
      </c>
      <c r="S412" s="1">
        <v>45766</v>
      </c>
      <c r="T412" t="s">
        <v>2919</v>
      </c>
    </row>
    <row r="413" spans="1:20" x14ac:dyDescent="0.35">
      <c r="A413" s="1">
        <v>44989</v>
      </c>
      <c r="B413" t="s">
        <v>2934</v>
      </c>
      <c r="C413" t="s">
        <v>23</v>
      </c>
      <c r="D413" s="9">
        <v>11</v>
      </c>
      <c r="E413" s="7">
        <v>558.5</v>
      </c>
      <c r="F413" t="s">
        <v>26</v>
      </c>
      <c r="G413" t="s">
        <v>31</v>
      </c>
      <c r="H413" s="12">
        <v>0.15</v>
      </c>
      <c r="I413" t="s">
        <v>35</v>
      </c>
      <c r="J413" s="7">
        <f>Table2[[#This Row],[UnitPrice]]*Table2[[#This Row],[Quantity]]*(1-Table2[[#This Row],[Discount]])</f>
        <v>5221.9749999999995</v>
      </c>
      <c r="K413" t="s">
        <v>42</v>
      </c>
      <c r="L413" t="s">
        <v>45</v>
      </c>
      <c r="M413">
        <v>0</v>
      </c>
      <c r="N413" t="s">
        <v>457</v>
      </c>
      <c r="O413" t="s">
        <v>1694</v>
      </c>
      <c r="P413" s="7">
        <v>48.15</v>
      </c>
      <c r="Q413" s="1">
        <v>44989</v>
      </c>
      <c r="R413">
        <f>WEEKNUM(Table2[[#This Row],[OrderDate]])</f>
        <v>9</v>
      </c>
      <c r="S413" s="1">
        <v>44994</v>
      </c>
      <c r="T413" t="s">
        <v>2920</v>
      </c>
    </row>
    <row r="414" spans="1:20" x14ac:dyDescent="0.35">
      <c r="A414" s="1">
        <v>45612</v>
      </c>
      <c r="B414" t="s">
        <v>2931</v>
      </c>
      <c r="C414" t="s">
        <v>19</v>
      </c>
      <c r="D414" s="9">
        <v>4</v>
      </c>
      <c r="E414" s="7">
        <v>175.34</v>
      </c>
      <c r="F414" t="s">
        <v>28</v>
      </c>
      <c r="G414" t="s">
        <v>31</v>
      </c>
      <c r="H414" s="12">
        <v>0.15</v>
      </c>
      <c r="I414" t="s">
        <v>32</v>
      </c>
      <c r="J414" s="7">
        <f>Table2[[#This Row],[UnitPrice]]*Table2[[#This Row],[Quantity]]*(1-Table2[[#This Row],[Discount]])</f>
        <v>596.15599999999995</v>
      </c>
      <c r="K414" t="s">
        <v>42</v>
      </c>
      <c r="L414" t="s">
        <v>43</v>
      </c>
      <c r="M414">
        <v>0</v>
      </c>
      <c r="N414" t="s">
        <v>458</v>
      </c>
      <c r="O414" t="s">
        <v>1947</v>
      </c>
      <c r="P414" s="7">
        <v>40.86</v>
      </c>
      <c r="Q414" s="1">
        <v>45612</v>
      </c>
      <c r="R414">
        <f>WEEKNUM(Table2[[#This Row],[OrderDate]])</f>
        <v>46</v>
      </c>
      <c r="S414" s="1">
        <v>45615</v>
      </c>
      <c r="T414" t="s">
        <v>2919</v>
      </c>
    </row>
    <row r="415" spans="1:20" x14ac:dyDescent="0.35">
      <c r="A415" s="1">
        <v>45437</v>
      </c>
      <c r="B415" t="s">
        <v>2932</v>
      </c>
      <c r="C415" t="s">
        <v>19</v>
      </c>
      <c r="D415" s="9">
        <v>19</v>
      </c>
      <c r="E415" s="7">
        <v>478.73</v>
      </c>
      <c r="F415" t="s">
        <v>27</v>
      </c>
      <c r="G415" t="s">
        <v>31</v>
      </c>
      <c r="H415" s="12">
        <v>0</v>
      </c>
      <c r="I415" t="s">
        <v>34</v>
      </c>
      <c r="J415" s="7">
        <f>Table2[[#This Row],[UnitPrice]]*Table2[[#This Row],[Quantity]]*(1-Table2[[#This Row],[Discount]])</f>
        <v>9095.8700000000008</v>
      </c>
      <c r="K415" t="s">
        <v>41</v>
      </c>
      <c r="L415" t="s">
        <v>45</v>
      </c>
      <c r="M415">
        <v>1</v>
      </c>
      <c r="N415" t="s">
        <v>459</v>
      </c>
      <c r="O415" t="s">
        <v>1948</v>
      </c>
      <c r="P415" s="7">
        <v>46.46</v>
      </c>
      <c r="Q415" s="1">
        <v>45437</v>
      </c>
      <c r="R415">
        <f>WEEKNUM(Table2[[#This Row],[OrderDate]])</f>
        <v>21</v>
      </c>
      <c r="S415" s="1">
        <v>45445</v>
      </c>
      <c r="T415" t="s">
        <v>2918</v>
      </c>
    </row>
    <row r="416" spans="1:20" x14ac:dyDescent="0.35">
      <c r="A416" s="1">
        <v>45028</v>
      </c>
      <c r="B416" t="s">
        <v>2930</v>
      </c>
      <c r="C416" t="s">
        <v>21</v>
      </c>
      <c r="D416" s="9">
        <v>5</v>
      </c>
      <c r="E416" s="7">
        <v>365.38</v>
      </c>
      <c r="F416" t="s">
        <v>29</v>
      </c>
      <c r="G416" t="s">
        <v>30</v>
      </c>
      <c r="H416" s="12">
        <v>0.15</v>
      </c>
      <c r="I416" t="s">
        <v>33</v>
      </c>
      <c r="J416" s="7">
        <f>Table2[[#This Row],[UnitPrice]]*Table2[[#This Row],[Quantity]]*(1-Table2[[#This Row],[Discount]])</f>
        <v>1552.865</v>
      </c>
      <c r="K416" t="s">
        <v>41</v>
      </c>
      <c r="L416" t="s">
        <v>44</v>
      </c>
      <c r="M416">
        <v>1</v>
      </c>
      <c r="N416" t="s">
        <v>460</v>
      </c>
      <c r="O416" t="s">
        <v>1949</v>
      </c>
      <c r="P416" s="7">
        <v>5.66</v>
      </c>
      <c r="Q416" s="1">
        <v>45028</v>
      </c>
      <c r="R416">
        <f>WEEKNUM(Table2[[#This Row],[OrderDate]])</f>
        <v>15</v>
      </c>
      <c r="S416" s="1">
        <v>45031</v>
      </c>
      <c r="T416" t="s">
        <v>2917</v>
      </c>
    </row>
    <row r="417" spans="1:20" x14ac:dyDescent="0.35">
      <c r="A417" s="1">
        <v>44992</v>
      </c>
      <c r="B417" t="s">
        <v>2932</v>
      </c>
      <c r="C417" t="s">
        <v>21</v>
      </c>
      <c r="D417" s="9">
        <v>10</v>
      </c>
      <c r="E417" s="7">
        <v>397.33</v>
      </c>
      <c r="F417" t="s">
        <v>26</v>
      </c>
      <c r="G417" t="s">
        <v>31</v>
      </c>
      <c r="H417" s="12">
        <v>0.15</v>
      </c>
      <c r="I417" t="s">
        <v>33</v>
      </c>
      <c r="J417" s="7">
        <f>Table2[[#This Row],[UnitPrice]]*Table2[[#This Row],[Quantity]]*(1-Table2[[#This Row],[Discount]])</f>
        <v>3377.3049999999998</v>
      </c>
      <c r="K417" t="s">
        <v>40</v>
      </c>
      <c r="L417" t="s">
        <v>2937</v>
      </c>
      <c r="M417">
        <v>0</v>
      </c>
      <c r="N417" t="s">
        <v>461</v>
      </c>
      <c r="O417" t="s">
        <v>1950</v>
      </c>
      <c r="P417" s="7">
        <v>10.199999999999999</v>
      </c>
      <c r="Q417" s="1">
        <v>44992</v>
      </c>
      <c r="R417">
        <f>WEEKNUM(Table2[[#This Row],[OrderDate]])</f>
        <v>10</v>
      </c>
      <c r="S417" s="1">
        <v>44998</v>
      </c>
      <c r="T417" t="s">
        <v>2918</v>
      </c>
    </row>
    <row r="418" spans="1:20" x14ac:dyDescent="0.35">
      <c r="A418" s="1">
        <v>45296</v>
      </c>
      <c r="B418" t="s">
        <v>2934</v>
      </c>
      <c r="C418" t="s">
        <v>22</v>
      </c>
      <c r="D418" s="9">
        <v>17</v>
      </c>
      <c r="E418" s="7">
        <v>241.01</v>
      </c>
      <c r="F418" t="s">
        <v>27</v>
      </c>
      <c r="G418" t="s">
        <v>31</v>
      </c>
      <c r="H418" s="12">
        <v>0.1</v>
      </c>
      <c r="I418" t="s">
        <v>37</v>
      </c>
      <c r="J418" s="7">
        <f>Table2[[#This Row],[UnitPrice]]*Table2[[#This Row],[Quantity]]*(1-Table2[[#This Row],[Discount]])</f>
        <v>3687.453</v>
      </c>
      <c r="K418" t="s">
        <v>41</v>
      </c>
      <c r="L418" t="s">
        <v>45</v>
      </c>
      <c r="M418">
        <v>0</v>
      </c>
      <c r="N418" t="s">
        <v>462</v>
      </c>
      <c r="O418" t="s">
        <v>1951</v>
      </c>
      <c r="P418" s="7">
        <v>24.69</v>
      </c>
      <c r="Q418" s="1">
        <v>45296</v>
      </c>
      <c r="R418">
        <f>WEEKNUM(Table2[[#This Row],[OrderDate]])</f>
        <v>1</v>
      </c>
      <c r="S418" s="1">
        <v>45302</v>
      </c>
      <c r="T418" t="s">
        <v>2920</v>
      </c>
    </row>
    <row r="419" spans="1:20" x14ac:dyDescent="0.35">
      <c r="A419" s="1">
        <v>45596</v>
      </c>
      <c r="B419" t="s">
        <v>2933</v>
      </c>
      <c r="C419" t="s">
        <v>21</v>
      </c>
      <c r="D419" s="9">
        <v>17</v>
      </c>
      <c r="E419" s="7">
        <v>82.2</v>
      </c>
      <c r="F419" t="s">
        <v>28</v>
      </c>
      <c r="G419" t="s">
        <v>30</v>
      </c>
      <c r="H419" s="12">
        <v>0</v>
      </c>
      <c r="I419" t="s">
        <v>33</v>
      </c>
      <c r="J419" s="7">
        <f>Table2[[#This Row],[UnitPrice]]*Table2[[#This Row],[Quantity]]*(1-Table2[[#This Row],[Discount]])</f>
        <v>1397.4</v>
      </c>
      <c r="K419" t="s">
        <v>42</v>
      </c>
      <c r="L419" t="s">
        <v>45</v>
      </c>
      <c r="M419">
        <v>0</v>
      </c>
      <c r="N419" t="s">
        <v>463</v>
      </c>
      <c r="O419" t="s">
        <v>1952</v>
      </c>
      <c r="P419" s="7">
        <v>32.5</v>
      </c>
      <c r="Q419" s="1">
        <v>45596</v>
      </c>
      <c r="R419">
        <f>WEEKNUM(Table2[[#This Row],[OrderDate]])</f>
        <v>44</v>
      </c>
      <c r="S419" s="1">
        <v>45606</v>
      </c>
      <c r="T419" t="s">
        <v>2921</v>
      </c>
    </row>
    <row r="420" spans="1:20" x14ac:dyDescent="0.35">
      <c r="A420" s="1">
        <v>45420</v>
      </c>
      <c r="B420" t="s">
        <v>2933</v>
      </c>
      <c r="C420" t="s">
        <v>23</v>
      </c>
      <c r="D420" s="9">
        <v>16</v>
      </c>
      <c r="E420" s="7">
        <v>170.77</v>
      </c>
      <c r="F420" t="s">
        <v>28</v>
      </c>
      <c r="G420" t="s">
        <v>31</v>
      </c>
      <c r="H420" s="12">
        <v>0.1</v>
      </c>
      <c r="I420" t="s">
        <v>34</v>
      </c>
      <c r="J420" s="7">
        <f>Table2[[#This Row],[UnitPrice]]*Table2[[#This Row],[Quantity]]*(1-Table2[[#This Row],[Discount]])</f>
        <v>2459.0880000000002</v>
      </c>
      <c r="K420" t="s">
        <v>38</v>
      </c>
      <c r="L420" t="s">
        <v>44</v>
      </c>
      <c r="M420">
        <v>1</v>
      </c>
      <c r="N420" t="s">
        <v>464</v>
      </c>
      <c r="O420" t="s">
        <v>1953</v>
      </c>
      <c r="P420" s="7">
        <v>45.93</v>
      </c>
      <c r="Q420" s="1">
        <v>45420</v>
      </c>
      <c r="R420">
        <f>WEEKNUM(Table2[[#This Row],[OrderDate]])</f>
        <v>19</v>
      </c>
      <c r="S420" s="1">
        <v>45426</v>
      </c>
      <c r="T420" t="s">
        <v>2921</v>
      </c>
    </row>
    <row r="421" spans="1:20" x14ac:dyDescent="0.35">
      <c r="A421" s="1">
        <v>45356</v>
      </c>
      <c r="B421" t="s">
        <v>2934</v>
      </c>
      <c r="C421" t="s">
        <v>23</v>
      </c>
      <c r="D421" s="9">
        <v>1</v>
      </c>
      <c r="E421" s="7">
        <v>8.1999999999999993</v>
      </c>
      <c r="F421" t="s">
        <v>28</v>
      </c>
      <c r="G421" t="s">
        <v>30</v>
      </c>
      <c r="H421" s="12">
        <v>0.15</v>
      </c>
      <c r="I421" t="s">
        <v>34</v>
      </c>
      <c r="J421" s="7">
        <f>Table2[[#This Row],[UnitPrice]]*Table2[[#This Row],[Quantity]]*(1-Table2[[#This Row],[Discount]])</f>
        <v>6.9699999999999989</v>
      </c>
      <c r="K421" t="s">
        <v>41</v>
      </c>
      <c r="L421" t="s">
        <v>2937</v>
      </c>
      <c r="M421">
        <v>0</v>
      </c>
      <c r="N421" t="s">
        <v>465</v>
      </c>
      <c r="O421" t="s">
        <v>1954</v>
      </c>
      <c r="P421" s="7">
        <v>30.35</v>
      </c>
      <c r="Q421" s="1">
        <v>45356</v>
      </c>
      <c r="R421">
        <f>WEEKNUM(Table2[[#This Row],[OrderDate]])</f>
        <v>10</v>
      </c>
      <c r="S421" s="1">
        <v>45366</v>
      </c>
      <c r="T421" t="s">
        <v>2920</v>
      </c>
    </row>
    <row r="422" spans="1:20" x14ac:dyDescent="0.35">
      <c r="A422" s="1">
        <v>45125</v>
      </c>
      <c r="B422" t="s">
        <v>2931</v>
      </c>
      <c r="C422" t="s">
        <v>19</v>
      </c>
      <c r="D422" s="9">
        <v>12</v>
      </c>
      <c r="E422" s="7">
        <v>425.78</v>
      </c>
      <c r="F422" t="s">
        <v>27</v>
      </c>
      <c r="G422" t="s">
        <v>31</v>
      </c>
      <c r="H422" s="12">
        <v>0.1</v>
      </c>
      <c r="I422" t="s">
        <v>37</v>
      </c>
      <c r="J422" s="7">
        <f>Table2[[#This Row],[UnitPrice]]*Table2[[#This Row],[Quantity]]*(1-Table2[[#This Row],[Discount]])</f>
        <v>4598.424</v>
      </c>
      <c r="K422" t="s">
        <v>38</v>
      </c>
      <c r="L422" t="s">
        <v>2937</v>
      </c>
      <c r="M422">
        <v>1</v>
      </c>
      <c r="N422" t="s">
        <v>466</v>
      </c>
      <c r="O422" t="s">
        <v>1955</v>
      </c>
      <c r="P422" s="7">
        <v>25.48</v>
      </c>
      <c r="Q422" s="1">
        <v>45125</v>
      </c>
      <c r="R422">
        <f>WEEKNUM(Table2[[#This Row],[OrderDate]])</f>
        <v>29</v>
      </c>
      <c r="S422" s="1">
        <v>45129</v>
      </c>
      <c r="T422" t="s">
        <v>2919</v>
      </c>
    </row>
    <row r="423" spans="1:20" x14ac:dyDescent="0.35">
      <c r="A423" s="1">
        <v>45143</v>
      </c>
      <c r="B423" t="s">
        <v>2932</v>
      </c>
      <c r="C423" t="s">
        <v>25</v>
      </c>
      <c r="D423" s="9">
        <v>20</v>
      </c>
      <c r="E423" s="7">
        <v>121.14</v>
      </c>
      <c r="F423" t="s">
        <v>28</v>
      </c>
      <c r="G423" t="s">
        <v>31</v>
      </c>
      <c r="H423" s="12">
        <v>0.1</v>
      </c>
      <c r="I423" t="s">
        <v>37</v>
      </c>
      <c r="J423" s="7">
        <f>Table2[[#This Row],[UnitPrice]]*Table2[[#This Row],[Quantity]]*(1-Table2[[#This Row],[Discount]])</f>
        <v>2180.5200000000004</v>
      </c>
      <c r="K423" t="s">
        <v>40</v>
      </c>
      <c r="L423" t="s">
        <v>43</v>
      </c>
      <c r="M423">
        <v>0</v>
      </c>
      <c r="N423" t="s">
        <v>467</v>
      </c>
      <c r="O423" t="s">
        <v>1956</v>
      </c>
      <c r="P423" s="7">
        <v>21.47</v>
      </c>
      <c r="Q423" s="1">
        <v>45143</v>
      </c>
      <c r="R423">
        <f>WEEKNUM(Table2[[#This Row],[OrderDate]])</f>
        <v>31</v>
      </c>
      <c r="S423" s="1">
        <v>45152</v>
      </c>
      <c r="T423" t="s">
        <v>2918</v>
      </c>
    </row>
    <row r="424" spans="1:20" x14ac:dyDescent="0.35">
      <c r="A424" s="1">
        <v>45187</v>
      </c>
      <c r="B424" t="s">
        <v>2933</v>
      </c>
      <c r="C424" t="s">
        <v>24</v>
      </c>
      <c r="D424" s="9">
        <v>19</v>
      </c>
      <c r="E424" s="7">
        <v>448.13</v>
      </c>
      <c r="F424" t="s">
        <v>29</v>
      </c>
      <c r="G424" t="s">
        <v>30</v>
      </c>
      <c r="H424" s="12">
        <v>0</v>
      </c>
      <c r="I424" t="s">
        <v>33</v>
      </c>
      <c r="J424" s="7">
        <f>Table2[[#This Row],[UnitPrice]]*Table2[[#This Row],[Quantity]]*(1-Table2[[#This Row],[Discount]])</f>
        <v>8514.4699999999993</v>
      </c>
      <c r="K424" t="s">
        <v>41</v>
      </c>
      <c r="L424" t="s">
        <v>43</v>
      </c>
      <c r="M424">
        <v>0</v>
      </c>
      <c r="N424" t="s">
        <v>468</v>
      </c>
      <c r="O424" t="s">
        <v>1957</v>
      </c>
      <c r="P424" s="7">
        <v>28.29</v>
      </c>
      <c r="Q424" s="1">
        <v>45187</v>
      </c>
      <c r="R424">
        <f>WEEKNUM(Table2[[#This Row],[OrderDate]])</f>
        <v>38</v>
      </c>
      <c r="S424" s="1">
        <v>45189</v>
      </c>
      <c r="T424" t="s">
        <v>2921</v>
      </c>
    </row>
    <row r="425" spans="1:20" x14ac:dyDescent="0.35">
      <c r="A425" s="1">
        <v>45012</v>
      </c>
      <c r="B425" t="s">
        <v>2932</v>
      </c>
      <c r="C425" t="s">
        <v>19</v>
      </c>
      <c r="D425" s="9">
        <v>8</v>
      </c>
      <c r="E425" s="7">
        <v>7.81</v>
      </c>
      <c r="F425" t="s">
        <v>29</v>
      </c>
      <c r="G425" t="s">
        <v>30</v>
      </c>
      <c r="H425" s="12">
        <v>0.1</v>
      </c>
      <c r="I425" t="s">
        <v>34</v>
      </c>
      <c r="J425" s="7">
        <f>Table2[[#This Row],[UnitPrice]]*Table2[[#This Row],[Quantity]]*(1-Table2[[#This Row],[Discount]])</f>
        <v>56.231999999999999</v>
      </c>
      <c r="K425" t="s">
        <v>38</v>
      </c>
      <c r="L425" t="s">
        <v>44</v>
      </c>
      <c r="M425">
        <v>0</v>
      </c>
      <c r="N425" t="s">
        <v>469</v>
      </c>
      <c r="O425" t="s">
        <v>1958</v>
      </c>
      <c r="P425" s="7">
        <v>25.03</v>
      </c>
      <c r="Q425" s="1">
        <v>45012</v>
      </c>
      <c r="R425">
        <f>WEEKNUM(Table2[[#This Row],[OrderDate]])</f>
        <v>13</v>
      </c>
      <c r="S425" s="1">
        <v>45014</v>
      </c>
      <c r="T425" t="s">
        <v>2918</v>
      </c>
    </row>
    <row r="426" spans="1:20" x14ac:dyDescent="0.35">
      <c r="A426" s="1">
        <v>44993</v>
      </c>
      <c r="B426" t="s">
        <v>2930</v>
      </c>
      <c r="C426" t="s">
        <v>22</v>
      </c>
      <c r="D426" s="9">
        <v>19</v>
      </c>
      <c r="E426" s="7">
        <v>191.44</v>
      </c>
      <c r="F426" t="s">
        <v>28</v>
      </c>
      <c r="G426" t="s">
        <v>30</v>
      </c>
      <c r="H426" s="12">
        <v>0.15</v>
      </c>
      <c r="I426" t="s">
        <v>35</v>
      </c>
      <c r="J426" s="7">
        <f>Table2[[#This Row],[UnitPrice]]*Table2[[#This Row],[Quantity]]*(1-Table2[[#This Row],[Discount]])</f>
        <v>3091.7559999999999</v>
      </c>
      <c r="K426" t="s">
        <v>42</v>
      </c>
      <c r="L426" t="s">
        <v>45</v>
      </c>
      <c r="M426">
        <v>1</v>
      </c>
      <c r="N426" t="s">
        <v>470</v>
      </c>
      <c r="O426" t="s">
        <v>1959</v>
      </c>
      <c r="P426" s="7">
        <v>35.54</v>
      </c>
      <c r="Q426" s="1">
        <v>44993</v>
      </c>
      <c r="R426">
        <f>WEEKNUM(Table2[[#This Row],[OrderDate]])</f>
        <v>10</v>
      </c>
      <c r="S426" s="1">
        <v>45002</v>
      </c>
      <c r="T426" t="s">
        <v>2917</v>
      </c>
    </row>
    <row r="427" spans="1:20" x14ac:dyDescent="0.35">
      <c r="A427" s="1">
        <v>45414</v>
      </c>
      <c r="B427" t="s">
        <v>2933</v>
      </c>
      <c r="C427" t="s">
        <v>21</v>
      </c>
      <c r="D427" s="9">
        <v>5</v>
      </c>
      <c r="E427" s="7">
        <v>245.2</v>
      </c>
      <c r="F427" t="s">
        <v>26</v>
      </c>
      <c r="G427" t="s">
        <v>31</v>
      </c>
      <c r="H427" s="12">
        <v>0.15</v>
      </c>
      <c r="I427" t="s">
        <v>32</v>
      </c>
      <c r="J427" s="7">
        <f>Table2[[#This Row],[UnitPrice]]*Table2[[#This Row],[Quantity]]*(1-Table2[[#This Row],[Discount]])</f>
        <v>1042.0999999999999</v>
      </c>
      <c r="K427" t="s">
        <v>38</v>
      </c>
      <c r="L427" t="s">
        <v>2937</v>
      </c>
      <c r="M427">
        <v>0</v>
      </c>
      <c r="N427" t="s">
        <v>471</v>
      </c>
      <c r="O427" t="s">
        <v>1960</v>
      </c>
      <c r="P427" s="7">
        <v>46.37</v>
      </c>
      <c r="Q427" s="1">
        <v>45414</v>
      </c>
      <c r="R427">
        <f>WEEKNUM(Table2[[#This Row],[OrderDate]])</f>
        <v>18</v>
      </c>
      <c r="S427" s="1">
        <v>45418</v>
      </c>
      <c r="T427" t="s">
        <v>2921</v>
      </c>
    </row>
    <row r="428" spans="1:20" x14ac:dyDescent="0.35">
      <c r="A428" s="1">
        <v>45185</v>
      </c>
      <c r="B428" t="s">
        <v>2931</v>
      </c>
      <c r="C428" t="s">
        <v>21</v>
      </c>
      <c r="D428" s="9">
        <v>17</v>
      </c>
      <c r="E428" s="7">
        <v>163.37</v>
      </c>
      <c r="F428" t="s">
        <v>26</v>
      </c>
      <c r="G428" t="s">
        <v>30</v>
      </c>
      <c r="H428" s="12">
        <v>0.15</v>
      </c>
      <c r="I428" t="s">
        <v>32</v>
      </c>
      <c r="J428" s="7">
        <f>Table2[[#This Row],[UnitPrice]]*Table2[[#This Row],[Quantity]]*(1-Table2[[#This Row],[Discount]])</f>
        <v>2360.6965</v>
      </c>
      <c r="K428" t="s">
        <v>39</v>
      </c>
      <c r="L428" t="s">
        <v>44</v>
      </c>
      <c r="M428">
        <v>0</v>
      </c>
      <c r="N428" t="s">
        <v>472</v>
      </c>
      <c r="O428" t="s">
        <v>1961</v>
      </c>
      <c r="P428" s="7">
        <v>5.36</v>
      </c>
      <c r="Q428" s="1">
        <v>45185</v>
      </c>
      <c r="R428">
        <f>WEEKNUM(Table2[[#This Row],[OrderDate]])</f>
        <v>37</v>
      </c>
      <c r="S428" s="1">
        <v>45195</v>
      </c>
      <c r="T428" t="s">
        <v>2919</v>
      </c>
    </row>
    <row r="429" spans="1:20" x14ac:dyDescent="0.35">
      <c r="A429" s="1">
        <v>45090</v>
      </c>
      <c r="B429" t="s">
        <v>2932</v>
      </c>
      <c r="C429" t="s">
        <v>24</v>
      </c>
      <c r="D429" s="9">
        <v>14</v>
      </c>
      <c r="E429" s="7">
        <v>583.96</v>
      </c>
      <c r="F429" t="s">
        <v>28</v>
      </c>
      <c r="G429" t="s">
        <v>31</v>
      </c>
      <c r="H429" s="12">
        <v>0</v>
      </c>
      <c r="I429" t="s">
        <v>36</v>
      </c>
      <c r="J429" s="7">
        <f>Table2[[#This Row],[UnitPrice]]*Table2[[#This Row],[Quantity]]*(1-Table2[[#This Row],[Discount]])</f>
        <v>8175.4400000000005</v>
      </c>
      <c r="K429" t="s">
        <v>41</v>
      </c>
      <c r="L429" t="s">
        <v>45</v>
      </c>
      <c r="M429">
        <v>0</v>
      </c>
      <c r="N429" t="s">
        <v>473</v>
      </c>
      <c r="O429" t="s">
        <v>1962</v>
      </c>
      <c r="P429" s="7">
        <v>23.03</v>
      </c>
      <c r="Q429" s="1">
        <v>45090</v>
      </c>
      <c r="R429">
        <f>WEEKNUM(Table2[[#This Row],[OrderDate]])</f>
        <v>24</v>
      </c>
      <c r="S429" s="1">
        <v>45099</v>
      </c>
      <c r="T429" t="s">
        <v>2918</v>
      </c>
    </row>
    <row r="430" spans="1:20" x14ac:dyDescent="0.35">
      <c r="A430" s="1">
        <v>45235</v>
      </c>
      <c r="B430" t="s">
        <v>2931</v>
      </c>
      <c r="C430" t="s">
        <v>21</v>
      </c>
      <c r="D430" s="9">
        <v>16</v>
      </c>
      <c r="E430" s="7">
        <v>181.08</v>
      </c>
      <c r="F430" t="s">
        <v>28</v>
      </c>
      <c r="G430" t="s">
        <v>31</v>
      </c>
      <c r="H430" s="12">
        <v>0.1</v>
      </c>
      <c r="I430" t="s">
        <v>35</v>
      </c>
      <c r="J430" s="7">
        <f>Table2[[#This Row],[UnitPrice]]*Table2[[#This Row],[Quantity]]*(1-Table2[[#This Row],[Discount]])</f>
        <v>2607.5520000000001</v>
      </c>
      <c r="K430" t="s">
        <v>38</v>
      </c>
      <c r="L430" t="s">
        <v>45</v>
      </c>
      <c r="M430">
        <v>0</v>
      </c>
      <c r="N430" t="s">
        <v>474</v>
      </c>
      <c r="O430" t="s">
        <v>1963</v>
      </c>
      <c r="P430" s="7">
        <v>39.840000000000003</v>
      </c>
      <c r="Q430" s="1">
        <v>45235</v>
      </c>
      <c r="R430">
        <f>WEEKNUM(Table2[[#This Row],[OrderDate]])</f>
        <v>45</v>
      </c>
      <c r="S430" s="1">
        <v>45238</v>
      </c>
      <c r="T430" t="s">
        <v>2919</v>
      </c>
    </row>
    <row r="431" spans="1:20" x14ac:dyDescent="0.35">
      <c r="A431" s="1">
        <v>45619</v>
      </c>
      <c r="B431" t="s">
        <v>2932</v>
      </c>
      <c r="C431" t="s">
        <v>24</v>
      </c>
      <c r="D431" s="9">
        <v>8</v>
      </c>
      <c r="E431" s="7">
        <v>414.94</v>
      </c>
      <c r="F431" t="s">
        <v>27</v>
      </c>
      <c r="G431" t="s">
        <v>30</v>
      </c>
      <c r="H431" s="12">
        <v>0</v>
      </c>
      <c r="I431" t="s">
        <v>33</v>
      </c>
      <c r="J431" s="7">
        <f>Table2[[#This Row],[UnitPrice]]*Table2[[#This Row],[Quantity]]*(1-Table2[[#This Row],[Discount]])</f>
        <v>3319.52</v>
      </c>
      <c r="K431" t="s">
        <v>41</v>
      </c>
      <c r="L431" t="s">
        <v>44</v>
      </c>
      <c r="M431">
        <v>0</v>
      </c>
      <c r="N431" t="s">
        <v>475</v>
      </c>
      <c r="O431" t="s">
        <v>1964</v>
      </c>
      <c r="P431" s="7">
        <v>46.58</v>
      </c>
      <c r="Q431" s="1">
        <v>45619</v>
      </c>
      <c r="R431">
        <f>WEEKNUM(Table2[[#This Row],[OrderDate]])</f>
        <v>47</v>
      </c>
      <c r="S431" s="1">
        <v>45622</v>
      </c>
      <c r="T431" t="s">
        <v>2918</v>
      </c>
    </row>
    <row r="432" spans="1:20" x14ac:dyDescent="0.35">
      <c r="A432" s="1">
        <v>45331</v>
      </c>
      <c r="B432" t="s">
        <v>2934</v>
      </c>
      <c r="C432" t="s">
        <v>20</v>
      </c>
      <c r="D432" s="9">
        <v>16</v>
      </c>
      <c r="E432" s="7">
        <v>442.22</v>
      </c>
      <c r="F432" t="s">
        <v>26</v>
      </c>
      <c r="G432" t="s">
        <v>31</v>
      </c>
      <c r="H432" s="12">
        <v>0</v>
      </c>
      <c r="I432" t="s">
        <v>33</v>
      </c>
      <c r="J432" s="7">
        <f>Table2[[#This Row],[UnitPrice]]*Table2[[#This Row],[Quantity]]*(1-Table2[[#This Row],[Discount]])</f>
        <v>7075.52</v>
      </c>
      <c r="K432" t="s">
        <v>42</v>
      </c>
      <c r="L432" t="s">
        <v>43</v>
      </c>
      <c r="M432">
        <v>0</v>
      </c>
      <c r="N432" t="s">
        <v>476</v>
      </c>
      <c r="O432" t="s">
        <v>1965</v>
      </c>
      <c r="P432" s="7">
        <v>27.36</v>
      </c>
      <c r="Q432" s="1">
        <v>45331</v>
      </c>
      <c r="R432">
        <f>WEEKNUM(Table2[[#This Row],[OrderDate]])</f>
        <v>6</v>
      </c>
      <c r="S432" s="1">
        <v>45340</v>
      </c>
      <c r="T432" t="s">
        <v>2920</v>
      </c>
    </row>
    <row r="433" spans="1:20" x14ac:dyDescent="0.35">
      <c r="A433" s="1">
        <v>45246</v>
      </c>
      <c r="B433" t="s">
        <v>2934</v>
      </c>
      <c r="C433" t="s">
        <v>25</v>
      </c>
      <c r="D433" s="9">
        <v>14</v>
      </c>
      <c r="E433" s="7">
        <v>595.39</v>
      </c>
      <c r="F433" t="s">
        <v>27</v>
      </c>
      <c r="G433" t="s">
        <v>30</v>
      </c>
      <c r="H433" s="12">
        <v>0.1</v>
      </c>
      <c r="I433" t="s">
        <v>37</v>
      </c>
      <c r="J433" s="7">
        <f>Table2[[#This Row],[UnitPrice]]*Table2[[#This Row],[Quantity]]*(1-Table2[[#This Row],[Discount]])</f>
        <v>7501.9139999999998</v>
      </c>
      <c r="K433" t="s">
        <v>40</v>
      </c>
      <c r="L433" t="s">
        <v>44</v>
      </c>
      <c r="M433">
        <v>0</v>
      </c>
      <c r="N433" t="s">
        <v>477</v>
      </c>
      <c r="O433" t="s">
        <v>1966</v>
      </c>
      <c r="P433" s="7">
        <v>9.51</v>
      </c>
      <c r="Q433" s="1">
        <v>45246</v>
      </c>
      <c r="R433">
        <f>WEEKNUM(Table2[[#This Row],[OrderDate]])</f>
        <v>46</v>
      </c>
      <c r="S433" s="1">
        <v>45252</v>
      </c>
      <c r="T433" t="s">
        <v>2920</v>
      </c>
    </row>
    <row r="434" spans="1:20" x14ac:dyDescent="0.35">
      <c r="A434" s="1">
        <v>45681</v>
      </c>
      <c r="B434" t="s">
        <v>2934</v>
      </c>
      <c r="C434" t="s">
        <v>23</v>
      </c>
      <c r="D434" s="9">
        <v>6</v>
      </c>
      <c r="E434" s="7">
        <v>175.3</v>
      </c>
      <c r="F434" t="s">
        <v>27</v>
      </c>
      <c r="G434" t="s">
        <v>30</v>
      </c>
      <c r="H434" s="12">
        <v>0.15</v>
      </c>
      <c r="I434" t="s">
        <v>33</v>
      </c>
      <c r="J434" s="7">
        <f>Table2[[#This Row],[UnitPrice]]*Table2[[#This Row],[Quantity]]*(1-Table2[[#This Row],[Discount]])</f>
        <v>894.03000000000009</v>
      </c>
      <c r="K434" t="s">
        <v>42</v>
      </c>
      <c r="L434" t="s">
        <v>44</v>
      </c>
      <c r="M434">
        <v>1</v>
      </c>
      <c r="N434" t="s">
        <v>478</v>
      </c>
      <c r="O434" t="s">
        <v>1967</v>
      </c>
      <c r="P434" s="7">
        <v>17.920000000000002</v>
      </c>
      <c r="Q434" s="1">
        <v>45681</v>
      </c>
      <c r="R434">
        <f>WEEKNUM(Table2[[#This Row],[OrderDate]])</f>
        <v>4</v>
      </c>
      <c r="S434" s="1">
        <v>45686</v>
      </c>
      <c r="T434" t="s">
        <v>2920</v>
      </c>
    </row>
    <row r="435" spans="1:20" x14ac:dyDescent="0.35">
      <c r="A435" s="1">
        <v>45783</v>
      </c>
      <c r="B435" t="s">
        <v>2934</v>
      </c>
      <c r="C435" t="s">
        <v>24</v>
      </c>
      <c r="D435" s="9">
        <v>7</v>
      </c>
      <c r="E435" s="7">
        <v>319.58999999999997</v>
      </c>
      <c r="F435" t="s">
        <v>28</v>
      </c>
      <c r="G435" t="s">
        <v>30</v>
      </c>
      <c r="H435" s="12">
        <v>0.15</v>
      </c>
      <c r="I435" t="s">
        <v>35</v>
      </c>
      <c r="J435" s="7">
        <f>Table2[[#This Row],[UnitPrice]]*Table2[[#This Row],[Quantity]]*(1-Table2[[#This Row],[Discount]])</f>
        <v>1901.5604999999996</v>
      </c>
      <c r="K435" t="s">
        <v>39</v>
      </c>
      <c r="L435" t="s">
        <v>45</v>
      </c>
      <c r="M435">
        <v>1</v>
      </c>
      <c r="N435" t="s">
        <v>479</v>
      </c>
      <c r="O435" t="s">
        <v>1968</v>
      </c>
      <c r="P435" s="7">
        <v>8.4700000000000006</v>
      </c>
      <c r="Q435" s="1">
        <v>45783</v>
      </c>
      <c r="R435">
        <f>WEEKNUM(Table2[[#This Row],[OrderDate]])</f>
        <v>19</v>
      </c>
      <c r="S435" s="1">
        <v>45786</v>
      </c>
      <c r="T435" t="s">
        <v>2920</v>
      </c>
    </row>
    <row r="436" spans="1:20" x14ac:dyDescent="0.35">
      <c r="A436" s="1">
        <v>45794</v>
      </c>
      <c r="B436" t="s">
        <v>2930</v>
      </c>
      <c r="C436" t="s">
        <v>25</v>
      </c>
      <c r="D436" s="9">
        <v>15</v>
      </c>
      <c r="E436" s="7">
        <v>506.81</v>
      </c>
      <c r="F436" t="s">
        <v>27</v>
      </c>
      <c r="G436" t="s">
        <v>31</v>
      </c>
      <c r="H436" s="12">
        <v>0.15</v>
      </c>
      <c r="I436" t="s">
        <v>37</v>
      </c>
      <c r="J436" s="7">
        <f>Table2[[#This Row],[UnitPrice]]*Table2[[#This Row],[Quantity]]*(1-Table2[[#This Row],[Discount]])</f>
        <v>6461.8274999999994</v>
      </c>
      <c r="K436" t="s">
        <v>42</v>
      </c>
      <c r="L436" t="s">
        <v>43</v>
      </c>
      <c r="M436">
        <v>1</v>
      </c>
      <c r="N436" t="s">
        <v>480</v>
      </c>
      <c r="O436" t="s">
        <v>1969</v>
      </c>
      <c r="P436" s="7">
        <v>41.03</v>
      </c>
      <c r="Q436" s="1">
        <v>45794</v>
      </c>
      <c r="R436">
        <f>WEEKNUM(Table2[[#This Row],[OrderDate]])</f>
        <v>20</v>
      </c>
      <c r="S436" s="1">
        <v>45804</v>
      </c>
      <c r="T436" t="s">
        <v>2917</v>
      </c>
    </row>
    <row r="437" spans="1:20" x14ac:dyDescent="0.35">
      <c r="A437" s="1">
        <v>45259</v>
      </c>
      <c r="B437" t="s">
        <v>2934</v>
      </c>
      <c r="C437" t="s">
        <v>19</v>
      </c>
      <c r="D437" s="9">
        <v>17</v>
      </c>
      <c r="E437" s="7">
        <v>538.08000000000004</v>
      </c>
      <c r="F437" t="s">
        <v>27</v>
      </c>
      <c r="G437" t="s">
        <v>31</v>
      </c>
      <c r="H437" s="12">
        <v>0.05</v>
      </c>
      <c r="I437" t="s">
        <v>32</v>
      </c>
      <c r="J437" s="7">
        <f>Table2[[#This Row],[UnitPrice]]*Table2[[#This Row],[Quantity]]*(1-Table2[[#This Row],[Discount]])</f>
        <v>8689.9920000000002</v>
      </c>
      <c r="K437" t="s">
        <v>41</v>
      </c>
      <c r="L437" t="s">
        <v>43</v>
      </c>
      <c r="M437">
        <v>0</v>
      </c>
      <c r="N437" t="s">
        <v>481</v>
      </c>
      <c r="O437" t="s">
        <v>1970</v>
      </c>
      <c r="P437" s="7">
        <v>19.61</v>
      </c>
      <c r="Q437" s="1">
        <v>45259</v>
      </c>
      <c r="R437">
        <f>WEEKNUM(Table2[[#This Row],[OrderDate]])</f>
        <v>48</v>
      </c>
      <c r="S437" s="1">
        <v>45261</v>
      </c>
      <c r="T437" t="s">
        <v>2920</v>
      </c>
    </row>
    <row r="438" spans="1:20" x14ac:dyDescent="0.35">
      <c r="A438" s="1">
        <v>44981</v>
      </c>
      <c r="B438" t="s">
        <v>2932</v>
      </c>
      <c r="C438" t="s">
        <v>22</v>
      </c>
      <c r="D438" s="9">
        <v>16</v>
      </c>
      <c r="E438" s="7">
        <v>187.84</v>
      </c>
      <c r="F438" t="s">
        <v>27</v>
      </c>
      <c r="G438" t="s">
        <v>31</v>
      </c>
      <c r="H438" s="12">
        <v>0</v>
      </c>
      <c r="I438" t="s">
        <v>33</v>
      </c>
      <c r="J438" s="7">
        <f>Table2[[#This Row],[UnitPrice]]*Table2[[#This Row],[Quantity]]*(1-Table2[[#This Row],[Discount]])</f>
        <v>3005.44</v>
      </c>
      <c r="K438" t="s">
        <v>40</v>
      </c>
      <c r="L438" t="s">
        <v>44</v>
      </c>
      <c r="M438">
        <v>0</v>
      </c>
      <c r="N438" t="s">
        <v>482</v>
      </c>
      <c r="O438" t="s">
        <v>1971</v>
      </c>
      <c r="P438" s="7">
        <v>18.649999999999999</v>
      </c>
      <c r="Q438" s="1">
        <v>44981</v>
      </c>
      <c r="R438">
        <f>WEEKNUM(Table2[[#This Row],[OrderDate]])</f>
        <v>8</v>
      </c>
      <c r="S438" s="1">
        <v>44983</v>
      </c>
      <c r="T438" t="s">
        <v>2918</v>
      </c>
    </row>
    <row r="439" spans="1:20" x14ac:dyDescent="0.35">
      <c r="A439" s="1">
        <v>45234</v>
      </c>
      <c r="B439" t="s">
        <v>2932</v>
      </c>
      <c r="C439" t="s">
        <v>19</v>
      </c>
      <c r="D439" s="9">
        <v>18</v>
      </c>
      <c r="E439" s="7">
        <v>426.3</v>
      </c>
      <c r="F439" t="s">
        <v>27</v>
      </c>
      <c r="G439" t="s">
        <v>30</v>
      </c>
      <c r="H439" s="12">
        <v>0.15</v>
      </c>
      <c r="I439" t="s">
        <v>35</v>
      </c>
      <c r="J439" s="7">
        <f>Table2[[#This Row],[UnitPrice]]*Table2[[#This Row],[Quantity]]*(1-Table2[[#This Row],[Discount]])</f>
        <v>6522.39</v>
      </c>
      <c r="K439" t="s">
        <v>40</v>
      </c>
      <c r="L439" t="s">
        <v>2937</v>
      </c>
      <c r="M439">
        <v>1</v>
      </c>
      <c r="N439" t="s">
        <v>483</v>
      </c>
      <c r="O439" t="s">
        <v>1972</v>
      </c>
      <c r="P439" s="7">
        <v>29.81</v>
      </c>
      <c r="Q439" s="1">
        <v>45234</v>
      </c>
      <c r="R439">
        <f>WEEKNUM(Table2[[#This Row],[OrderDate]])</f>
        <v>44</v>
      </c>
      <c r="S439" s="1">
        <v>45240</v>
      </c>
      <c r="T439" t="s">
        <v>2918</v>
      </c>
    </row>
    <row r="440" spans="1:20" x14ac:dyDescent="0.35">
      <c r="A440" s="1">
        <v>45458</v>
      </c>
      <c r="B440" t="s">
        <v>2930</v>
      </c>
      <c r="C440" t="s">
        <v>21</v>
      </c>
      <c r="D440" s="9">
        <v>1</v>
      </c>
      <c r="E440" s="7">
        <v>498.35</v>
      </c>
      <c r="F440" t="s">
        <v>26</v>
      </c>
      <c r="G440" t="s">
        <v>31</v>
      </c>
      <c r="H440" s="12">
        <v>0.1</v>
      </c>
      <c r="I440" t="s">
        <v>33</v>
      </c>
      <c r="J440" s="7">
        <f>Table2[[#This Row],[UnitPrice]]*Table2[[#This Row],[Quantity]]*(1-Table2[[#This Row],[Discount]])</f>
        <v>448.51500000000004</v>
      </c>
      <c r="K440" t="s">
        <v>38</v>
      </c>
      <c r="L440" t="s">
        <v>43</v>
      </c>
      <c r="M440">
        <v>0</v>
      </c>
      <c r="N440" t="s">
        <v>484</v>
      </c>
      <c r="O440" t="s">
        <v>1973</v>
      </c>
      <c r="P440" s="7">
        <v>34.700000000000003</v>
      </c>
      <c r="Q440" s="1">
        <v>45458</v>
      </c>
      <c r="R440">
        <f>WEEKNUM(Table2[[#This Row],[OrderDate]])</f>
        <v>24</v>
      </c>
      <c r="S440" s="1">
        <v>45465</v>
      </c>
      <c r="T440" t="s">
        <v>2917</v>
      </c>
    </row>
    <row r="441" spans="1:20" x14ac:dyDescent="0.35">
      <c r="A441" s="1">
        <v>45567</v>
      </c>
      <c r="B441" t="s">
        <v>2931</v>
      </c>
      <c r="C441" t="s">
        <v>24</v>
      </c>
      <c r="D441" s="9">
        <v>19</v>
      </c>
      <c r="E441" s="7">
        <v>385.72</v>
      </c>
      <c r="F441" t="s">
        <v>27</v>
      </c>
      <c r="G441" t="s">
        <v>31</v>
      </c>
      <c r="H441" s="12">
        <v>0.05</v>
      </c>
      <c r="I441" t="s">
        <v>35</v>
      </c>
      <c r="J441" s="7">
        <f>Table2[[#This Row],[UnitPrice]]*Table2[[#This Row],[Quantity]]*(1-Table2[[#This Row],[Discount]])</f>
        <v>6962.2460000000001</v>
      </c>
      <c r="K441" t="s">
        <v>42</v>
      </c>
      <c r="L441" t="s">
        <v>44</v>
      </c>
      <c r="M441">
        <v>1</v>
      </c>
      <c r="N441" t="s">
        <v>485</v>
      </c>
      <c r="O441" t="s">
        <v>1974</v>
      </c>
      <c r="P441" s="7">
        <v>12.46</v>
      </c>
      <c r="Q441" s="1">
        <v>45567</v>
      </c>
      <c r="R441">
        <f>WEEKNUM(Table2[[#This Row],[OrderDate]])</f>
        <v>40</v>
      </c>
      <c r="S441" s="1">
        <v>45571</v>
      </c>
      <c r="T441" t="s">
        <v>2919</v>
      </c>
    </row>
    <row r="442" spans="1:20" x14ac:dyDescent="0.35">
      <c r="A442" s="1">
        <v>45080</v>
      </c>
      <c r="B442" t="s">
        <v>2933</v>
      </c>
      <c r="C442" t="s">
        <v>24</v>
      </c>
      <c r="D442" s="9">
        <v>3</v>
      </c>
      <c r="E442" s="7">
        <v>54.37</v>
      </c>
      <c r="F442" t="s">
        <v>26</v>
      </c>
      <c r="G442" t="s">
        <v>30</v>
      </c>
      <c r="H442" s="12">
        <v>0.1</v>
      </c>
      <c r="I442" t="s">
        <v>34</v>
      </c>
      <c r="J442" s="7">
        <f>Table2[[#This Row],[UnitPrice]]*Table2[[#This Row],[Quantity]]*(1-Table2[[#This Row],[Discount]])</f>
        <v>146.79899999999998</v>
      </c>
      <c r="K442" t="s">
        <v>40</v>
      </c>
      <c r="L442" t="s">
        <v>45</v>
      </c>
      <c r="M442">
        <v>0</v>
      </c>
      <c r="N442" t="s">
        <v>486</v>
      </c>
      <c r="O442" t="s">
        <v>1975</v>
      </c>
      <c r="P442" s="7">
        <v>48.71</v>
      </c>
      <c r="Q442" s="1">
        <v>45080</v>
      </c>
      <c r="R442">
        <f>WEEKNUM(Table2[[#This Row],[OrderDate]])</f>
        <v>22</v>
      </c>
      <c r="S442" s="1">
        <v>45090</v>
      </c>
      <c r="T442" t="s">
        <v>2921</v>
      </c>
    </row>
    <row r="443" spans="1:20" x14ac:dyDescent="0.35">
      <c r="A443" s="1">
        <v>45179</v>
      </c>
      <c r="B443" t="s">
        <v>2930</v>
      </c>
      <c r="C443" t="s">
        <v>20</v>
      </c>
      <c r="D443" s="9">
        <v>6</v>
      </c>
      <c r="E443" s="7">
        <v>471.74</v>
      </c>
      <c r="F443" t="s">
        <v>28</v>
      </c>
      <c r="G443" t="s">
        <v>31</v>
      </c>
      <c r="H443" s="12">
        <v>0.15</v>
      </c>
      <c r="I443" t="s">
        <v>35</v>
      </c>
      <c r="J443" s="7">
        <f>Table2[[#This Row],[UnitPrice]]*Table2[[#This Row],[Quantity]]*(1-Table2[[#This Row],[Discount]])</f>
        <v>2405.8739999999998</v>
      </c>
      <c r="K443" t="s">
        <v>38</v>
      </c>
      <c r="L443" t="s">
        <v>2937</v>
      </c>
      <c r="M443">
        <v>0</v>
      </c>
      <c r="N443" t="s">
        <v>487</v>
      </c>
      <c r="O443" t="s">
        <v>1976</v>
      </c>
      <c r="P443" s="7">
        <v>36.79</v>
      </c>
      <c r="Q443" s="1">
        <v>45179</v>
      </c>
      <c r="R443">
        <f>WEEKNUM(Table2[[#This Row],[OrderDate]])</f>
        <v>37</v>
      </c>
      <c r="S443" s="1">
        <v>45187</v>
      </c>
      <c r="T443" t="s">
        <v>2917</v>
      </c>
    </row>
    <row r="444" spans="1:20" x14ac:dyDescent="0.35">
      <c r="A444" s="1">
        <v>45797</v>
      </c>
      <c r="B444" t="s">
        <v>2934</v>
      </c>
      <c r="C444" t="s">
        <v>25</v>
      </c>
      <c r="D444" s="9">
        <v>19</v>
      </c>
      <c r="E444" s="7">
        <v>322.31</v>
      </c>
      <c r="F444" t="s">
        <v>26</v>
      </c>
      <c r="G444" t="s">
        <v>31</v>
      </c>
      <c r="H444" s="12">
        <v>0.15</v>
      </c>
      <c r="I444" t="s">
        <v>37</v>
      </c>
      <c r="J444" s="7">
        <f>Table2[[#This Row],[UnitPrice]]*Table2[[#This Row],[Quantity]]*(1-Table2[[#This Row],[Discount]])</f>
        <v>5205.3065000000006</v>
      </c>
      <c r="K444" t="s">
        <v>42</v>
      </c>
      <c r="L444" t="s">
        <v>43</v>
      </c>
      <c r="M444">
        <v>0</v>
      </c>
      <c r="N444" t="s">
        <v>488</v>
      </c>
      <c r="O444" t="s">
        <v>1977</v>
      </c>
      <c r="P444" s="7">
        <v>33.950000000000003</v>
      </c>
      <c r="Q444" s="1">
        <v>45797</v>
      </c>
      <c r="R444">
        <f>WEEKNUM(Table2[[#This Row],[OrderDate]])</f>
        <v>21</v>
      </c>
      <c r="S444" s="1">
        <v>45799</v>
      </c>
      <c r="T444" t="s">
        <v>2920</v>
      </c>
    </row>
    <row r="445" spans="1:20" x14ac:dyDescent="0.35">
      <c r="A445" s="1">
        <v>45193</v>
      </c>
      <c r="B445" t="s">
        <v>2931</v>
      </c>
      <c r="C445" t="s">
        <v>24</v>
      </c>
      <c r="D445" s="9">
        <v>13</v>
      </c>
      <c r="E445" s="7">
        <v>115.86</v>
      </c>
      <c r="F445" t="s">
        <v>27</v>
      </c>
      <c r="G445" t="s">
        <v>30</v>
      </c>
      <c r="H445" s="12">
        <v>0.1</v>
      </c>
      <c r="I445" t="s">
        <v>36</v>
      </c>
      <c r="J445" s="7">
        <f>Table2[[#This Row],[UnitPrice]]*Table2[[#This Row],[Quantity]]*(1-Table2[[#This Row],[Discount]])</f>
        <v>1355.5620000000001</v>
      </c>
      <c r="K445" t="s">
        <v>42</v>
      </c>
      <c r="L445" t="s">
        <v>2937</v>
      </c>
      <c r="M445">
        <v>1</v>
      </c>
      <c r="N445" t="s">
        <v>489</v>
      </c>
      <c r="O445" t="s">
        <v>1978</v>
      </c>
      <c r="P445" s="7">
        <v>28.52</v>
      </c>
      <c r="Q445" s="1">
        <v>45193</v>
      </c>
      <c r="R445">
        <f>WEEKNUM(Table2[[#This Row],[OrderDate]])</f>
        <v>39</v>
      </c>
      <c r="S445" s="1">
        <v>45202</v>
      </c>
      <c r="T445" t="s">
        <v>2919</v>
      </c>
    </row>
    <row r="446" spans="1:20" x14ac:dyDescent="0.35">
      <c r="A446" s="1">
        <v>45745</v>
      </c>
      <c r="B446" t="s">
        <v>2930</v>
      </c>
      <c r="C446" t="s">
        <v>24</v>
      </c>
      <c r="D446" s="9">
        <v>18</v>
      </c>
      <c r="E446" s="7">
        <v>398.26</v>
      </c>
      <c r="F446" t="s">
        <v>26</v>
      </c>
      <c r="G446" t="s">
        <v>31</v>
      </c>
      <c r="H446" s="12">
        <v>0.1</v>
      </c>
      <c r="I446" t="s">
        <v>37</v>
      </c>
      <c r="J446" s="7">
        <f>Table2[[#This Row],[UnitPrice]]*Table2[[#This Row],[Quantity]]*(1-Table2[[#This Row],[Discount]])</f>
        <v>6451.8120000000008</v>
      </c>
      <c r="K446" t="s">
        <v>41</v>
      </c>
      <c r="L446" t="s">
        <v>2937</v>
      </c>
      <c r="M446">
        <v>0</v>
      </c>
      <c r="N446" t="s">
        <v>490</v>
      </c>
      <c r="O446" t="s">
        <v>1979</v>
      </c>
      <c r="P446" s="7">
        <v>16.8</v>
      </c>
      <c r="Q446" s="1">
        <v>45745</v>
      </c>
      <c r="R446">
        <f>WEEKNUM(Table2[[#This Row],[OrderDate]])</f>
        <v>13</v>
      </c>
      <c r="S446" s="1">
        <v>45751</v>
      </c>
      <c r="T446" t="s">
        <v>2917</v>
      </c>
    </row>
    <row r="447" spans="1:20" x14ac:dyDescent="0.35">
      <c r="A447" s="1">
        <v>45094</v>
      </c>
      <c r="B447" t="s">
        <v>2930</v>
      </c>
      <c r="C447" t="s">
        <v>22</v>
      </c>
      <c r="D447" s="9">
        <v>4</v>
      </c>
      <c r="E447" s="7">
        <v>584.79999999999995</v>
      </c>
      <c r="F447" t="s">
        <v>26</v>
      </c>
      <c r="G447" t="s">
        <v>31</v>
      </c>
      <c r="H447" s="12">
        <v>0.1</v>
      </c>
      <c r="I447" t="s">
        <v>32</v>
      </c>
      <c r="J447" s="7">
        <f>Table2[[#This Row],[UnitPrice]]*Table2[[#This Row],[Quantity]]*(1-Table2[[#This Row],[Discount]])</f>
        <v>2105.2799999999997</v>
      </c>
      <c r="K447" t="s">
        <v>38</v>
      </c>
      <c r="L447" t="s">
        <v>43</v>
      </c>
      <c r="M447">
        <v>0</v>
      </c>
      <c r="N447" t="s">
        <v>491</v>
      </c>
      <c r="O447" t="s">
        <v>1980</v>
      </c>
      <c r="P447" s="7">
        <v>16.440000000000001</v>
      </c>
      <c r="Q447" s="1">
        <v>45094</v>
      </c>
      <c r="R447">
        <f>WEEKNUM(Table2[[#This Row],[OrderDate]])</f>
        <v>24</v>
      </c>
      <c r="S447" s="1">
        <v>45102</v>
      </c>
      <c r="T447" t="s">
        <v>2917</v>
      </c>
    </row>
    <row r="448" spans="1:20" x14ac:dyDescent="0.35">
      <c r="A448" s="1">
        <v>45319</v>
      </c>
      <c r="B448" t="s">
        <v>2933</v>
      </c>
      <c r="C448" t="s">
        <v>25</v>
      </c>
      <c r="D448" s="9">
        <v>20</v>
      </c>
      <c r="E448" s="7">
        <v>424.7</v>
      </c>
      <c r="F448" t="s">
        <v>26</v>
      </c>
      <c r="G448" t="s">
        <v>30</v>
      </c>
      <c r="H448" s="12">
        <v>0.15</v>
      </c>
      <c r="I448" t="s">
        <v>37</v>
      </c>
      <c r="J448" s="7">
        <f>Table2[[#This Row],[UnitPrice]]*Table2[[#This Row],[Quantity]]*(1-Table2[[#This Row],[Discount]])</f>
        <v>7219.9</v>
      </c>
      <c r="K448" t="s">
        <v>38</v>
      </c>
      <c r="L448" t="s">
        <v>43</v>
      </c>
      <c r="M448">
        <v>0</v>
      </c>
      <c r="N448" t="s">
        <v>492</v>
      </c>
      <c r="O448" t="s">
        <v>1981</v>
      </c>
      <c r="P448" s="7">
        <v>42.03</v>
      </c>
      <c r="Q448" s="1">
        <v>45319</v>
      </c>
      <c r="R448">
        <f>WEEKNUM(Table2[[#This Row],[OrderDate]])</f>
        <v>5</v>
      </c>
      <c r="S448" s="1">
        <v>45327</v>
      </c>
      <c r="T448" t="s">
        <v>2921</v>
      </c>
    </row>
    <row r="449" spans="1:20" x14ac:dyDescent="0.35">
      <c r="A449" s="1">
        <v>44999</v>
      </c>
      <c r="B449" t="s">
        <v>2934</v>
      </c>
      <c r="C449" t="s">
        <v>22</v>
      </c>
      <c r="D449" s="9">
        <v>16</v>
      </c>
      <c r="E449" s="7">
        <v>179.22</v>
      </c>
      <c r="F449" t="s">
        <v>29</v>
      </c>
      <c r="G449" t="s">
        <v>31</v>
      </c>
      <c r="H449" s="12">
        <v>0.1</v>
      </c>
      <c r="I449" t="s">
        <v>33</v>
      </c>
      <c r="J449" s="7">
        <f>Table2[[#This Row],[UnitPrice]]*Table2[[#This Row],[Quantity]]*(1-Table2[[#This Row],[Discount]])</f>
        <v>2580.768</v>
      </c>
      <c r="K449" t="s">
        <v>38</v>
      </c>
      <c r="L449" t="s">
        <v>45</v>
      </c>
      <c r="M449">
        <v>0</v>
      </c>
      <c r="N449" t="s">
        <v>493</v>
      </c>
      <c r="O449" t="s">
        <v>1982</v>
      </c>
      <c r="P449" s="7">
        <v>45.99</v>
      </c>
      <c r="Q449" s="1">
        <v>44999</v>
      </c>
      <c r="R449">
        <f>WEEKNUM(Table2[[#This Row],[OrderDate]])</f>
        <v>11</v>
      </c>
      <c r="S449" s="1">
        <v>45002</v>
      </c>
      <c r="T449" t="s">
        <v>2920</v>
      </c>
    </row>
    <row r="450" spans="1:20" x14ac:dyDescent="0.35">
      <c r="A450" s="1">
        <v>45666</v>
      </c>
      <c r="B450" t="s">
        <v>2930</v>
      </c>
      <c r="C450" t="s">
        <v>19</v>
      </c>
      <c r="D450" s="9">
        <v>12</v>
      </c>
      <c r="E450" s="7">
        <v>148.66</v>
      </c>
      <c r="F450" t="s">
        <v>27</v>
      </c>
      <c r="G450" t="s">
        <v>30</v>
      </c>
      <c r="H450" s="12">
        <v>0</v>
      </c>
      <c r="I450" t="s">
        <v>36</v>
      </c>
      <c r="J450" s="7">
        <f>Table2[[#This Row],[UnitPrice]]*Table2[[#This Row],[Quantity]]*(1-Table2[[#This Row],[Discount]])</f>
        <v>1783.92</v>
      </c>
      <c r="K450" t="s">
        <v>38</v>
      </c>
      <c r="L450" t="s">
        <v>2937</v>
      </c>
      <c r="M450">
        <v>1</v>
      </c>
      <c r="N450" t="s">
        <v>494</v>
      </c>
      <c r="O450" t="s">
        <v>1983</v>
      </c>
      <c r="P450" s="7">
        <v>27.16</v>
      </c>
      <c r="Q450" s="1">
        <v>45666</v>
      </c>
      <c r="R450">
        <f>WEEKNUM(Table2[[#This Row],[OrderDate]])</f>
        <v>2</v>
      </c>
      <c r="S450" s="1">
        <v>45674</v>
      </c>
      <c r="T450" t="s">
        <v>2917</v>
      </c>
    </row>
    <row r="451" spans="1:20" x14ac:dyDescent="0.35">
      <c r="A451" s="1">
        <v>45746</v>
      </c>
      <c r="B451" t="s">
        <v>2934</v>
      </c>
      <c r="C451" t="s">
        <v>20</v>
      </c>
      <c r="D451" s="9">
        <v>16</v>
      </c>
      <c r="E451" s="7">
        <v>460.43</v>
      </c>
      <c r="F451" t="s">
        <v>26</v>
      </c>
      <c r="G451" t="s">
        <v>30</v>
      </c>
      <c r="H451" s="12">
        <v>0.15</v>
      </c>
      <c r="I451" t="s">
        <v>37</v>
      </c>
      <c r="J451" s="7">
        <f>Table2[[#This Row],[UnitPrice]]*Table2[[#This Row],[Quantity]]*(1-Table2[[#This Row],[Discount]])</f>
        <v>6261.848</v>
      </c>
      <c r="K451" t="s">
        <v>38</v>
      </c>
      <c r="L451" t="s">
        <v>45</v>
      </c>
      <c r="M451">
        <v>0</v>
      </c>
      <c r="N451" t="s">
        <v>495</v>
      </c>
      <c r="O451" t="s">
        <v>1984</v>
      </c>
      <c r="P451" s="7">
        <v>20.38</v>
      </c>
      <c r="Q451" s="1">
        <v>45746</v>
      </c>
      <c r="R451">
        <f>WEEKNUM(Table2[[#This Row],[OrderDate]])</f>
        <v>14</v>
      </c>
      <c r="S451" s="1">
        <v>45753</v>
      </c>
      <c r="T451" t="s">
        <v>2920</v>
      </c>
    </row>
    <row r="452" spans="1:20" x14ac:dyDescent="0.35">
      <c r="A452" s="1">
        <v>45222</v>
      </c>
      <c r="B452" t="s">
        <v>2930</v>
      </c>
      <c r="C452" t="s">
        <v>24</v>
      </c>
      <c r="D452" s="9">
        <v>5</v>
      </c>
      <c r="E452" s="7">
        <v>334.37</v>
      </c>
      <c r="F452" t="s">
        <v>26</v>
      </c>
      <c r="G452" t="s">
        <v>31</v>
      </c>
      <c r="H452" s="12">
        <v>0.05</v>
      </c>
      <c r="I452" t="s">
        <v>35</v>
      </c>
      <c r="J452" s="7">
        <f>Table2[[#This Row],[UnitPrice]]*Table2[[#This Row],[Quantity]]*(1-Table2[[#This Row],[Discount]])</f>
        <v>1588.2574999999999</v>
      </c>
      <c r="K452" t="s">
        <v>40</v>
      </c>
      <c r="L452" t="s">
        <v>2937</v>
      </c>
      <c r="M452">
        <v>0</v>
      </c>
      <c r="N452" t="s">
        <v>496</v>
      </c>
      <c r="O452" t="s">
        <v>1771</v>
      </c>
      <c r="P452" s="7">
        <v>32.130000000000003</v>
      </c>
      <c r="Q452" s="1">
        <v>45222</v>
      </c>
      <c r="R452">
        <f>WEEKNUM(Table2[[#This Row],[OrderDate]])</f>
        <v>43</v>
      </c>
      <c r="S452" s="1">
        <v>45227</v>
      </c>
      <c r="T452" t="s">
        <v>2917</v>
      </c>
    </row>
    <row r="453" spans="1:20" x14ac:dyDescent="0.35">
      <c r="A453" s="1">
        <v>45816</v>
      </c>
      <c r="B453" t="s">
        <v>2933</v>
      </c>
      <c r="C453" t="s">
        <v>23</v>
      </c>
      <c r="D453" s="9">
        <v>3</v>
      </c>
      <c r="E453" s="7">
        <v>599.72</v>
      </c>
      <c r="F453" t="s">
        <v>29</v>
      </c>
      <c r="G453" t="s">
        <v>31</v>
      </c>
      <c r="H453" s="12">
        <v>0.15</v>
      </c>
      <c r="I453" t="s">
        <v>33</v>
      </c>
      <c r="J453" s="7">
        <f>Table2[[#This Row],[UnitPrice]]*Table2[[#This Row],[Quantity]]*(1-Table2[[#This Row],[Discount]])</f>
        <v>1529.2860000000001</v>
      </c>
      <c r="K453" t="s">
        <v>38</v>
      </c>
      <c r="L453" t="s">
        <v>45</v>
      </c>
      <c r="M453">
        <v>1</v>
      </c>
      <c r="N453" t="s">
        <v>497</v>
      </c>
      <c r="O453" t="s">
        <v>1985</v>
      </c>
      <c r="P453" s="7">
        <v>14.93</v>
      </c>
      <c r="Q453" s="1">
        <v>45816</v>
      </c>
      <c r="R453">
        <f>WEEKNUM(Table2[[#This Row],[OrderDate]])</f>
        <v>24</v>
      </c>
      <c r="S453" s="1">
        <v>45822</v>
      </c>
      <c r="T453" t="s">
        <v>2921</v>
      </c>
    </row>
    <row r="454" spans="1:20" x14ac:dyDescent="0.35">
      <c r="A454" s="1">
        <v>45348</v>
      </c>
      <c r="B454" t="s">
        <v>2933</v>
      </c>
      <c r="C454" t="s">
        <v>23</v>
      </c>
      <c r="D454" s="9">
        <v>11</v>
      </c>
      <c r="E454" s="7">
        <v>389.84</v>
      </c>
      <c r="F454" t="s">
        <v>29</v>
      </c>
      <c r="G454" t="s">
        <v>30</v>
      </c>
      <c r="H454" s="12">
        <v>0</v>
      </c>
      <c r="I454" t="s">
        <v>33</v>
      </c>
      <c r="J454" s="7">
        <f>Table2[[#This Row],[UnitPrice]]*Table2[[#This Row],[Quantity]]*(1-Table2[[#This Row],[Discount]])</f>
        <v>4288.24</v>
      </c>
      <c r="K454" t="s">
        <v>39</v>
      </c>
      <c r="L454" t="s">
        <v>44</v>
      </c>
      <c r="M454">
        <v>1</v>
      </c>
      <c r="N454" t="s">
        <v>498</v>
      </c>
      <c r="O454" t="s">
        <v>1986</v>
      </c>
      <c r="P454" s="7">
        <v>10.24</v>
      </c>
      <c r="Q454" s="1">
        <v>45348</v>
      </c>
      <c r="R454">
        <f>WEEKNUM(Table2[[#This Row],[OrderDate]])</f>
        <v>9</v>
      </c>
      <c r="S454" s="1">
        <v>45351</v>
      </c>
      <c r="T454" t="s">
        <v>2921</v>
      </c>
    </row>
    <row r="455" spans="1:20" x14ac:dyDescent="0.35">
      <c r="A455" s="1">
        <v>45595</v>
      </c>
      <c r="B455" t="s">
        <v>2930</v>
      </c>
      <c r="C455" t="s">
        <v>22</v>
      </c>
      <c r="D455" s="9">
        <v>11</v>
      </c>
      <c r="E455" s="7">
        <v>445.75</v>
      </c>
      <c r="F455" t="s">
        <v>27</v>
      </c>
      <c r="G455" t="s">
        <v>30</v>
      </c>
      <c r="H455" s="12">
        <v>0.1</v>
      </c>
      <c r="I455" t="s">
        <v>34</v>
      </c>
      <c r="J455" s="7">
        <f>Table2[[#This Row],[UnitPrice]]*Table2[[#This Row],[Quantity]]*(1-Table2[[#This Row],[Discount]])</f>
        <v>4412.9250000000002</v>
      </c>
      <c r="K455" t="s">
        <v>38</v>
      </c>
      <c r="L455" t="s">
        <v>44</v>
      </c>
      <c r="M455">
        <v>0</v>
      </c>
      <c r="N455" t="s">
        <v>499</v>
      </c>
      <c r="O455" t="s">
        <v>1987</v>
      </c>
      <c r="P455" s="7">
        <v>18.07</v>
      </c>
      <c r="Q455" s="1">
        <v>45595</v>
      </c>
      <c r="R455">
        <f>WEEKNUM(Table2[[#This Row],[OrderDate]])</f>
        <v>44</v>
      </c>
      <c r="S455" s="1">
        <v>45603</v>
      </c>
      <c r="T455" t="s">
        <v>2917</v>
      </c>
    </row>
    <row r="456" spans="1:20" x14ac:dyDescent="0.35">
      <c r="A456" s="1">
        <v>45523</v>
      </c>
      <c r="B456" t="s">
        <v>2932</v>
      </c>
      <c r="C456" t="s">
        <v>19</v>
      </c>
      <c r="D456" s="9">
        <v>18</v>
      </c>
      <c r="E456" s="7">
        <v>96.84</v>
      </c>
      <c r="F456" t="s">
        <v>27</v>
      </c>
      <c r="G456" t="s">
        <v>30</v>
      </c>
      <c r="H456" s="12">
        <v>0.15</v>
      </c>
      <c r="I456" t="s">
        <v>34</v>
      </c>
      <c r="J456" s="7">
        <f>Table2[[#This Row],[UnitPrice]]*Table2[[#This Row],[Quantity]]*(1-Table2[[#This Row],[Discount]])</f>
        <v>1481.652</v>
      </c>
      <c r="K456" t="s">
        <v>42</v>
      </c>
      <c r="L456" t="s">
        <v>44</v>
      </c>
      <c r="M456">
        <v>1</v>
      </c>
      <c r="N456" t="s">
        <v>500</v>
      </c>
      <c r="O456" t="s">
        <v>1988</v>
      </c>
      <c r="P456" s="7">
        <v>8.1</v>
      </c>
      <c r="Q456" s="1">
        <v>45523</v>
      </c>
      <c r="R456">
        <f>WEEKNUM(Table2[[#This Row],[OrderDate]])</f>
        <v>34</v>
      </c>
      <c r="S456" s="1">
        <v>45527</v>
      </c>
      <c r="T456" t="s">
        <v>2918</v>
      </c>
    </row>
    <row r="457" spans="1:20" x14ac:dyDescent="0.35">
      <c r="A457" s="1">
        <v>45137</v>
      </c>
      <c r="B457" t="s">
        <v>2934</v>
      </c>
      <c r="C457" t="s">
        <v>22</v>
      </c>
      <c r="D457" s="9">
        <v>1</v>
      </c>
      <c r="E457" s="7">
        <v>528.30999999999995</v>
      </c>
      <c r="F457" t="s">
        <v>28</v>
      </c>
      <c r="G457" t="s">
        <v>30</v>
      </c>
      <c r="H457" s="12">
        <v>0.1</v>
      </c>
      <c r="I457" t="s">
        <v>33</v>
      </c>
      <c r="J457" s="7">
        <f>Table2[[#This Row],[UnitPrice]]*Table2[[#This Row],[Quantity]]*(1-Table2[[#This Row],[Discount]])</f>
        <v>475.47899999999998</v>
      </c>
      <c r="K457" t="s">
        <v>38</v>
      </c>
      <c r="L457" t="s">
        <v>43</v>
      </c>
      <c r="M457">
        <v>0</v>
      </c>
      <c r="N457" t="s">
        <v>501</v>
      </c>
      <c r="O457" t="s">
        <v>1567</v>
      </c>
      <c r="P457" s="7">
        <v>24.55</v>
      </c>
      <c r="Q457" s="1">
        <v>45137</v>
      </c>
      <c r="R457">
        <f>WEEKNUM(Table2[[#This Row],[OrderDate]])</f>
        <v>31</v>
      </c>
      <c r="S457" s="1">
        <v>45147</v>
      </c>
      <c r="T457" t="s">
        <v>2920</v>
      </c>
    </row>
    <row r="458" spans="1:20" x14ac:dyDescent="0.35">
      <c r="A458" s="1">
        <v>45517</v>
      </c>
      <c r="B458" t="s">
        <v>2931</v>
      </c>
      <c r="C458" t="s">
        <v>23</v>
      </c>
      <c r="D458" s="9">
        <v>16</v>
      </c>
      <c r="E458" s="7">
        <v>64.03</v>
      </c>
      <c r="F458" t="s">
        <v>27</v>
      </c>
      <c r="G458" t="s">
        <v>30</v>
      </c>
      <c r="H458" s="12">
        <v>0</v>
      </c>
      <c r="I458" t="s">
        <v>35</v>
      </c>
      <c r="J458" s="7">
        <f>Table2[[#This Row],[UnitPrice]]*Table2[[#This Row],[Quantity]]*(1-Table2[[#This Row],[Discount]])</f>
        <v>1024.48</v>
      </c>
      <c r="K458" t="s">
        <v>39</v>
      </c>
      <c r="L458" t="s">
        <v>45</v>
      </c>
      <c r="M458">
        <v>1</v>
      </c>
      <c r="N458" t="s">
        <v>502</v>
      </c>
      <c r="O458" t="s">
        <v>1989</v>
      </c>
      <c r="P458" s="7">
        <v>16.71</v>
      </c>
      <c r="Q458" s="1">
        <v>45517</v>
      </c>
      <c r="R458">
        <f>WEEKNUM(Table2[[#This Row],[OrderDate]])</f>
        <v>33</v>
      </c>
      <c r="S458" s="1">
        <v>45527</v>
      </c>
      <c r="T458" t="s">
        <v>2919</v>
      </c>
    </row>
    <row r="459" spans="1:20" x14ac:dyDescent="0.35">
      <c r="A459" s="1">
        <v>45234</v>
      </c>
      <c r="B459" t="s">
        <v>2931</v>
      </c>
      <c r="C459" t="s">
        <v>25</v>
      </c>
      <c r="D459" s="9">
        <v>13</v>
      </c>
      <c r="E459" s="7">
        <v>179.37</v>
      </c>
      <c r="F459" t="s">
        <v>27</v>
      </c>
      <c r="G459" t="s">
        <v>31</v>
      </c>
      <c r="H459" s="12">
        <v>0.05</v>
      </c>
      <c r="I459" t="s">
        <v>32</v>
      </c>
      <c r="J459" s="7">
        <f>Table2[[#This Row],[UnitPrice]]*Table2[[#This Row],[Quantity]]*(1-Table2[[#This Row],[Discount]])</f>
        <v>2215.2194999999997</v>
      </c>
      <c r="K459" t="s">
        <v>38</v>
      </c>
      <c r="L459" t="s">
        <v>43</v>
      </c>
      <c r="M459">
        <v>0</v>
      </c>
      <c r="N459" t="s">
        <v>503</v>
      </c>
      <c r="O459" t="s">
        <v>1990</v>
      </c>
      <c r="P459" s="7">
        <v>35.28</v>
      </c>
      <c r="Q459" s="1">
        <v>45234</v>
      </c>
      <c r="R459">
        <f>WEEKNUM(Table2[[#This Row],[OrderDate]])</f>
        <v>44</v>
      </c>
      <c r="S459" s="1">
        <v>45242</v>
      </c>
      <c r="T459" t="s">
        <v>2919</v>
      </c>
    </row>
    <row r="460" spans="1:20" x14ac:dyDescent="0.35">
      <c r="A460" s="1">
        <v>45813</v>
      </c>
      <c r="B460" t="s">
        <v>2930</v>
      </c>
      <c r="C460" t="s">
        <v>25</v>
      </c>
      <c r="D460" s="9">
        <v>19</v>
      </c>
      <c r="E460" s="7">
        <v>491.15</v>
      </c>
      <c r="F460" t="s">
        <v>28</v>
      </c>
      <c r="G460" t="s">
        <v>31</v>
      </c>
      <c r="H460" s="12">
        <v>0</v>
      </c>
      <c r="I460" t="s">
        <v>34</v>
      </c>
      <c r="J460" s="7">
        <f>Table2[[#This Row],[UnitPrice]]*Table2[[#This Row],[Quantity]]*(1-Table2[[#This Row],[Discount]])</f>
        <v>9331.85</v>
      </c>
      <c r="K460" t="s">
        <v>38</v>
      </c>
      <c r="L460" t="s">
        <v>2937</v>
      </c>
      <c r="M460">
        <v>0</v>
      </c>
      <c r="N460" t="s">
        <v>504</v>
      </c>
      <c r="O460" t="s">
        <v>1991</v>
      </c>
      <c r="P460" s="7">
        <v>48.68</v>
      </c>
      <c r="Q460" s="1">
        <v>45813</v>
      </c>
      <c r="R460">
        <f>WEEKNUM(Table2[[#This Row],[OrderDate]])</f>
        <v>23</v>
      </c>
      <c r="S460" s="1">
        <v>45823</v>
      </c>
      <c r="T460" t="s">
        <v>2917</v>
      </c>
    </row>
    <row r="461" spans="1:20" x14ac:dyDescent="0.35">
      <c r="A461" s="1">
        <v>45100</v>
      </c>
      <c r="B461" t="s">
        <v>2931</v>
      </c>
      <c r="C461" t="s">
        <v>25</v>
      </c>
      <c r="D461" s="9">
        <v>5</v>
      </c>
      <c r="E461" s="7">
        <v>360.34</v>
      </c>
      <c r="F461" t="s">
        <v>28</v>
      </c>
      <c r="G461" t="s">
        <v>30</v>
      </c>
      <c r="H461" s="12">
        <v>0</v>
      </c>
      <c r="I461" t="s">
        <v>35</v>
      </c>
      <c r="J461" s="7">
        <f>Table2[[#This Row],[UnitPrice]]*Table2[[#This Row],[Quantity]]*(1-Table2[[#This Row],[Discount]])</f>
        <v>1801.6999999999998</v>
      </c>
      <c r="K461" t="s">
        <v>39</v>
      </c>
      <c r="L461" t="s">
        <v>2937</v>
      </c>
      <c r="M461">
        <v>0</v>
      </c>
      <c r="N461" t="s">
        <v>505</v>
      </c>
      <c r="O461" t="s">
        <v>1992</v>
      </c>
      <c r="P461" s="7">
        <v>33.76</v>
      </c>
      <c r="Q461" s="1">
        <v>45100</v>
      </c>
      <c r="R461">
        <f>WEEKNUM(Table2[[#This Row],[OrderDate]])</f>
        <v>25</v>
      </c>
      <c r="S461" s="1">
        <v>45105</v>
      </c>
      <c r="T461" t="s">
        <v>2919</v>
      </c>
    </row>
    <row r="462" spans="1:20" x14ac:dyDescent="0.35">
      <c r="A462" s="1">
        <v>45556</v>
      </c>
      <c r="B462" t="s">
        <v>2932</v>
      </c>
      <c r="C462" t="s">
        <v>19</v>
      </c>
      <c r="D462" s="9">
        <v>20</v>
      </c>
      <c r="E462" s="7">
        <v>296.8</v>
      </c>
      <c r="F462" t="s">
        <v>27</v>
      </c>
      <c r="G462" t="s">
        <v>31</v>
      </c>
      <c r="H462" s="12">
        <v>0.1</v>
      </c>
      <c r="I462" t="s">
        <v>34</v>
      </c>
      <c r="J462" s="7">
        <f>Table2[[#This Row],[UnitPrice]]*Table2[[#This Row],[Quantity]]*(1-Table2[[#This Row],[Discount]])</f>
        <v>5342.4000000000005</v>
      </c>
      <c r="K462" t="s">
        <v>39</v>
      </c>
      <c r="L462" t="s">
        <v>2937</v>
      </c>
      <c r="M462">
        <v>0</v>
      </c>
      <c r="N462" t="s">
        <v>506</v>
      </c>
      <c r="O462" t="s">
        <v>1993</v>
      </c>
      <c r="P462" s="7">
        <v>19.57</v>
      </c>
      <c r="Q462" s="1">
        <v>45556</v>
      </c>
      <c r="R462">
        <f>WEEKNUM(Table2[[#This Row],[OrderDate]])</f>
        <v>38</v>
      </c>
      <c r="S462" s="1">
        <v>45563</v>
      </c>
      <c r="T462" t="s">
        <v>2918</v>
      </c>
    </row>
    <row r="463" spans="1:20" x14ac:dyDescent="0.35">
      <c r="A463" s="1">
        <v>45292</v>
      </c>
      <c r="B463" t="s">
        <v>2932</v>
      </c>
      <c r="C463" t="s">
        <v>21</v>
      </c>
      <c r="D463" s="9">
        <v>3</v>
      </c>
      <c r="E463" s="7">
        <v>599.41999999999996</v>
      </c>
      <c r="F463" t="s">
        <v>27</v>
      </c>
      <c r="G463" t="s">
        <v>30</v>
      </c>
      <c r="H463" s="12">
        <v>0.1</v>
      </c>
      <c r="I463" t="s">
        <v>37</v>
      </c>
      <c r="J463" s="7">
        <f>Table2[[#This Row],[UnitPrice]]*Table2[[#This Row],[Quantity]]*(1-Table2[[#This Row],[Discount]])</f>
        <v>1618.4339999999997</v>
      </c>
      <c r="K463" t="s">
        <v>38</v>
      </c>
      <c r="L463" t="s">
        <v>44</v>
      </c>
      <c r="M463">
        <v>0</v>
      </c>
      <c r="N463" t="s">
        <v>507</v>
      </c>
      <c r="O463" t="s">
        <v>1994</v>
      </c>
      <c r="P463" s="7">
        <v>48.02</v>
      </c>
      <c r="Q463" s="1">
        <v>45292</v>
      </c>
      <c r="R463">
        <f>WEEKNUM(Table2[[#This Row],[OrderDate]])</f>
        <v>1</v>
      </c>
      <c r="S463" s="1">
        <v>45294</v>
      </c>
      <c r="T463" t="s">
        <v>2918</v>
      </c>
    </row>
    <row r="464" spans="1:20" x14ac:dyDescent="0.35">
      <c r="A464" s="1">
        <v>45659</v>
      </c>
      <c r="B464" t="s">
        <v>2933</v>
      </c>
      <c r="C464" t="s">
        <v>19</v>
      </c>
      <c r="D464" s="9">
        <v>1</v>
      </c>
      <c r="E464" s="7">
        <v>374.33</v>
      </c>
      <c r="F464" t="s">
        <v>26</v>
      </c>
      <c r="G464" t="s">
        <v>30</v>
      </c>
      <c r="H464" s="12">
        <v>0</v>
      </c>
      <c r="I464" t="s">
        <v>35</v>
      </c>
      <c r="J464" s="7">
        <f>Table2[[#This Row],[UnitPrice]]*Table2[[#This Row],[Quantity]]*(1-Table2[[#This Row],[Discount]])</f>
        <v>374.33</v>
      </c>
      <c r="K464" t="s">
        <v>40</v>
      </c>
      <c r="L464" t="s">
        <v>43</v>
      </c>
      <c r="M464">
        <v>0</v>
      </c>
      <c r="N464" t="s">
        <v>508</v>
      </c>
      <c r="O464" t="s">
        <v>1995</v>
      </c>
      <c r="P464" s="7">
        <v>33.31</v>
      </c>
      <c r="Q464" s="1">
        <v>45659</v>
      </c>
      <c r="R464">
        <f>WEEKNUM(Table2[[#This Row],[OrderDate]])</f>
        <v>1</v>
      </c>
      <c r="S464" s="1">
        <v>45669</v>
      </c>
      <c r="T464" t="s">
        <v>2921</v>
      </c>
    </row>
    <row r="465" spans="1:20" x14ac:dyDescent="0.35">
      <c r="A465" s="1">
        <v>45365</v>
      </c>
      <c r="B465" t="s">
        <v>2931</v>
      </c>
      <c r="C465" t="s">
        <v>21</v>
      </c>
      <c r="D465" s="9">
        <v>13</v>
      </c>
      <c r="E465" s="7">
        <v>588.79999999999995</v>
      </c>
      <c r="F465" t="s">
        <v>29</v>
      </c>
      <c r="G465" t="s">
        <v>30</v>
      </c>
      <c r="H465" s="12">
        <v>0.15</v>
      </c>
      <c r="I465" t="s">
        <v>34</v>
      </c>
      <c r="J465" s="7">
        <f>Table2[[#This Row],[UnitPrice]]*Table2[[#This Row],[Quantity]]*(1-Table2[[#This Row],[Discount]])</f>
        <v>6506.24</v>
      </c>
      <c r="K465" t="s">
        <v>42</v>
      </c>
      <c r="L465" t="s">
        <v>44</v>
      </c>
      <c r="M465">
        <v>0</v>
      </c>
      <c r="N465" t="s">
        <v>509</v>
      </c>
      <c r="O465" t="s">
        <v>1996</v>
      </c>
      <c r="P465" s="7">
        <v>45.03</v>
      </c>
      <c r="Q465" s="1">
        <v>45365</v>
      </c>
      <c r="R465">
        <f>WEEKNUM(Table2[[#This Row],[OrderDate]])</f>
        <v>11</v>
      </c>
      <c r="S465" s="1">
        <v>45372</v>
      </c>
      <c r="T465" t="s">
        <v>2919</v>
      </c>
    </row>
    <row r="466" spans="1:20" x14ac:dyDescent="0.35">
      <c r="A466" s="1">
        <v>45416</v>
      </c>
      <c r="B466" t="s">
        <v>2933</v>
      </c>
      <c r="C466" t="s">
        <v>23</v>
      </c>
      <c r="D466" s="9">
        <v>13</v>
      </c>
      <c r="E466" s="7">
        <v>198.44</v>
      </c>
      <c r="F466" t="s">
        <v>29</v>
      </c>
      <c r="G466" t="s">
        <v>30</v>
      </c>
      <c r="H466" s="12">
        <v>0</v>
      </c>
      <c r="I466" t="s">
        <v>35</v>
      </c>
      <c r="J466" s="7">
        <f>Table2[[#This Row],[UnitPrice]]*Table2[[#This Row],[Quantity]]*(1-Table2[[#This Row],[Discount]])</f>
        <v>2579.7199999999998</v>
      </c>
      <c r="K466" t="s">
        <v>42</v>
      </c>
      <c r="L466" t="s">
        <v>44</v>
      </c>
      <c r="M466">
        <v>1</v>
      </c>
      <c r="N466" t="s">
        <v>510</v>
      </c>
      <c r="O466" t="s">
        <v>1997</v>
      </c>
      <c r="P466" s="7">
        <v>31.51</v>
      </c>
      <c r="Q466" s="1">
        <v>45416</v>
      </c>
      <c r="R466">
        <f>WEEKNUM(Table2[[#This Row],[OrderDate]])</f>
        <v>18</v>
      </c>
      <c r="S466" s="1">
        <v>45421</v>
      </c>
      <c r="T466" t="s">
        <v>2921</v>
      </c>
    </row>
    <row r="467" spans="1:20" x14ac:dyDescent="0.35">
      <c r="A467" s="1">
        <v>45715</v>
      </c>
      <c r="B467" t="s">
        <v>2932</v>
      </c>
      <c r="C467" t="s">
        <v>25</v>
      </c>
      <c r="D467" s="9">
        <v>12</v>
      </c>
      <c r="E467" s="7">
        <v>384.2</v>
      </c>
      <c r="F467" t="s">
        <v>27</v>
      </c>
      <c r="G467" t="s">
        <v>31</v>
      </c>
      <c r="H467" s="12">
        <v>0</v>
      </c>
      <c r="I467" t="s">
        <v>32</v>
      </c>
      <c r="J467" s="7">
        <f>Table2[[#This Row],[UnitPrice]]*Table2[[#This Row],[Quantity]]*(1-Table2[[#This Row],[Discount]])</f>
        <v>4610.3999999999996</v>
      </c>
      <c r="K467" t="s">
        <v>42</v>
      </c>
      <c r="L467" t="s">
        <v>43</v>
      </c>
      <c r="M467">
        <v>0</v>
      </c>
      <c r="N467" t="s">
        <v>511</v>
      </c>
      <c r="O467" t="s">
        <v>1848</v>
      </c>
      <c r="P467" s="7">
        <v>38.99</v>
      </c>
      <c r="Q467" s="1">
        <v>45715</v>
      </c>
      <c r="R467">
        <f>WEEKNUM(Table2[[#This Row],[OrderDate]])</f>
        <v>9</v>
      </c>
      <c r="S467" s="1">
        <v>45718</v>
      </c>
      <c r="T467" t="s">
        <v>2918</v>
      </c>
    </row>
    <row r="468" spans="1:20" x14ac:dyDescent="0.35">
      <c r="A468" s="1">
        <v>45609</v>
      </c>
      <c r="B468" t="s">
        <v>2934</v>
      </c>
      <c r="C468" t="s">
        <v>20</v>
      </c>
      <c r="D468" s="9">
        <v>4</v>
      </c>
      <c r="E468" s="7">
        <v>475.49</v>
      </c>
      <c r="F468" t="s">
        <v>26</v>
      </c>
      <c r="G468" t="s">
        <v>30</v>
      </c>
      <c r="H468" s="12">
        <v>0.15</v>
      </c>
      <c r="I468" t="s">
        <v>34</v>
      </c>
      <c r="J468" s="7">
        <f>Table2[[#This Row],[UnitPrice]]*Table2[[#This Row],[Quantity]]*(1-Table2[[#This Row],[Discount]])</f>
        <v>1616.6659999999999</v>
      </c>
      <c r="K468" t="s">
        <v>42</v>
      </c>
      <c r="L468" t="s">
        <v>45</v>
      </c>
      <c r="M468">
        <v>0</v>
      </c>
      <c r="N468" t="s">
        <v>512</v>
      </c>
      <c r="O468" t="s">
        <v>1998</v>
      </c>
      <c r="P468" s="7">
        <v>11.6</v>
      </c>
      <c r="Q468" s="1">
        <v>45609</v>
      </c>
      <c r="R468">
        <f>WEEKNUM(Table2[[#This Row],[OrderDate]])</f>
        <v>46</v>
      </c>
      <c r="S468" s="1">
        <v>45613</v>
      </c>
      <c r="T468" t="s">
        <v>2920</v>
      </c>
    </row>
    <row r="469" spans="1:20" x14ac:dyDescent="0.35">
      <c r="A469" s="1">
        <v>45230</v>
      </c>
      <c r="B469" t="s">
        <v>2933</v>
      </c>
      <c r="C469" t="s">
        <v>25</v>
      </c>
      <c r="D469" s="9">
        <v>6</v>
      </c>
      <c r="E469" s="7">
        <v>202.97</v>
      </c>
      <c r="F469" t="s">
        <v>28</v>
      </c>
      <c r="G469" t="s">
        <v>31</v>
      </c>
      <c r="H469" s="12">
        <v>0.1</v>
      </c>
      <c r="I469" t="s">
        <v>32</v>
      </c>
      <c r="J469" s="7">
        <f>Table2[[#This Row],[UnitPrice]]*Table2[[#This Row],[Quantity]]*(1-Table2[[#This Row],[Discount]])</f>
        <v>1096.038</v>
      </c>
      <c r="K469" t="s">
        <v>39</v>
      </c>
      <c r="L469" t="s">
        <v>45</v>
      </c>
      <c r="M469">
        <v>0</v>
      </c>
      <c r="N469" t="s">
        <v>513</v>
      </c>
      <c r="O469" t="s">
        <v>1999</v>
      </c>
      <c r="P469" s="7">
        <v>43.55</v>
      </c>
      <c r="Q469" s="1">
        <v>45230</v>
      </c>
      <c r="R469">
        <f>WEEKNUM(Table2[[#This Row],[OrderDate]])</f>
        <v>44</v>
      </c>
      <c r="S469" s="1">
        <v>45240</v>
      </c>
      <c r="T469" t="s">
        <v>2921</v>
      </c>
    </row>
    <row r="470" spans="1:20" x14ac:dyDescent="0.35">
      <c r="A470" s="1">
        <v>45279</v>
      </c>
      <c r="B470" t="s">
        <v>2934</v>
      </c>
      <c r="C470" t="s">
        <v>24</v>
      </c>
      <c r="D470" s="9">
        <v>18</v>
      </c>
      <c r="E470" s="7">
        <v>135.22999999999999</v>
      </c>
      <c r="F470" t="s">
        <v>28</v>
      </c>
      <c r="G470" t="s">
        <v>30</v>
      </c>
      <c r="H470" s="12">
        <v>0</v>
      </c>
      <c r="I470" t="s">
        <v>36</v>
      </c>
      <c r="J470" s="7">
        <f>Table2[[#This Row],[UnitPrice]]*Table2[[#This Row],[Quantity]]*(1-Table2[[#This Row],[Discount]])</f>
        <v>2434.14</v>
      </c>
      <c r="K470" t="s">
        <v>38</v>
      </c>
      <c r="L470" t="s">
        <v>45</v>
      </c>
      <c r="M470">
        <v>1</v>
      </c>
      <c r="N470" t="s">
        <v>514</v>
      </c>
      <c r="O470" t="s">
        <v>2000</v>
      </c>
      <c r="P470" s="7">
        <v>46.1</v>
      </c>
      <c r="Q470" s="1">
        <v>45279</v>
      </c>
      <c r="R470">
        <f>WEEKNUM(Table2[[#This Row],[OrderDate]])</f>
        <v>51</v>
      </c>
      <c r="S470" s="1">
        <v>45284</v>
      </c>
      <c r="T470" t="s">
        <v>2920</v>
      </c>
    </row>
    <row r="471" spans="1:20" x14ac:dyDescent="0.35">
      <c r="A471" s="1">
        <v>45257</v>
      </c>
      <c r="B471" t="s">
        <v>2932</v>
      </c>
      <c r="C471" t="s">
        <v>24</v>
      </c>
      <c r="D471" s="9">
        <v>20</v>
      </c>
      <c r="E471" s="7">
        <v>356.4</v>
      </c>
      <c r="F471" t="s">
        <v>28</v>
      </c>
      <c r="G471" t="s">
        <v>30</v>
      </c>
      <c r="H471" s="12">
        <v>0.05</v>
      </c>
      <c r="I471" t="s">
        <v>36</v>
      </c>
      <c r="J471" s="7">
        <f>Table2[[#This Row],[UnitPrice]]*Table2[[#This Row],[Quantity]]*(1-Table2[[#This Row],[Discount]])</f>
        <v>6771.5999999999995</v>
      </c>
      <c r="K471" t="s">
        <v>42</v>
      </c>
      <c r="L471" t="s">
        <v>43</v>
      </c>
      <c r="M471">
        <v>1</v>
      </c>
      <c r="N471" t="s">
        <v>515</v>
      </c>
      <c r="O471" t="s">
        <v>2001</v>
      </c>
      <c r="P471" s="7">
        <v>26.7</v>
      </c>
      <c r="Q471" s="1">
        <v>45257</v>
      </c>
      <c r="R471">
        <f>WEEKNUM(Table2[[#This Row],[OrderDate]])</f>
        <v>48</v>
      </c>
      <c r="S471" s="1">
        <v>45263</v>
      </c>
      <c r="T471" t="s">
        <v>2918</v>
      </c>
    </row>
    <row r="472" spans="1:20" x14ac:dyDescent="0.35">
      <c r="A472" s="1">
        <v>45153</v>
      </c>
      <c r="B472" t="s">
        <v>2930</v>
      </c>
      <c r="C472" t="s">
        <v>19</v>
      </c>
      <c r="D472" s="9">
        <v>3</v>
      </c>
      <c r="E472" s="7">
        <v>294.72000000000003</v>
      </c>
      <c r="F472" t="s">
        <v>28</v>
      </c>
      <c r="G472" t="s">
        <v>30</v>
      </c>
      <c r="H472" s="12">
        <v>0.05</v>
      </c>
      <c r="I472" t="s">
        <v>33</v>
      </c>
      <c r="J472" s="7">
        <f>Table2[[#This Row],[UnitPrice]]*Table2[[#This Row],[Quantity]]*(1-Table2[[#This Row],[Discount]])</f>
        <v>839.952</v>
      </c>
      <c r="K472" t="s">
        <v>42</v>
      </c>
      <c r="L472" t="s">
        <v>44</v>
      </c>
      <c r="M472">
        <v>0</v>
      </c>
      <c r="N472" t="s">
        <v>516</v>
      </c>
      <c r="O472" t="s">
        <v>2002</v>
      </c>
      <c r="P472" s="7">
        <v>45.33</v>
      </c>
      <c r="Q472" s="1">
        <v>45153</v>
      </c>
      <c r="R472">
        <f>WEEKNUM(Table2[[#This Row],[OrderDate]])</f>
        <v>33</v>
      </c>
      <c r="S472" s="1">
        <v>45156</v>
      </c>
      <c r="T472" t="s">
        <v>2917</v>
      </c>
    </row>
    <row r="473" spans="1:20" x14ac:dyDescent="0.35">
      <c r="A473" s="1">
        <v>44942</v>
      </c>
      <c r="B473" t="s">
        <v>2933</v>
      </c>
      <c r="C473" t="s">
        <v>20</v>
      </c>
      <c r="D473" s="9">
        <v>20</v>
      </c>
      <c r="E473" s="7">
        <v>553.85</v>
      </c>
      <c r="F473" t="s">
        <v>27</v>
      </c>
      <c r="G473" t="s">
        <v>31</v>
      </c>
      <c r="H473" s="12">
        <v>0</v>
      </c>
      <c r="I473" t="s">
        <v>34</v>
      </c>
      <c r="J473" s="7">
        <f>Table2[[#This Row],[UnitPrice]]*Table2[[#This Row],[Quantity]]*(1-Table2[[#This Row],[Discount]])</f>
        <v>11077</v>
      </c>
      <c r="K473" t="s">
        <v>42</v>
      </c>
      <c r="L473" t="s">
        <v>45</v>
      </c>
      <c r="M473">
        <v>0</v>
      </c>
      <c r="N473" t="s">
        <v>517</v>
      </c>
      <c r="O473" t="s">
        <v>2003</v>
      </c>
      <c r="P473" s="7">
        <v>33.21</v>
      </c>
      <c r="Q473" s="1">
        <v>44942</v>
      </c>
      <c r="R473">
        <f>WEEKNUM(Table2[[#This Row],[OrderDate]])</f>
        <v>3</v>
      </c>
      <c r="S473" s="1">
        <v>44950</v>
      </c>
      <c r="T473" t="s">
        <v>2921</v>
      </c>
    </row>
    <row r="474" spans="1:20" x14ac:dyDescent="0.35">
      <c r="A474" s="1">
        <v>45716</v>
      </c>
      <c r="B474" t="s">
        <v>2934</v>
      </c>
      <c r="C474" t="s">
        <v>24</v>
      </c>
      <c r="D474" s="9">
        <v>13</v>
      </c>
      <c r="E474" s="7">
        <v>81.17</v>
      </c>
      <c r="F474" t="s">
        <v>29</v>
      </c>
      <c r="G474" t="s">
        <v>31</v>
      </c>
      <c r="H474" s="12">
        <v>0.1</v>
      </c>
      <c r="I474" t="s">
        <v>34</v>
      </c>
      <c r="J474" s="7">
        <f>Table2[[#This Row],[UnitPrice]]*Table2[[#This Row],[Quantity]]*(1-Table2[[#This Row],[Discount]])</f>
        <v>949.68900000000008</v>
      </c>
      <c r="K474" t="s">
        <v>42</v>
      </c>
      <c r="L474" t="s">
        <v>44</v>
      </c>
      <c r="M474">
        <v>1</v>
      </c>
      <c r="N474" t="s">
        <v>518</v>
      </c>
      <c r="O474" t="s">
        <v>2004</v>
      </c>
      <c r="P474" s="7">
        <v>48.21</v>
      </c>
      <c r="Q474" s="1">
        <v>45716</v>
      </c>
      <c r="R474">
        <f>WEEKNUM(Table2[[#This Row],[OrderDate]])</f>
        <v>9</v>
      </c>
      <c r="S474" s="1">
        <v>45724</v>
      </c>
      <c r="T474" t="s">
        <v>2920</v>
      </c>
    </row>
    <row r="475" spans="1:20" x14ac:dyDescent="0.35">
      <c r="A475" s="1">
        <v>45258</v>
      </c>
      <c r="B475" t="s">
        <v>2933</v>
      </c>
      <c r="C475" t="s">
        <v>20</v>
      </c>
      <c r="D475" s="9">
        <v>2</v>
      </c>
      <c r="E475" s="7">
        <v>532.51</v>
      </c>
      <c r="F475" t="s">
        <v>26</v>
      </c>
      <c r="G475" t="s">
        <v>30</v>
      </c>
      <c r="H475" s="12">
        <v>0</v>
      </c>
      <c r="I475" t="s">
        <v>35</v>
      </c>
      <c r="J475" s="7">
        <f>Table2[[#This Row],[UnitPrice]]*Table2[[#This Row],[Quantity]]*(1-Table2[[#This Row],[Discount]])</f>
        <v>1065.02</v>
      </c>
      <c r="K475" t="s">
        <v>40</v>
      </c>
      <c r="L475" t="s">
        <v>45</v>
      </c>
      <c r="M475">
        <v>1</v>
      </c>
      <c r="N475" t="s">
        <v>519</v>
      </c>
      <c r="O475" t="s">
        <v>2005</v>
      </c>
      <c r="P475" s="7">
        <v>49.67</v>
      </c>
      <c r="Q475" s="1">
        <v>45258</v>
      </c>
      <c r="R475">
        <f>WEEKNUM(Table2[[#This Row],[OrderDate]])</f>
        <v>48</v>
      </c>
      <c r="S475" s="1">
        <v>45261</v>
      </c>
      <c r="T475" t="s">
        <v>2921</v>
      </c>
    </row>
    <row r="476" spans="1:20" x14ac:dyDescent="0.35">
      <c r="A476" s="1">
        <v>45264</v>
      </c>
      <c r="B476" t="s">
        <v>2933</v>
      </c>
      <c r="C476" t="s">
        <v>25</v>
      </c>
      <c r="D476" s="9">
        <v>1</v>
      </c>
      <c r="E476" s="7">
        <v>268.19</v>
      </c>
      <c r="F476" t="s">
        <v>26</v>
      </c>
      <c r="G476" t="s">
        <v>30</v>
      </c>
      <c r="H476" s="12">
        <v>0.1</v>
      </c>
      <c r="I476" t="s">
        <v>35</v>
      </c>
      <c r="J476" s="7">
        <f>Table2[[#This Row],[UnitPrice]]*Table2[[#This Row],[Quantity]]*(1-Table2[[#This Row],[Discount]])</f>
        <v>241.37100000000001</v>
      </c>
      <c r="K476" t="s">
        <v>39</v>
      </c>
      <c r="L476" t="s">
        <v>45</v>
      </c>
      <c r="M476">
        <v>0</v>
      </c>
      <c r="N476" t="s">
        <v>520</v>
      </c>
      <c r="O476" t="s">
        <v>2006</v>
      </c>
      <c r="P476" s="7">
        <v>9.48</v>
      </c>
      <c r="Q476" s="1">
        <v>45264</v>
      </c>
      <c r="R476">
        <f>WEEKNUM(Table2[[#This Row],[OrderDate]])</f>
        <v>49</v>
      </c>
      <c r="S476" s="1">
        <v>45273</v>
      </c>
      <c r="T476" t="s">
        <v>2921</v>
      </c>
    </row>
    <row r="477" spans="1:20" x14ac:dyDescent="0.35">
      <c r="A477" s="1">
        <v>45464</v>
      </c>
      <c r="B477" t="s">
        <v>2932</v>
      </c>
      <c r="C477" t="s">
        <v>25</v>
      </c>
      <c r="D477" s="9">
        <v>17</v>
      </c>
      <c r="E477" s="7">
        <v>432.65</v>
      </c>
      <c r="F477" t="s">
        <v>27</v>
      </c>
      <c r="G477" t="s">
        <v>31</v>
      </c>
      <c r="H477" s="12">
        <v>0.15</v>
      </c>
      <c r="I477" t="s">
        <v>34</v>
      </c>
      <c r="J477" s="7">
        <f>Table2[[#This Row],[UnitPrice]]*Table2[[#This Row],[Quantity]]*(1-Table2[[#This Row],[Discount]])</f>
        <v>6251.7924999999996</v>
      </c>
      <c r="K477" t="s">
        <v>42</v>
      </c>
      <c r="L477" t="s">
        <v>43</v>
      </c>
      <c r="M477">
        <v>0</v>
      </c>
      <c r="N477" t="s">
        <v>521</v>
      </c>
      <c r="O477" t="s">
        <v>2007</v>
      </c>
      <c r="P477" s="7">
        <v>18.850000000000001</v>
      </c>
      <c r="Q477" s="1">
        <v>45464</v>
      </c>
      <c r="R477">
        <f>WEEKNUM(Table2[[#This Row],[OrderDate]])</f>
        <v>25</v>
      </c>
      <c r="S477" s="1">
        <v>45472</v>
      </c>
      <c r="T477" t="s">
        <v>2918</v>
      </c>
    </row>
    <row r="478" spans="1:20" x14ac:dyDescent="0.35">
      <c r="A478" s="1">
        <v>45733</v>
      </c>
      <c r="B478" t="s">
        <v>2930</v>
      </c>
      <c r="C478" t="s">
        <v>21</v>
      </c>
      <c r="D478" s="9">
        <v>14</v>
      </c>
      <c r="E478" s="7">
        <v>123.04</v>
      </c>
      <c r="F478" t="s">
        <v>27</v>
      </c>
      <c r="G478" t="s">
        <v>30</v>
      </c>
      <c r="H478" s="12">
        <v>0.1</v>
      </c>
      <c r="I478" t="s">
        <v>36</v>
      </c>
      <c r="J478" s="7">
        <f>Table2[[#This Row],[UnitPrice]]*Table2[[#This Row],[Quantity]]*(1-Table2[[#This Row],[Discount]])</f>
        <v>1550.3040000000001</v>
      </c>
      <c r="K478" t="s">
        <v>42</v>
      </c>
      <c r="L478" t="s">
        <v>45</v>
      </c>
      <c r="M478">
        <v>1</v>
      </c>
      <c r="N478" t="s">
        <v>522</v>
      </c>
      <c r="O478" t="s">
        <v>2008</v>
      </c>
      <c r="P478" s="7">
        <v>43.28</v>
      </c>
      <c r="Q478" s="1">
        <v>45733</v>
      </c>
      <c r="R478">
        <f>WEEKNUM(Table2[[#This Row],[OrderDate]])</f>
        <v>12</v>
      </c>
      <c r="S478" s="1">
        <v>45742</v>
      </c>
      <c r="T478" t="s">
        <v>2917</v>
      </c>
    </row>
    <row r="479" spans="1:20" x14ac:dyDescent="0.35">
      <c r="A479" s="1">
        <v>45155</v>
      </c>
      <c r="B479" t="s">
        <v>2934</v>
      </c>
      <c r="C479" t="s">
        <v>21</v>
      </c>
      <c r="D479" s="9">
        <v>16</v>
      </c>
      <c r="E479" s="7">
        <v>454.54</v>
      </c>
      <c r="F479" t="s">
        <v>26</v>
      </c>
      <c r="G479" t="s">
        <v>31</v>
      </c>
      <c r="H479" s="12">
        <v>0.1</v>
      </c>
      <c r="I479" t="s">
        <v>37</v>
      </c>
      <c r="J479" s="7">
        <f>Table2[[#This Row],[UnitPrice]]*Table2[[#This Row],[Quantity]]*(1-Table2[[#This Row],[Discount]])</f>
        <v>6545.3760000000002</v>
      </c>
      <c r="K479" t="s">
        <v>38</v>
      </c>
      <c r="L479" t="s">
        <v>43</v>
      </c>
      <c r="M479">
        <v>0</v>
      </c>
      <c r="N479" t="s">
        <v>523</v>
      </c>
      <c r="O479" t="s">
        <v>2009</v>
      </c>
      <c r="P479" s="7">
        <v>20.55</v>
      </c>
      <c r="Q479" s="1">
        <v>45155</v>
      </c>
      <c r="R479">
        <f>WEEKNUM(Table2[[#This Row],[OrderDate]])</f>
        <v>33</v>
      </c>
      <c r="S479" s="1">
        <v>45157</v>
      </c>
      <c r="T479" t="s">
        <v>2920</v>
      </c>
    </row>
    <row r="480" spans="1:20" x14ac:dyDescent="0.35">
      <c r="A480" s="1">
        <v>45168</v>
      </c>
      <c r="B480" t="s">
        <v>2934</v>
      </c>
      <c r="C480" t="s">
        <v>23</v>
      </c>
      <c r="D480" s="9">
        <v>11</v>
      </c>
      <c r="E480" s="7">
        <v>414.58</v>
      </c>
      <c r="F480" t="s">
        <v>29</v>
      </c>
      <c r="G480" t="s">
        <v>30</v>
      </c>
      <c r="H480" s="12">
        <v>0.05</v>
      </c>
      <c r="I480" t="s">
        <v>36</v>
      </c>
      <c r="J480" s="7">
        <f>Table2[[#This Row],[UnitPrice]]*Table2[[#This Row],[Quantity]]*(1-Table2[[#This Row],[Discount]])</f>
        <v>4332.3609999999999</v>
      </c>
      <c r="K480" t="s">
        <v>42</v>
      </c>
      <c r="L480" t="s">
        <v>45</v>
      </c>
      <c r="M480">
        <v>0</v>
      </c>
      <c r="N480" t="s">
        <v>524</v>
      </c>
      <c r="O480" t="s">
        <v>1697</v>
      </c>
      <c r="P480" s="7">
        <v>25.33</v>
      </c>
      <c r="Q480" s="1">
        <v>45168</v>
      </c>
      <c r="R480">
        <f>WEEKNUM(Table2[[#This Row],[OrderDate]])</f>
        <v>35</v>
      </c>
      <c r="S480" s="1">
        <v>45174</v>
      </c>
      <c r="T480" t="s">
        <v>2920</v>
      </c>
    </row>
    <row r="481" spans="1:20" x14ac:dyDescent="0.35">
      <c r="A481" s="1">
        <v>45824</v>
      </c>
      <c r="B481" t="s">
        <v>2930</v>
      </c>
      <c r="C481" t="s">
        <v>20</v>
      </c>
      <c r="D481" s="9">
        <v>9</v>
      </c>
      <c r="E481" s="7">
        <v>352.91</v>
      </c>
      <c r="F481" t="s">
        <v>26</v>
      </c>
      <c r="G481" t="s">
        <v>30</v>
      </c>
      <c r="H481" s="12">
        <v>0.1</v>
      </c>
      <c r="I481" t="s">
        <v>37</v>
      </c>
      <c r="J481" s="7">
        <f>Table2[[#This Row],[UnitPrice]]*Table2[[#This Row],[Quantity]]*(1-Table2[[#This Row],[Discount]])</f>
        <v>2858.5709999999999</v>
      </c>
      <c r="K481" t="s">
        <v>42</v>
      </c>
      <c r="L481" t="s">
        <v>43</v>
      </c>
      <c r="M481">
        <v>0</v>
      </c>
      <c r="N481" t="s">
        <v>525</v>
      </c>
      <c r="O481" t="s">
        <v>2010</v>
      </c>
      <c r="P481" s="7">
        <v>30.57</v>
      </c>
      <c r="Q481" s="1">
        <v>45824</v>
      </c>
      <c r="R481">
        <f>WEEKNUM(Table2[[#This Row],[OrderDate]])</f>
        <v>25</v>
      </c>
      <c r="S481" s="1">
        <v>45826</v>
      </c>
      <c r="T481" t="s">
        <v>2917</v>
      </c>
    </row>
    <row r="482" spans="1:20" x14ac:dyDescent="0.35">
      <c r="A482" s="1">
        <v>45106</v>
      </c>
      <c r="B482" t="s">
        <v>2931</v>
      </c>
      <c r="C482" t="s">
        <v>22</v>
      </c>
      <c r="D482" s="9">
        <v>10</v>
      </c>
      <c r="E482" s="7">
        <v>126.46</v>
      </c>
      <c r="F482" t="s">
        <v>27</v>
      </c>
      <c r="G482" t="s">
        <v>31</v>
      </c>
      <c r="H482" s="12">
        <v>0.1</v>
      </c>
      <c r="I482" t="s">
        <v>32</v>
      </c>
      <c r="J482" s="7">
        <f>Table2[[#This Row],[UnitPrice]]*Table2[[#This Row],[Quantity]]*(1-Table2[[#This Row],[Discount]])</f>
        <v>1138.1399999999999</v>
      </c>
      <c r="K482" t="s">
        <v>38</v>
      </c>
      <c r="L482" t="s">
        <v>45</v>
      </c>
      <c r="M482">
        <v>0</v>
      </c>
      <c r="N482" t="s">
        <v>526</v>
      </c>
      <c r="O482" t="s">
        <v>2011</v>
      </c>
      <c r="P482" s="7">
        <v>26.96</v>
      </c>
      <c r="Q482" s="1">
        <v>45106</v>
      </c>
      <c r="R482">
        <f>WEEKNUM(Table2[[#This Row],[OrderDate]])</f>
        <v>26</v>
      </c>
      <c r="S482" s="1">
        <v>45116</v>
      </c>
      <c r="T482" t="s">
        <v>2919</v>
      </c>
    </row>
    <row r="483" spans="1:20" x14ac:dyDescent="0.35">
      <c r="A483" s="1">
        <v>45151</v>
      </c>
      <c r="B483" t="s">
        <v>2931</v>
      </c>
      <c r="C483" t="s">
        <v>23</v>
      </c>
      <c r="D483" s="9">
        <v>7</v>
      </c>
      <c r="E483" s="7">
        <v>125.02</v>
      </c>
      <c r="F483" t="s">
        <v>29</v>
      </c>
      <c r="G483" t="s">
        <v>30</v>
      </c>
      <c r="H483" s="12">
        <v>0</v>
      </c>
      <c r="I483" t="s">
        <v>35</v>
      </c>
      <c r="J483" s="7">
        <f>Table2[[#This Row],[UnitPrice]]*Table2[[#This Row],[Quantity]]*(1-Table2[[#This Row],[Discount]])</f>
        <v>875.14</v>
      </c>
      <c r="K483" t="s">
        <v>40</v>
      </c>
      <c r="L483" t="s">
        <v>43</v>
      </c>
      <c r="M483">
        <v>0</v>
      </c>
      <c r="N483" t="s">
        <v>527</v>
      </c>
      <c r="O483" t="s">
        <v>2012</v>
      </c>
      <c r="P483" s="7">
        <v>12.45</v>
      </c>
      <c r="Q483" s="1">
        <v>45151</v>
      </c>
      <c r="R483">
        <f>WEEKNUM(Table2[[#This Row],[OrderDate]])</f>
        <v>33</v>
      </c>
      <c r="S483" s="1">
        <v>45158</v>
      </c>
      <c r="T483" t="s">
        <v>2919</v>
      </c>
    </row>
    <row r="484" spans="1:20" x14ac:dyDescent="0.35">
      <c r="A484" s="1">
        <v>45411</v>
      </c>
      <c r="B484" t="s">
        <v>2933</v>
      </c>
      <c r="C484" t="s">
        <v>24</v>
      </c>
      <c r="D484" s="9">
        <v>20</v>
      </c>
      <c r="E484" s="7">
        <v>367.24</v>
      </c>
      <c r="F484" t="s">
        <v>27</v>
      </c>
      <c r="G484" t="s">
        <v>30</v>
      </c>
      <c r="H484" s="12">
        <v>0.05</v>
      </c>
      <c r="I484" t="s">
        <v>35</v>
      </c>
      <c r="J484" s="7">
        <f>Table2[[#This Row],[UnitPrice]]*Table2[[#This Row],[Quantity]]*(1-Table2[[#This Row],[Discount]])</f>
        <v>6977.5599999999995</v>
      </c>
      <c r="K484" t="s">
        <v>39</v>
      </c>
      <c r="L484" t="s">
        <v>43</v>
      </c>
      <c r="M484">
        <v>0</v>
      </c>
      <c r="N484" t="s">
        <v>528</v>
      </c>
      <c r="O484" t="s">
        <v>2013</v>
      </c>
      <c r="P484" s="7">
        <v>45.67</v>
      </c>
      <c r="Q484" s="1">
        <v>45411</v>
      </c>
      <c r="R484">
        <f>WEEKNUM(Table2[[#This Row],[OrderDate]])</f>
        <v>18</v>
      </c>
      <c r="S484" s="1">
        <v>45419</v>
      </c>
      <c r="T484" t="s">
        <v>2921</v>
      </c>
    </row>
    <row r="485" spans="1:20" x14ac:dyDescent="0.35">
      <c r="A485" s="1">
        <v>45122</v>
      </c>
      <c r="B485" t="s">
        <v>2933</v>
      </c>
      <c r="C485" t="s">
        <v>23</v>
      </c>
      <c r="D485" s="9">
        <v>8</v>
      </c>
      <c r="E485" s="7">
        <v>432.12</v>
      </c>
      <c r="F485" t="s">
        <v>26</v>
      </c>
      <c r="G485" t="s">
        <v>31</v>
      </c>
      <c r="H485" s="12">
        <v>0</v>
      </c>
      <c r="I485" t="s">
        <v>36</v>
      </c>
      <c r="J485" s="7">
        <f>Table2[[#This Row],[UnitPrice]]*Table2[[#This Row],[Quantity]]*(1-Table2[[#This Row],[Discount]])</f>
        <v>3456.96</v>
      </c>
      <c r="K485" t="s">
        <v>40</v>
      </c>
      <c r="L485" t="s">
        <v>45</v>
      </c>
      <c r="M485">
        <v>0</v>
      </c>
      <c r="N485" t="s">
        <v>529</v>
      </c>
      <c r="O485" t="s">
        <v>2014</v>
      </c>
      <c r="P485" s="7">
        <v>42.1</v>
      </c>
      <c r="Q485" s="1">
        <v>45122</v>
      </c>
      <c r="R485">
        <f>WEEKNUM(Table2[[#This Row],[OrderDate]])</f>
        <v>28</v>
      </c>
      <c r="S485" s="1">
        <v>45132</v>
      </c>
      <c r="T485" t="s">
        <v>2921</v>
      </c>
    </row>
    <row r="486" spans="1:20" x14ac:dyDescent="0.35">
      <c r="A486" s="1">
        <v>45674</v>
      </c>
      <c r="B486" t="s">
        <v>2931</v>
      </c>
      <c r="C486" t="s">
        <v>24</v>
      </c>
      <c r="D486" s="9">
        <v>3</v>
      </c>
      <c r="E486" s="7">
        <v>13.33</v>
      </c>
      <c r="F486" t="s">
        <v>29</v>
      </c>
      <c r="G486" t="s">
        <v>31</v>
      </c>
      <c r="H486" s="12">
        <v>0.1</v>
      </c>
      <c r="I486" t="s">
        <v>32</v>
      </c>
      <c r="J486" s="7">
        <f>Table2[[#This Row],[UnitPrice]]*Table2[[#This Row],[Quantity]]*(1-Table2[[#This Row],[Discount]])</f>
        <v>35.991</v>
      </c>
      <c r="K486" t="s">
        <v>42</v>
      </c>
      <c r="L486" t="s">
        <v>44</v>
      </c>
      <c r="M486">
        <v>0</v>
      </c>
      <c r="N486" t="s">
        <v>530</v>
      </c>
      <c r="O486" t="s">
        <v>2015</v>
      </c>
      <c r="P486" s="7">
        <v>17.62</v>
      </c>
      <c r="Q486" s="1">
        <v>45674</v>
      </c>
      <c r="R486">
        <f>WEEKNUM(Table2[[#This Row],[OrderDate]])</f>
        <v>3</v>
      </c>
      <c r="S486" s="1">
        <v>45680</v>
      </c>
      <c r="T486" t="s">
        <v>2919</v>
      </c>
    </row>
    <row r="487" spans="1:20" x14ac:dyDescent="0.35">
      <c r="A487" s="1">
        <v>45709</v>
      </c>
      <c r="B487" t="s">
        <v>2930</v>
      </c>
      <c r="C487" t="s">
        <v>25</v>
      </c>
      <c r="D487" s="9">
        <v>13</v>
      </c>
      <c r="E487" s="7">
        <v>105.93</v>
      </c>
      <c r="F487" t="s">
        <v>28</v>
      </c>
      <c r="G487" t="s">
        <v>31</v>
      </c>
      <c r="H487" s="12">
        <v>0</v>
      </c>
      <c r="I487" t="s">
        <v>37</v>
      </c>
      <c r="J487" s="7">
        <f>Table2[[#This Row],[UnitPrice]]*Table2[[#This Row],[Quantity]]*(1-Table2[[#This Row],[Discount]])</f>
        <v>1377.0900000000001</v>
      </c>
      <c r="K487" t="s">
        <v>41</v>
      </c>
      <c r="L487" t="s">
        <v>43</v>
      </c>
      <c r="M487">
        <v>0</v>
      </c>
      <c r="N487" t="s">
        <v>531</v>
      </c>
      <c r="O487" t="s">
        <v>2016</v>
      </c>
      <c r="P487" s="7">
        <v>38.96</v>
      </c>
      <c r="Q487" s="1">
        <v>45709</v>
      </c>
      <c r="R487">
        <f>WEEKNUM(Table2[[#This Row],[OrderDate]])</f>
        <v>8</v>
      </c>
      <c r="S487" s="1">
        <v>45719</v>
      </c>
      <c r="T487" t="s">
        <v>2917</v>
      </c>
    </row>
    <row r="488" spans="1:20" x14ac:dyDescent="0.35">
      <c r="A488" s="1">
        <v>45126</v>
      </c>
      <c r="B488" t="s">
        <v>2933</v>
      </c>
      <c r="C488" t="s">
        <v>23</v>
      </c>
      <c r="D488" s="9">
        <v>20</v>
      </c>
      <c r="E488" s="7">
        <v>526.54999999999995</v>
      </c>
      <c r="F488" t="s">
        <v>27</v>
      </c>
      <c r="G488" t="s">
        <v>30</v>
      </c>
      <c r="H488" s="12">
        <v>0</v>
      </c>
      <c r="I488" t="s">
        <v>33</v>
      </c>
      <c r="J488" s="7">
        <f>Table2[[#This Row],[UnitPrice]]*Table2[[#This Row],[Quantity]]*(1-Table2[[#This Row],[Discount]])</f>
        <v>10531</v>
      </c>
      <c r="K488" t="s">
        <v>41</v>
      </c>
      <c r="L488" t="s">
        <v>43</v>
      </c>
      <c r="M488">
        <v>1</v>
      </c>
      <c r="N488" t="s">
        <v>532</v>
      </c>
      <c r="O488" t="s">
        <v>2017</v>
      </c>
      <c r="P488" s="7">
        <v>25.64</v>
      </c>
      <c r="Q488" s="1">
        <v>45126</v>
      </c>
      <c r="R488">
        <f>WEEKNUM(Table2[[#This Row],[OrderDate]])</f>
        <v>29</v>
      </c>
      <c r="S488" s="1">
        <v>45133</v>
      </c>
      <c r="T488" t="s">
        <v>2921</v>
      </c>
    </row>
    <row r="489" spans="1:20" x14ac:dyDescent="0.35">
      <c r="A489" s="1">
        <v>45564</v>
      </c>
      <c r="B489" t="s">
        <v>2933</v>
      </c>
      <c r="C489" t="s">
        <v>20</v>
      </c>
      <c r="D489" s="9">
        <v>11</v>
      </c>
      <c r="E489" s="7">
        <v>339.78</v>
      </c>
      <c r="F489" t="s">
        <v>27</v>
      </c>
      <c r="G489" t="s">
        <v>31</v>
      </c>
      <c r="H489" s="12">
        <v>0.05</v>
      </c>
      <c r="I489" t="s">
        <v>36</v>
      </c>
      <c r="J489" s="7">
        <f>Table2[[#This Row],[UnitPrice]]*Table2[[#This Row],[Quantity]]*(1-Table2[[#This Row],[Discount]])</f>
        <v>3550.7009999999996</v>
      </c>
      <c r="K489" t="s">
        <v>41</v>
      </c>
      <c r="L489" t="s">
        <v>45</v>
      </c>
      <c r="M489">
        <v>1</v>
      </c>
      <c r="N489" t="s">
        <v>533</v>
      </c>
      <c r="O489" t="s">
        <v>2018</v>
      </c>
      <c r="P489" s="7">
        <v>11.56</v>
      </c>
      <c r="Q489" s="1">
        <v>45564</v>
      </c>
      <c r="R489">
        <f>WEEKNUM(Table2[[#This Row],[OrderDate]])</f>
        <v>40</v>
      </c>
      <c r="S489" s="1">
        <v>45571</v>
      </c>
      <c r="T489" t="s">
        <v>2921</v>
      </c>
    </row>
    <row r="490" spans="1:20" x14ac:dyDescent="0.35">
      <c r="A490" s="1">
        <v>45582</v>
      </c>
      <c r="B490" t="s">
        <v>2930</v>
      </c>
      <c r="C490" t="s">
        <v>19</v>
      </c>
      <c r="D490" s="9">
        <v>10</v>
      </c>
      <c r="E490" s="7">
        <v>91.75</v>
      </c>
      <c r="F490" t="s">
        <v>29</v>
      </c>
      <c r="G490" t="s">
        <v>30</v>
      </c>
      <c r="H490" s="12">
        <v>0.15</v>
      </c>
      <c r="I490" t="s">
        <v>34</v>
      </c>
      <c r="J490" s="7">
        <f>Table2[[#This Row],[UnitPrice]]*Table2[[#This Row],[Quantity]]*(1-Table2[[#This Row],[Discount]])</f>
        <v>779.875</v>
      </c>
      <c r="K490" t="s">
        <v>42</v>
      </c>
      <c r="L490" t="s">
        <v>45</v>
      </c>
      <c r="M490">
        <v>0</v>
      </c>
      <c r="N490" t="s">
        <v>534</v>
      </c>
      <c r="O490" t="s">
        <v>2019</v>
      </c>
      <c r="P490" s="7">
        <v>37.270000000000003</v>
      </c>
      <c r="Q490" s="1">
        <v>45582</v>
      </c>
      <c r="R490">
        <f>WEEKNUM(Table2[[#This Row],[OrderDate]])</f>
        <v>42</v>
      </c>
      <c r="S490" s="1">
        <v>45586</v>
      </c>
      <c r="T490" t="s">
        <v>2917</v>
      </c>
    </row>
    <row r="491" spans="1:20" x14ac:dyDescent="0.35">
      <c r="A491" s="1">
        <v>45819</v>
      </c>
      <c r="B491" t="s">
        <v>2930</v>
      </c>
      <c r="C491" t="s">
        <v>20</v>
      </c>
      <c r="D491" s="9">
        <v>15</v>
      </c>
      <c r="E491" s="7">
        <v>13.66</v>
      </c>
      <c r="F491" t="s">
        <v>26</v>
      </c>
      <c r="G491" t="s">
        <v>31</v>
      </c>
      <c r="H491" s="12">
        <v>0.1</v>
      </c>
      <c r="I491" t="s">
        <v>33</v>
      </c>
      <c r="J491" s="7">
        <f>Table2[[#This Row],[UnitPrice]]*Table2[[#This Row],[Quantity]]*(1-Table2[[#This Row],[Discount]])</f>
        <v>184.41</v>
      </c>
      <c r="K491" t="s">
        <v>41</v>
      </c>
      <c r="L491" t="s">
        <v>43</v>
      </c>
      <c r="M491">
        <v>0</v>
      </c>
      <c r="N491" t="s">
        <v>535</v>
      </c>
      <c r="O491" t="s">
        <v>2020</v>
      </c>
      <c r="P491" s="7">
        <v>38.04</v>
      </c>
      <c r="Q491" s="1">
        <v>45819</v>
      </c>
      <c r="R491">
        <f>WEEKNUM(Table2[[#This Row],[OrderDate]])</f>
        <v>24</v>
      </c>
      <c r="S491" s="1">
        <v>45825</v>
      </c>
      <c r="T491" t="s">
        <v>2917</v>
      </c>
    </row>
    <row r="492" spans="1:20" x14ac:dyDescent="0.35">
      <c r="A492" s="1">
        <v>45310</v>
      </c>
      <c r="B492" t="s">
        <v>2933</v>
      </c>
      <c r="C492" t="s">
        <v>21</v>
      </c>
      <c r="D492" s="9">
        <v>6</v>
      </c>
      <c r="E492" s="7">
        <v>148.22999999999999</v>
      </c>
      <c r="F492" t="s">
        <v>26</v>
      </c>
      <c r="G492" t="s">
        <v>31</v>
      </c>
      <c r="H492" s="12">
        <v>0.1</v>
      </c>
      <c r="I492" t="s">
        <v>32</v>
      </c>
      <c r="J492" s="7">
        <f>Table2[[#This Row],[UnitPrice]]*Table2[[#This Row],[Quantity]]*(1-Table2[[#This Row],[Discount]])</f>
        <v>800.44199999999989</v>
      </c>
      <c r="K492" t="s">
        <v>40</v>
      </c>
      <c r="L492" t="s">
        <v>43</v>
      </c>
      <c r="M492">
        <v>0</v>
      </c>
      <c r="N492" t="s">
        <v>536</v>
      </c>
      <c r="O492" t="s">
        <v>2021</v>
      </c>
      <c r="P492" s="7">
        <v>19.579999999999998</v>
      </c>
      <c r="Q492" s="1">
        <v>45310</v>
      </c>
      <c r="R492">
        <f>WEEKNUM(Table2[[#This Row],[OrderDate]])</f>
        <v>3</v>
      </c>
      <c r="S492" s="1">
        <v>45320</v>
      </c>
      <c r="T492" t="s">
        <v>2921</v>
      </c>
    </row>
    <row r="493" spans="1:20" x14ac:dyDescent="0.35">
      <c r="A493" s="1">
        <v>45263</v>
      </c>
      <c r="B493" t="s">
        <v>2930</v>
      </c>
      <c r="C493" t="s">
        <v>22</v>
      </c>
      <c r="D493" s="9">
        <v>11</v>
      </c>
      <c r="E493" s="7">
        <v>495.03</v>
      </c>
      <c r="F493" t="s">
        <v>29</v>
      </c>
      <c r="G493" t="s">
        <v>30</v>
      </c>
      <c r="H493" s="12">
        <v>0.15</v>
      </c>
      <c r="I493" t="s">
        <v>34</v>
      </c>
      <c r="J493" s="7">
        <f>Table2[[#This Row],[UnitPrice]]*Table2[[#This Row],[Quantity]]*(1-Table2[[#This Row],[Discount]])</f>
        <v>4628.5304999999998</v>
      </c>
      <c r="K493" t="s">
        <v>42</v>
      </c>
      <c r="L493" t="s">
        <v>45</v>
      </c>
      <c r="M493">
        <v>0</v>
      </c>
      <c r="N493" t="s">
        <v>537</v>
      </c>
      <c r="O493" t="s">
        <v>2022</v>
      </c>
      <c r="P493" s="7">
        <v>27.37</v>
      </c>
      <c r="Q493" s="1">
        <v>45263</v>
      </c>
      <c r="R493">
        <f>WEEKNUM(Table2[[#This Row],[OrderDate]])</f>
        <v>49</v>
      </c>
      <c r="S493" s="1">
        <v>45265</v>
      </c>
      <c r="T493" t="s">
        <v>2917</v>
      </c>
    </row>
    <row r="494" spans="1:20" x14ac:dyDescent="0.35">
      <c r="A494" s="1">
        <v>45462</v>
      </c>
      <c r="B494" t="s">
        <v>2934</v>
      </c>
      <c r="C494" t="s">
        <v>22</v>
      </c>
      <c r="D494" s="9">
        <v>6</v>
      </c>
      <c r="E494" s="7">
        <v>247.2</v>
      </c>
      <c r="F494" t="s">
        <v>27</v>
      </c>
      <c r="G494" t="s">
        <v>30</v>
      </c>
      <c r="H494" s="12">
        <v>0.05</v>
      </c>
      <c r="I494" t="s">
        <v>36</v>
      </c>
      <c r="J494" s="7">
        <f>Table2[[#This Row],[UnitPrice]]*Table2[[#This Row],[Quantity]]*(1-Table2[[#This Row],[Discount]])</f>
        <v>1409.0399999999997</v>
      </c>
      <c r="K494" t="s">
        <v>40</v>
      </c>
      <c r="L494" t="s">
        <v>43</v>
      </c>
      <c r="M494">
        <v>0</v>
      </c>
      <c r="N494" t="s">
        <v>538</v>
      </c>
      <c r="O494" t="s">
        <v>1992</v>
      </c>
      <c r="P494" s="7">
        <v>18.75</v>
      </c>
      <c r="Q494" s="1">
        <v>45462</v>
      </c>
      <c r="R494">
        <f>WEEKNUM(Table2[[#This Row],[OrderDate]])</f>
        <v>25</v>
      </c>
      <c r="S494" s="1">
        <v>45470</v>
      </c>
      <c r="T494" t="s">
        <v>2920</v>
      </c>
    </row>
    <row r="495" spans="1:20" x14ac:dyDescent="0.35">
      <c r="A495" s="1">
        <v>45581</v>
      </c>
      <c r="B495" t="s">
        <v>2933</v>
      </c>
      <c r="C495" t="s">
        <v>24</v>
      </c>
      <c r="D495" s="9">
        <v>19</v>
      </c>
      <c r="E495" s="7">
        <v>207.45</v>
      </c>
      <c r="F495" t="s">
        <v>28</v>
      </c>
      <c r="G495" t="s">
        <v>31</v>
      </c>
      <c r="H495" s="12">
        <v>0.05</v>
      </c>
      <c r="I495" t="s">
        <v>37</v>
      </c>
      <c r="J495" s="7">
        <f>Table2[[#This Row],[UnitPrice]]*Table2[[#This Row],[Quantity]]*(1-Table2[[#This Row],[Discount]])</f>
        <v>3744.4724999999994</v>
      </c>
      <c r="K495" t="s">
        <v>41</v>
      </c>
      <c r="L495" t="s">
        <v>44</v>
      </c>
      <c r="M495">
        <v>0</v>
      </c>
      <c r="N495" t="s">
        <v>539</v>
      </c>
      <c r="O495" t="s">
        <v>2023</v>
      </c>
      <c r="P495" s="7">
        <v>11.5</v>
      </c>
      <c r="Q495" s="1">
        <v>45581</v>
      </c>
      <c r="R495">
        <f>WEEKNUM(Table2[[#This Row],[OrderDate]])</f>
        <v>42</v>
      </c>
      <c r="S495" s="1">
        <v>45586</v>
      </c>
      <c r="T495" t="s">
        <v>2921</v>
      </c>
    </row>
    <row r="496" spans="1:20" x14ac:dyDescent="0.35">
      <c r="A496" s="1">
        <v>45680</v>
      </c>
      <c r="B496" t="s">
        <v>2930</v>
      </c>
      <c r="C496" t="s">
        <v>19</v>
      </c>
      <c r="D496" s="9">
        <v>2</v>
      </c>
      <c r="E496" s="7">
        <v>370.78</v>
      </c>
      <c r="F496" t="s">
        <v>29</v>
      </c>
      <c r="G496" t="s">
        <v>30</v>
      </c>
      <c r="H496" s="12">
        <v>0.15</v>
      </c>
      <c r="I496" t="s">
        <v>36</v>
      </c>
      <c r="J496" s="7">
        <f>Table2[[#This Row],[UnitPrice]]*Table2[[#This Row],[Quantity]]*(1-Table2[[#This Row],[Discount]])</f>
        <v>630.32599999999991</v>
      </c>
      <c r="K496" t="s">
        <v>38</v>
      </c>
      <c r="L496" t="s">
        <v>43</v>
      </c>
      <c r="M496">
        <v>0</v>
      </c>
      <c r="N496" t="s">
        <v>540</v>
      </c>
      <c r="O496" t="s">
        <v>2024</v>
      </c>
      <c r="P496" s="7">
        <v>20.45</v>
      </c>
      <c r="Q496" s="1">
        <v>45680</v>
      </c>
      <c r="R496">
        <f>WEEKNUM(Table2[[#This Row],[OrderDate]])</f>
        <v>4</v>
      </c>
      <c r="S496" s="1">
        <v>45684</v>
      </c>
      <c r="T496" t="s">
        <v>2917</v>
      </c>
    </row>
    <row r="497" spans="1:20" x14ac:dyDescent="0.35">
      <c r="A497" s="1">
        <v>45201</v>
      </c>
      <c r="B497" t="s">
        <v>2934</v>
      </c>
      <c r="C497" t="s">
        <v>19</v>
      </c>
      <c r="D497" s="9">
        <v>9</v>
      </c>
      <c r="E497" s="7">
        <v>146.72</v>
      </c>
      <c r="F497" t="s">
        <v>27</v>
      </c>
      <c r="G497" t="s">
        <v>30</v>
      </c>
      <c r="H497" s="12">
        <v>0.1</v>
      </c>
      <c r="I497" t="s">
        <v>36</v>
      </c>
      <c r="J497" s="7">
        <f>Table2[[#This Row],[UnitPrice]]*Table2[[#This Row],[Quantity]]*(1-Table2[[#This Row],[Discount]])</f>
        <v>1188.432</v>
      </c>
      <c r="K497" t="s">
        <v>40</v>
      </c>
      <c r="L497" t="s">
        <v>2937</v>
      </c>
      <c r="M497">
        <v>0</v>
      </c>
      <c r="N497" t="s">
        <v>541</v>
      </c>
      <c r="O497" t="s">
        <v>2025</v>
      </c>
      <c r="P497" s="7">
        <v>10.45</v>
      </c>
      <c r="Q497" s="1">
        <v>45201</v>
      </c>
      <c r="R497">
        <f>WEEKNUM(Table2[[#This Row],[OrderDate]])</f>
        <v>40</v>
      </c>
      <c r="S497" s="1">
        <v>45209</v>
      </c>
      <c r="T497" t="s">
        <v>2920</v>
      </c>
    </row>
    <row r="498" spans="1:20" x14ac:dyDescent="0.35">
      <c r="A498" s="1">
        <v>45235</v>
      </c>
      <c r="B498" t="s">
        <v>2930</v>
      </c>
      <c r="C498" t="s">
        <v>21</v>
      </c>
      <c r="D498" s="9">
        <v>12</v>
      </c>
      <c r="E498" s="7">
        <v>159.85</v>
      </c>
      <c r="F498" t="s">
        <v>29</v>
      </c>
      <c r="G498" t="s">
        <v>31</v>
      </c>
      <c r="H498" s="12">
        <v>0.1</v>
      </c>
      <c r="I498" t="s">
        <v>33</v>
      </c>
      <c r="J498" s="7">
        <f>Table2[[#This Row],[UnitPrice]]*Table2[[#This Row],[Quantity]]*(1-Table2[[#This Row],[Discount]])</f>
        <v>1726.3799999999999</v>
      </c>
      <c r="K498" t="s">
        <v>42</v>
      </c>
      <c r="L498" t="s">
        <v>45</v>
      </c>
      <c r="M498">
        <v>0</v>
      </c>
      <c r="N498" t="s">
        <v>542</v>
      </c>
      <c r="O498" t="s">
        <v>2026</v>
      </c>
      <c r="P498" s="7">
        <v>32.61</v>
      </c>
      <c r="Q498" s="1">
        <v>45235</v>
      </c>
      <c r="R498">
        <f>WEEKNUM(Table2[[#This Row],[OrderDate]])</f>
        <v>45</v>
      </c>
      <c r="S498" s="1">
        <v>45237</v>
      </c>
      <c r="T498" t="s">
        <v>2917</v>
      </c>
    </row>
    <row r="499" spans="1:20" x14ac:dyDescent="0.35">
      <c r="A499" s="1">
        <v>45095</v>
      </c>
      <c r="B499" t="s">
        <v>2932</v>
      </c>
      <c r="C499" t="s">
        <v>25</v>
      </c>
      <c r="D499" s="9">
        <v>13</v>
      </c>
      <c r="E499" s="7">
        <v>181.68</v>
      </c>
      <c r="F499" t="s">
        <v>28</v>
      </c>
      <c r="G499" t="s">
        <v>30</v>
      </c>
      <c r="H499" s="12">
        <v>0.05</v>
      </c>
      <c r="I499" t="s">
        <v>36</v>
      </c>
      <c r="J499" s="7">
        <f>Table2[[#This Row],[UnitPrice]]*Table2[[#This Row],[Quantity]]*(1-Table2[[#This Row],[Discount]])</f>
        <v>2243.748</v>
      </c>
      <c r="K499" t="s">
        <v>39</v>
      </c>
      <c r="L499" t="s">
        <v>44</v>
      </c>
      <c r="M499">
        <v>0</v>
      </c>
      <c r="N499" t="s">
        <v>543</v>
      </c>
      <c r="O499" t="s">
        <v>2027</v>
      </c>
      <c r="P499" s="7">
        <v>14.69</v>
      </c>
      <c r="Q499" s="1">
        <v>45095</v>
      </c>
      <c r="R499">
        <f>WEEKNUM(Table2[[#This Row],[OrderDate]])</f>
        <v>25</v>
      </c>
      <c r="S499" s="1">
        <v>45100</v>
      </c>
      <c r="T499" t="s">
        <v>2918</v>
      </c>
    </row>
    <row r="500" spans="1:20" x14ac:dyDescent="0.35">
      <c r="A500" s="1">
        <v>45488</v>
      </c>
      <c r="B500" t="s">
        <v>2934</v>
      </c>
      <c r="C500" t="s">
        <v>20</v>
      </c>
      <c r="D500" s="9">
        <v>16</v>
      </c>
      <c r="E500" s="7">
        <v>34.159999999999997</v>
      </c>
      <c r="F500" t="s">
        <v>27</v>
      </c>
      <c r="G500" t="s">
        <v>31</v>
      </c>
      <c r="H500" s="12">
        <v>0.15</v>
      </c>
      <c r="I500" t="s">
        <v>37</v>
      </c>
      <c r="J500" s="7">
        <f>Table2[[#This Row],[UnitPrice]]*Table2[[#This Row],[Quantity]]*(1-Table2[[#This Row],[Discount]])</f>
        <v>464.57599999999996</v>
      </c>
      <c r="K500" t="s">
        <v>42</v>
      </c>
      <c r="L500" t="s">
        <v>44</v>
      </c>
      <c r="M500">
        <v>0</v>
      </c>
      <c r="N500" t="s">
        <v>544</v>
      </c>
      <c r="O500" t="s">
        <v>2028</v>
      </c>
      <c r="P500" s="7">
        <v>36.33</v>
      </c>
      <c r="Q500" s="1">
        <v>45488</v>
      </c>
      <c r="R500">
        <f>WEEKNUM(Table2[[#This Row],[OrderDate]])</f>
        <v>29</v>
      </c>
      <c r="S500" s="1">
        <v>45494</v>
      </c>
      <c r="T500" t="s">
        <v>2920</v>
      </c>
    </row>
    <row r="501" spans="1:20" x14ac:dyDescent="0.35">
      <c r="A501" s="1">
        <v>45457</v>
      </c>
      <c r="B501" t="s">
        <v>2934</v>
      </c>
      <c r="C501" t="s">
        <v>19</v>
      </c>
      <c r="D501" s="9">
        <v>2</v>
      </c>
      <c r="E501" s="7">
        <v>287.43</v>
      </c>
      <c r="F501" t="s">
        <v>28</v>
      </c>
      <c r="G501" t="s">
        <v>30</v>
      </c>
      <c r="H501" s="12">
        <v>0.1</v>
      </c>
      <c r="I501" t="s">
        <v>36</v>
      </c>
      <c r="J501" s="7">
        <f>Table2[[#This Row],[UnitPrice]]*Table2[[#This Row],[Quantity]]*(1-Table2[[#This Row],[Discount]])</f>
        <v>517.37400000000002</v>
      </c>
      <c r="K501" t="s">
        <v>42</v>
      </c>
      <c r="L501" t="s">
        <v>45</v>
      </c>
      <c r="M501">
        <v>0</v>
      </c>
      <c r="N501" t="s">
        <v>545</v>
      </c>
      <c r="O501" t="s">
        <v>1769</v>
      </c>
      <c r="P501" s="7">
        <v>25.34</v>
      </c>
      <c r="Q501" s="1">
        <v>45457</v>
      </c>
      <c r="R501">
        <f>WEEKNUM(Table2[[#This Row],[OrderDate]])</f>
        <v>24</v>
      </c>
      <c r="S501" s="1">
        <v>45466</v>
      </c>
      <c r="T501" t="s">
        <v>2920</v>
      </c>
    </row>
    <row r="502" spans="1:20" x14ac:dyDescent="0.35">
      <c r="A502" s="1">
        <v>45387</v>
      </c>
      <c r="B502" t="s">
        <v>2930</v>
      </c>
      <c r="C502" t="s">
        <v>23</v>
      </c>
      <c r="D502" s="9">
        <v>15</v>
      </c>
      <c r="E502" s="7">
        <v>405.95</v>
      </c>
      <c r="F502" t="s">
        <v>29</v>
      </c>
      <c r="G502" t="s">
        <v>30</v>
      </c>
      <c r="H502" s="12">
        <v>0.15</v>
      </c>
      <c r="I502" t="s">
        <v>32</v>
      </c>
      <c r="J502" s="7">
        <f>Table2[[#This Row],[UnitPrice]]*Table2[[#This Row],[Quantity]]*(1-Table2[[#This Row],[Discount]])</f>
        <v>5175.8625000000002</v>
      </c>
      <c r="K502" t="s">
        <v>39</v>
      </c>
      <c r="L502" t="s">
        <v>2937</v>
      </c>
      <c r="M502">
        <v>0</v>
      </c>
      <c r="N502" t="s">
        <v>546</v>
      </c>
      <c r="O502" t="s">
        <v>2029</v>
      </c>
      <c r="P502" s="7">
        <v>32.04</v>
      </c>
      <c r="Q502" s="1">
        <v>45387</v>
      </c>
      <c r="R502">
        <f>WEEKNUM(Table2[[#This Row],[OrderDate]])</f>
        <v>14</v>
      </c>
      <c r="S502" s="1">
        <v>45392</v>
      </c>
      <c r="T502" t="s">
        <v>2917</v>
      </c>
    </row>
    <row r="503" spans="1:20" x14ac:dyDescent="0.35">
      <c r="A503" s="1">
        <v>44984</v>
      </c>
      <c r="B503" t="s">
        <v>2931</v>
      </c>
      <c r="C503" t="s">
        <v>19</v>
      </c>
      <c r="D503" s="9">
        <v>1</v>
      </c>
      <c r="E503" s="7">
        <v>430.61</v>
      </c>
      <c r="F503" t="s">
        <v>26</v>
      </c>
      <c r="G503" t="s">
        <v>31</v>
      </c>
      <c r="H503" s="12">
        <v>0</v>
      </c>
      <c r="I503" t="s">
        <v>33</v>
      </c>
      <c r="J503" s="7">
        <f>Table2[[#This Row],[UnitPrice]]*Table2[[#This Row],[Quantity]]*(1-Table2[[#This Row],[Discount]])</f>
        <v>430.61</v>
      </c>
      <c r="K503" t="s">
        <v>39</v>
      </c>
      <c r="L503" t="s">
        <v>45</v>
      </c>
      <c r="M503">
        <v>0</v>
      </c>
      <c r="N503" t="s">
        <v>547</v>
      </c>
      <c r="O503" t="s">
        <v>2030</v>
      </c>
      <c r="P503" s="7">
        <v>14.53</v>
      </c>
      <c r="Q503" s="1">
        <v>44984</v>
      </c>
      <c r="R503">
        <f>WEEKNUM(Table2[[#This Row],[OrderDate]])</f>
        <v>9</v>
      </c>
      <c r="S503" s="1">
        <v>44992</v>
      </c>
      <c r="T503" t="s">
        <v>2919</v>
      </c>
    </row>
    <row r="504" spans="1:20" x14ac:dyDescent="0.35">
      <c r="A504" s="1">
        <v>45138</v>
      </c>
      <c r="B504" t="s">
        <v>2933</v>
      </c>
      <c r="C504" t="s">
        <v>19</v>
      </c>
      <c r="D504" s="9">
        <v>5</v>
      </c>
      <c r="E504" s="7">
        <v>508.05</v>
      </c>
      <c r="F504" t="s">
        <v>29</v>
      </c>
      <c r="G504" t="s">
        <v>31</v>
      </c>
      <c r="H504" s="12">
        <v>0</v>
      </c>
      <c r="I504" t="s">
        <v>34</v>
      </c>
      <c r="J504" s="7">
        <f>Table2[[#This Row],[UnitPrice]]*Table2[[#This Row],[Quantity]]*(1-Table2[[#This Row],[Discount]])</f>
        <v>2540.25</v>
      </c>
      <c r="K504" t="s">
        <v>40</v>
      </c>
      <c r="L504" t="s">
        <v>45</v>
      </c>
      <c r="M504">
        <v>1</v>
      </c>
      <c r="N504" t="s">
        <v>548</v>
      </c>
      <c r="O504" t="s">
        <v>2031</v>
      </c>
      <c r="P504" s="7">
        <v>35.630000000000003</v>
      </c>
      <c r="Q504" s="1">
        <v>45138</v>
      </c>
      <c r="R504">
        <f>WEEKNUM(Table2[[#This Row],[OrderDate]])</f>
        <v>31</v>
      </c>
      <c r="S504" s="1">
        <v>45147</v>
      </c>
      <c r="T504" t="s">
        <v>2921</v>
      </c>
    </row>
    <row r="505" spans="1:20" x14ac:dyDescent="0.35">
      <c r="A505" s="1">
        <v>44988</v>
      </c>
      <c r="B505" t="s">
        <v>2933</v>
      </c>
      <c r="C505" t="s">
        <v>19</v>
      </c>
      <c r="D505" s="9">
        <v>13</v>
      </c>
      <c r="E505" s="7">
        <v>522.97</v>
      </c>
      <c r="F505" t="s">
        <v>28</v>
      </c>
      <c r="G505" t="s">
        <v>31</v>
      </c>
      <c r="H505" s="12">
        <v>0.15</v>
      </c>
      <c r="I505" t="s">
        <v>35</v>
      </c>
      <c r="J505" s="7">
        <f>Table2[[#This Row],[UnitPrice]]*Table2[[#This Row],[Quantity]]*(1-Table2[[#This Row],[Discount]])</f>
        <v>5778.8185000000003</v>
      </c>
      <c r="K505" t="s">
        <v>41</v>
      </c>
      <c r="L505" t="s">
        <v>43</v>
      </c>
      <c r="M505">
        <v>0</v>
      </c>
      <c r="N505" t="s">
        <v>549</v>
      </c>
      <c r="O505" t="s">
        <v>2032</v>
      </c>
      <c r="P505" s="7">
        <v>33.9</v>
      </c>
      <c r="Q505" s="1">
        <v>44988</v>
      </c>
      <c r="R505">
        <f>WEEKNUM(Table2[[#This Row],[OrderDate]])</f>
        <v>9</v>
      </c>
      <c r="S505" s="1">
        <v>44995</v>
      </c>
      <c r="T505" t="s">
        <v>2921</v>
      </c>
    </row>
    <row r="506" spans="1:20" x14ac:dyDescent="0.35">
      <c r="A506" s="1">
        <v>45042</v>
      </c>
      <c r="B506" t="s">
        <v>2932</v>
      </c>
      <c r="C506" t="s">
        <v>19</v>
      </c>
      <c r="D506" s="9">
        <v>17</v>
      </c>
      <c r="E506" s="7">
        <v>260.25</v>
      </c>
      <c r="F506" t="s">
        <v>29</v>
      </c>
      <c r="G506" t="s">
        <v>30</v>
      </c>
      <c r="H506" s="12">
        <v>0.1</v>
      </c>
      <c r="I506" t="s">
        <v>34</v>
      </c>
      <c r="J506" s="7">
        <f>Table2[[#This Row],[UnitPrice]]*Table2[[#This Row],[Quantity]]*(1-Table2[[#This Row],[Discount]])</f>
        <v>3981.8250000000003</v>
      </c>
      <c r="K506" t="s">
        <v>40</v>
      </c>
      <c r="L506" t="s">
        <v>44</v>
      </c>
      <c r="M506">
        <v>0</v>
      </c>
      <c r="N506" t="s">
        <v>550</v>
      </c>
      <c r="O506" t="s">
        <v>2033</v>
      </c>
      <c r="P506" s="7">
        <v>23.26</v>
      </c>
      <c r="Q506" s="1">
        <v>45042</v>
      </c>
      <c r="R506">
        <f>WEEKNUM(Table2[[#This Row],[OrderDate]])</f>
        <v>17</v>
      </c>
      <c r="S506" s="1">
        <v>45044</v>
      </c>
      <c r="T506" t="s">
        <v>2918</v>
      </c>
    </row>
    <row r="507" spans="1:20" x14ac:dyDescent="0.35">
      <c r="A507" s="1">
        <v>45584</v>
      </c>
      <c r="B507" t="s">
        <v>2930</v>
      </c>
      <c r="C507" t="s">
        <v>20</v>
      </c>
      <c r="D507" s="9">
        <v>6</v>
      </c>
      <c r="E507" s="7">
        <v>549.21</v>
      </c>
      <c r="F507" t="s">
        <v>26</v>
      </c>
      <c r="G507" t="s">
        <v>31</v>
      </c>
      <c r="H507" s="12">
        <v>0.1</v>
      </c>
      <c r="I507" t="s">
        <v>32</v>
      </c>
      <c r="J507" s="7">
        <f>Table2[[#This Row],[UnitPrice]]*Table2[[#This Row],[Quantity]]*(1-Table2[[#This Row],[Discount]])</f>
        <v>2965.7340000000004</v>
      </c>
      <c r="K507" t="s">
        <v>40</v>
      </c>
      <c r="L507" t="s">
        <v>45</v>
      </c>
      <c r="M507">
        <v>1</v>
      </c>
      <c r="N507" t="s">
        <v>551</v>
      </c>
      <c r="O507" t="s">
        <v>2034</v>
      </c>
      <c r="P507" s="7">
        <v>12.29</v>
      </c>
      <c r="Q507" s="1">
        <v>45584</v>
      </c>
      <c r="R507">
        <f>WEEKNUM(Table2[[#This Row],[OrderDate]])</f>
        <v>42</v>
      </c>
      <c r="S507" s="1">
        <v>45592</v>
      </c>
      <c r="T507" t="s">
        <v>2917</v>
      </c>
    </row>
    <row r="508" spans="1:20" x14ac:dyDescent="0.35">
      <c r="A508" s="1">
        <v>45473</v>
      </c>
      <c r="B508" t="s">
        <v>2934</v>
      </c>
      <c r="C508" t="s">
        <v>25</v>
      </c>
      <c r="D508" s="9">
        <v>17</v>
      </c>
      <c r="E508" s="7">
        <v>472.33</v>
      </c>
      <c r="F508" t="s">
        <v>28</v>
      </c>
      <c r="G508" t="s">
        <v>31</v>
      </c>
      <c r="H508" s="12">
        <v>0.15</v>
      </c>
      <c r="I508" t="s">
        <v>35</v>
      </c>
      <c r="J508" s="7">
        <f>Table2[[#This Row],[UnitPrice]]*Table2[[#This Row],[Quantity]]*(1-Table2[[#This Row],[Discount]])</f>
        <v>6825.1684999999998</v>
      </c>
      <c r="K508" t="s">
        <v>41</v>
      </c>
      <c r="L508" t="s">
        <v>45</v>
      </c>
      <c r="M508">
        <v>0</v>
      </c>
      <c r="N508" t="s">
        <v>552</v>
      </c>
      <c r="O508" t="s">
        <v>2035</v>
      </c>
      <c r="P508" s="7">
        <v>22.63</v>
      </c>
      <c r="Q508" s="1">
        <v>45473</v>
      </c>
      <c r="R508">
        <f>WEEKNUM(Table2[[#This Row],[OrderDate]])</f>
        <v>27</v>
      </c>
      <c r="S508" s="1">
        <v>45477</v>
      </c>
      <c r="T508" t="s">
        <v>2920</v>
      </c>
    </row>
    <row r="509" spans="1:20" x14ac:dyDescent="0.35">
      <c r="A509" s="1">
        <v>45576</v>
      </c>
      <c r="B509" t="s">
        <v>2933</v>
      </c>
      <c r="C509" t="s">
        <v>19</v>
      </c>
      <c r="D509" s="9">
        <v>9</v>
      </c>
      <c r="E509" s="7">
        <v>596.83000000000004</v>
      </c>
      <c r="F509" t="s">
        <v>27</v>
      </c>
      <c r="G509" t="s">
        <v>31</v>
      </c>
      <c r="H509" s="12">
        <v>0</v>
      </c>
      <c r="I509" t="s">
        <v>32</v>
      </c>
      <c r="J509" s="7">
        <f>Table2[[#This Row],[UnitPrice]]*Table2[[#This Row],[Quantity]]*(1-Table2[[#This Row],[Discount]])</f>
        <v>5371.47</v>
      </c>
      <c r="K509" t="s">
        <v>42</v>
      </c>
      <c r="L509" t="s">
        <v>45</v>
      </c>
      <c r="M509">
        <v>0</v>
      </c>
      <c r="N509" t="s">
        <v>553</v>
      </c>
      <c r="O509" t="s">
        <v>1622</v>
      </c>
      <c r="P509" s="7">
        <v>6.43</v>
      </c>
      <c r="Q509" s="1">
        <v>45576</v>
      </c>
      <c r="R509">
        <f>WEEKNUM(Table2[[#This Row],[OrderDate]])</f>
        <v>41</v>
      </c>
      <c r="S509" s="1">
        <v>45584</v>
      </c>
      <c r="T509" t="s">
        <v>2921</v>
      </c>
    </row>
    <row r="510" spans="1:20" x14ac:dyDescent="0.35">
      <c r="A510" s="1">
        <v>45822</v>
      </c>
      <c r="B510" t="s">
        <v>2934</v>
      </c>
      <c r="C510" t="s">
        <v>23</v>
      </c>
      <c r="D510" s="9">
        <v>15</v>
      </c>
      <c r="E510" s="7">
        <v>154.04</v>
      </c>
      <c r="F510" t="s">
        <v>29</v>
      </c>
      <c r="G510" t="s">
        <v>31</v>
      </c>
      <c r="H510" s="12">
        <v>0.1</v>
      </c>
      <c r="I510" t="s">
        <v>33</v>
      </c>
      <c r="J510" s="7">
        <f>Table2[[#This Row],[UnitPrice]]*Table2[[#This Row],[Quantity]]*(1-Table2[[#This Row],[Discount]])</f>
        <v>2079.54</v>
      </c>
      <c r="K510" t="s">
        <v>42</v>
      </c>
      <c r="L510" t="s">
        <v>43</v>
      </c>
      <c r="M510">
        <v>1</v>
      </c>
      <c r="N510" t="s">
        <v>554</v>
      </c>
      <c r="O510" t="s">
        <v>2036</v>
      </c>
      <c r="P510" s="7">
        <v>24.53</v>
      </c>
      <c r="Q510" s="1">
        <v>45822</v>
      </c>
      <c r="R510">
        <f>WEEKNUM(Table2[[#This Row],[OrderDate]])</f>
        <v>24</v>
      </c>
      <c r="S510" s="1">
        <v>45831</v>
      </c>
      <c r="T510" t="s">
        <v>2920</v>
      </c>
    </row>
    <row r="511" spans="1:20" x14ac:dyDescent="0.35">
      <c r="A511" s="1">
        <v>45648</v>
      </c>
      <c r="B511" t="s">
        <v>2930</v>
      </c>
      <c r="C511" t="s">
        <v>19</v>
      </c>
      <c r="D511" s="9">
        <v>18</v>
      </c>
      <c r="E511" s="7">
        <v>500.44</v>
      </c>
      <c r="F511" t="s">
        <v>29</v>
      </c>
      <c r="G511" t="s">
        <v>30</v>
      </c>
      <c r="H511" s="12">
        <v>0.1</v>
      </c>
      <c r="I511" t="s">
        <v>37</v>
      </c>
      <c r="J511" s="7">
        <f>Table2[[#This Row],[UnitPrice]]*Table2[[#This Row],[Quantity]]*(1-Table2[[#This Row],[Discount]])</f>
        <v>8107.1280000000006</v>
      </c>
      <c r="K511" t="s">
        <v>40</v>
      </c>
      <c r="L511" t="s">
        <v>2937</v>
      </c>
      <c r="M511">
        <v>0</v>
      </c>
      <c r="N511" t="s">
        <v>555</v>
      </c>
      <c r="O511" t="s">
        <v>2037</v>
      </c>
      <c r="P511" s="7">
        <v>8.8699999999999992</v>
      </c>
      <c r="Q511" s="1">
        <v>45648</v>
      </c>
      <c r="R511">
        <f>WEEKNUM(Table2[[#This Row],[OrderDate]])</f>
        <v>52</v>
      </c>
      <c r="S511" s="1">
        <v>45656</v>
      </c>
      <c r="T511" t="s">
        <v>2917</v>
      </c>
    </row>
    <row r="512" spans="1:20" x14ac:dyDescent="0.35">
      <c r="A512" s="1">
        <v>45404</v>
      </c>
      <c r="B512" t="s">
        <v>2933</v>
      </c>
      <c r="C512" t="s">
        <v>24</v>
      </c>
      <c r="D512" s="9">
        <v>5</v>
      </c>
      <c r="E512" s="7">
        <v>382.17</v>
      </c>
      <c r="F512" t="s">
        <v>28</v>
      </c>
      <c r="G512" t="s">
        <v>30</v>
      </c>
      <c r="H512" s="12">
        <v>0</v>
      </c>
      <c r="I512" t="s">
        <v>36</v>
      </c>
      <c r="J512" s="7">
        <f>Table2[[#This Row],[UnitPrice]]*Table2[[#This Row],[Quantity]]*(1-Table2[[#This Row],[Discount]])</f>
        <v>1910.8500000000001</v>
      </c>
      <c r="K512" t="s">
        <v>40</v>
      </c>
      <c r="L512" t="s">
        <v>43</v>
      </c>
      <c r="M512">
        <v>0</v>
      </c>
      <c r="N512" t="s">
        <v>556</v>
      </c>
      <c r="O512" t="s">
        <v>2038</v>
      </c>
      <c r="P512" s="7">
        <v>17.72</v>
      </c>
      <c r="Q512" s="1">
        <v>45404</v>
      </c>
      <c r="R512">
        <f>WEEKNUM(Table2[[#This Row],[OrderDate]])</f>
        <v>17</v>
      </c>
      <c r="S512" s="1">
        <v>45407</v>
      </c>
      <c r="T512" t="s">
        <v>2921</v>
      </c>
    </row>
    <row r="513" spans="1:20" x14ac:dyDescent="0.35">
      <c r="A513" s="1">
        <v>45682</v>
      </c>
      <c r="B513" t="s">
        <v>2931</v>
      </c>
      <c r="C513" t="s">
        <v>22</v>
      </c>
      <c r="D513" s="9">
        <v>3</v>
      </c>
      <c r="E513" s="7">
        <v>365.54</v>
      </c>
      <c r="F513" t="s">
        <v>26</v>
      </c>
      <c r="G513" t="s">
        <v>31</v>
      </c>
      <c r="H513" s="12">
        <v>0.15</v>
      </c>
      <c r="I513" t="s">
        <v>34</v>
      </c>
      <c r="J513" s="7">
        <f>Table2[[#This Row],[UnitPrice]]*Table2[[#This Row],[Quantity]]*(1-Table2[[#This Row],[Discount]])</f>
        <v>932.12700000000007</v>
      </c>
      <c r="K513" t="s">
        <v>38</v>
      </c>
      <c r="L513" t="s">
        <v>2937</v>
      </c>
      <c r="M513">
        <v>0</v>
      </c>
      <c r="N513" t="s">
        <v>557</v>
      </c>
      <c r="O513" t="s">
        <v>2039</v>
      </c>
      <c r="P513" s="7">
        <v>45.89</v>
      </c>
      <c r="Q513" s="1">
        <v>45682</v>
      </c>
      <c r="R513">
        <f>WEEKNUM(Table2[[#This Row],[OrderDate]])</f>
        <v>4</v>
      </c>
      <c r="S513" s="1">
        <v>45686</v>
      </c>
      <c r="T513" t="s">
        <v>2919</v>
      </c>
    </row>
    <row r="514" spans="1:20" x14ac:dyDescent="0.35">
      <c r="A514" s="1">
        <v>45609</v>
      </c>
      <c r="B514" t="s">
        <v>2931</v>
      </c>
      <c r="C514" t="s">
        <v>19</v>
      </c>
      <c r="D514" s="9">
        <v>5</v>
      </c>
      <c r="E514" s="7">
        <v>270.13</v>
      </c>
      <c r="F514" t="s">
        <v>28</v>
      </c>
      <c r="G514" t="s">
        <v>31</v>
      </c>
      <c r="H514" s="12">
        <v>0.15</v>
      </c>
      <c r="I514" t="s">
        <v>32</v>
      </c>
      <c r="J514" s="7">
        <f>Table2[[#This Row],[UnitPrice]]*Table2[[#This Row],[Quantity]]*(1-Table2[[#This Row],[Discount]])</f>
        <v>1148.0525</v>
      </c>
      <c r="K514" t="s">
        <v>40</v>
      </c>
      <c r="L514" t="s">
        <v>2937</v>
      </c>
      <c r="M514">
        <v>0</v>
      </c>
      <c r="N514" t="s">
        <v>558</v>
      </c>
      <c r="O514" t="s">
        <v>2040</v>
      </c>
      <c r="P514" s="7">
        <v>15.74</v>
      </c>
      <c r="Q514" s="1">
        <v>45609</v>
      </c>
      <c r="R514">
        <f>WEEKNUM(Table2[[#This Row],[OrderDate]])</f>
        <v>46</v>
      </c>
      <c r="S514" s="1">
        <v>45615</v>
      </c>
      <c r="T514" t="s">
        <v>2919</v>
      </c>
    </row>
    <row r="515" spans="1:20" x14ac:dyDescent="0.35">
      <c r="A515" s="1">
        <v>45001</v>
      </c>
      <c r="B515" t="s">
        <v>2930</v>
      </c>
      <c r="C515" t="s">
        <v>24</v>
      </c>
      <c r="D515" s="9">
        <v>2</v>
      </c>
      <c r="E515" s="7">
        <v>480.15</v>
      </c>
      <c r="F515" t="s">
        <v>29</v>
      </c>
      <c r="G515" t="s">
        <v>31</v>
      </c>
      <c r="H515" s="12">
        <v>0.15</v>
      </c>
      <c r="I515" t="s">
        <v>36</v>
      </c>
      <c r="J515" s="7">
        <f>Table2[[#This Row],[UnitPrice]]*Table2[[#This Row],[Quantity]]*(1-Table2[[#This Row],[Discount]])</f>
        <v>816.255</v>
      </c>
      <c r="K515" t="s">
        <v>38</v>
      </c>
      <c r="L515" t="s">
        <v>2937</v>
      </c>
      <c r="M515">
        <v>0</v>
      </c>
      <c r="N515" t="s">
        <v>559</v>
      </c>
      <c r="O515" t="s">
        <v>2041</v>
      </c>
      <c r="P515" s="7">
        <v>42.07</v>
      </c>
      <c r="Q515" s="1">
        <v>45001</v>
      </c>
      <c r="R515">
        <f>WEEKNUM(Table2[[#This Row],[OrderDate]])</f>
        <v>11</v>
      </c>
      <c r="S515" s="1">
        <v>45006</v>
      </c>
      <c r="T515" t="s">
        <v>2917</v>
      </c>
    </row>
    <row r="516" spans="1:20" x14ac:dyDescent="0.35">
      <c r="A516" s="1">
        <v>45052</v>
      </c>
      <c r="B516" t="s">
        <v>2931</v>
      </c>
      <c r="C516" t="s">
        <v>19</v>
      </c>
      <c r="D516" s="9">
        <v>18</v>
      </c>
      <c r="E516" s="7">
        <v>414.77</v>
      </c>
      <c r="F516" t="s">
        <v>28</v>
      </c>
      <c r="G516" t="s">
        <v>30</v>
      </c>
      <c r="H516" s="12">
        <v>0.1</v>
      </c>
      <c r="I516" t="s">
        <v>32</v>
      </c>
      <c r="J516" s="7">
        <f>Table2[[#This Row],[UnitPrice]]*Table2[[#This Row],[Quantity]]*(1-Table2[[#This Row],[Discount]])</f>
        <v>6719.2739999999994</v>
      </c>
      <c r="K516" t="s">
        <v>40</v>
      </c>
      <c r="L516" t="s">
        <v>2937</v>
      </c>
      <c r="M516">
        <v>1</v>
      </c>
      <c r="N516" t="s">
        <v>560</v>
      </c>
      <c r="O516" t="s">
        <v>2042</v>
      </c>
      <c r="P516" s="7">
        <v>28.55</v>
      </c>
      <c r="Q516" s="1">
        <v>45052</v>
      </c>
      <c r="R516">
        <f>WEEKNUM(Table2[[#This Row],[OrderDate]])</f>
        <v>18</v>
      </c>
      <c r="S516" s="1">
        <v>45061</v>
      </c>
      <c r="T516" t="s">
        <v>2919</v>
      </c>
    </row>
    <row r="517" spans="1:20" x14ac:dyDescent="0.35">
      <c r="A517" s="1">
        <v>45611</v>
      </c>
      <c r="B517" t="s">
        <v>2930</v>
      </c>
      <c r="C517" t="s">
        <v>23</v>
      </c>
      <c r="D517" s="9">
        <v>10</v>
      </c>
      <c r="E517" s="7">
        <v>98.24</v>
      </c>
      <c r="F517" t="s">
        <v>28</v>
      </c>
      <c r="G517" t="s">
        <v>30</v>
      </c>
      <c r="H517" s="12">
        <v>0</v>
      </c>
      <c r="I517" t="s">
        <v>34</v>
      </c>
      <c r="J517" s="7">
        <f>Table2[[#This Row],[UnitPrice]]*Table2[[#This Row],[Quantity]]*(1-Table2[[#This Row],[Discount]])</f>
        <v>982.4</v>
      </c>
      <c r="K517" t="s">
        <v>40</v>
      </c>
      <c r="L517" t="s">
        <v>43</v>
      </c>
      <c r="M517">
        <v>1</v>
      </c>
      <c r="N517" t="s">
        <v>561</v>
      </c>
      <c r="O517" t="s">
        <v>1830</v>
      </c>
      <c r="P517" s="7">
        <v>21.01</v>
      </c>
      <c r="Q517" s="1">
        <v>45611</v>
      </c>
      <c r="R517">
        <f>WEEKNUM(Table2[[#This Row],[OrderDate]])</f>
        <v>46</v>
      </c>
      <c r="S517" s="1">
        <v>45613</v>
      </c>
      <c r="T517" t="s">
        <v>2917</v>
      </c>
    </row>
    <row r="518" spans="1:20" x14ac:dyDescent="0.35">
      <c r="A518" s="1">
        <v>45471</v>
      </c>
      <c r="B518" t="s">
        <v>2934</v>
      </c>
      <c r="C518" t="s">
        <v>19</v>
      </c>
      <c r="D518" s="9">
        <v>6</v>
      </c>
      <c r="E518" s="7">
        <v>227.6</v>
      </c>
      <c r="F518" t="s">
        <v>29</v>
      </c>
      <c r="G518" t="s">
        <v>31</v>
      </c>
      <c r="H518" s="12">
        <v>0.05</v>
      </c>
      <c r="I518" t="s">
        <v>35</v>
      </c>
      <c r="J518" s="7">
        <f>Table2[[#This Row],[UnitPrice]]*Table2[[#This Row],[Quantity]]*(1-Table2[[#This Row],[Discount]])</f>
        <v>1297.32</v>
      </c>
      <c r="K518" t="s">
        <v>41</v>
      </c>
      <c r="L518" t="s">
        <v>43</v>
      </c>
      <c r="M518">
        <v>0</v>
      </c>
      <c r="N518" t="s">
        <v>562</v>
      </c>
      <c r="O518" t="s">
        <v>2043</v>
      </c>
      <c r="P518" s="7">
        <v>38.22</v>
      </c>
      <c r="Q518" s="1">
        <v>45471</v>
      </c>
      <c r="R518">
        <f>WEEKNUM(Table2[[#This Row],[OrderDate]])</f>
        <v>26</v>
      </c>
      <c r="S518" s="1">
        <v>45478</v>
      </c>
      <c r="T518" t="s">
        <v>2920</v>
      </c>
    </row>
    <row r="519" spans="1:20" x14ac:dyDescent="0.35">
      <c r="A519" s="1">
        <v>45788</v>
      </c>
      <c r="B519" t="s">
        <v>2934</v>
      </c>
      <c r="C519" t="s">
        <v>23</v>
      </c>
      <c r="D519" s="9">
        <v>5</v>
      </c>
      <c r="E519" s="7">
        <v>136.13</v>
      </c>
      <c r="F519" t="s">
        <v>28</v>
      </c>
      <c r="G519" t="s">
        <v>31</v>
      </c>
      <c r="H519" s="12">
        <v>0.15</v>
      </c>
      <c r="I519" t="s">
        <v>35</v>
      </c>
      <c r="J519" s="7">
        <f>Table2[[#This Row],[UnitPrice]]*Table2[[#This Row],[Quantity]]*(1-Table2[[#This Row],[Discount]])</f>
        <v>578.55250000000001</v>
      </c>
      <c r="K519" t="s">
        <v>38</v>
      </c>
      <c r="L519" t="s">
        <v>2937</v>
      </c>
      <c r="M519">
        <v>0</v>
      </c>
      <c r="N519" t="s">
        <v>563</v>
      </c>
      <c r="O519" t="s">
        <v>2044</v>
      </c>
      <c r="P519" s="7">
        <v>10.02</v>
      </c>
      <c r="Q519" s="1">
        <v>45788</v>
      </c>
      <c r="R519">
        <f>WEEKNUM(Table2[[#This Row],[OrderDate]])</f>
        <v>20</v>
      </c>
      <c r="S519" s="1">
        <v>45797</v>
      </c>
      <c r="T519" t="s">
        <v>2920</v>
      </c>
    </row>
    <row r="520" spans="1:20" x14ac:dyDescent="0.35">
      <c r="A520" s="1">
        <v>44983</v>
      </c>
      <c r="B520" t="s">
        <v>2934</v>
      </c>
      <c r="C520" t="s">
        <v>24</v>
      </c>
      <c r="D520" s="9">
        <v>5</v>
      </c>
      <c r="E520" s="7">
        <v>489.13</v>
      </c>
      <c r="F520" t="s">
        <v>28</v>
      </c>
      <c r="G520" t="s">
        <v>31</v>
      </c>
      <c r="H520" s="12">
        <v>0.1</v>
      </c>
      <c r="I520" t="s">
        <v>36</v>
      </c>
      <c r="J520" s="7">
        <f>Table2[[#This Row],[UnitPrice]]*Table2[[#This Row],[Quantity]]*(1-Table2[[#This Row],[Discount]])</f>
        <v>2201.085</v>
      </c>
      <c r="K520" t="s">
        <v>39</v>
      </c>
      <c r="L520" t="s">
        <v>43</v>
      </c>
      <c r="M520">
        <v>0</v>
      </c>
      <c r="N520" t="s">
        <v>564</v>
      </c>
      <c r="O520" t="s">
        <v>2045</v>
      </c>
      <c r="P520" s="7">
        <v>44.73</v>
      </c>
      <c r="Q520" s="1">
        <v>44983</v>
      </c>
      <c r="R520">
        <f>WEEKNUM(Table2[[#This Row],[OrderDate]])</f>
        <v>9</v>
      </c>
      <c r="S520" s="1">
        <v>44989</v>
      </c>
      <c r="T520" t="s">
        <v>2920</v>
      </c>
    </row>
    <row r="521" spans="1:20" x14ac:dyDescent="0.35">
      <c r="A521" s="1">
        <v>45412</v>
      </c>
      <c r="B521" t="s">
        <v>2932</v>
      </c>
      <c r="C521" t="s">
        <v>19</v>
      </c>
      <c r="D521" s="9">
        <v>4</v>
      </c>
      <c r="E521" s="7">
        <v>414.36</v>
      </c>
      <c r="F521" t="s">
        <v>27</v>
      </c>
      <c r="G521" t="s">
        <v>31</v>
      </c>
      <c r="H521" s="12">
        <v>0</v>
      </c>
      <c r="I521" t="s">
        <v>37</v>
      </c>
      <c r="J521" s="7">
        <f>Table2[[#This Row],[UnitPrice]]*Table2[[#This Row],[Quantity]]*(1-Table2[[#This Row],[Discount]])</f>
        <v>1657.44</v>
      </c>
      <c r="K521" t="s">
        <v>41</v>
      </c>
      <c r="L521" t="s">
        <v>43</v>
      </c>
      <c r="M521">
        <v>0</v>
      </c>
      <c r="N521" t="s">
        <v>565</v>
      </c>
      <c r="O521" t="s">
        <v>2046</v>
      </c>
      <c r="P521" s="7">
        <v>8.02</v>
      </c>
      <c r="Q521" s="1">
        <v>45412</v>
      </c>
      <c r="R521">
        <f>WEEKNUM(Table2[[#This Row],[OrderDate]])</f>
        <v>18</v>
      </c>
      <c r="S521" s="1">
        <v>45419</v>
      </c>
      <c r="T521" t="s">
        <v>2918</v>
      </c>
    </row>
    <row r="522" spans="1:20" x14ac:dyDescent="0.35">
      <c r="A522" s="1">
        <v>45727</v>
      </c>
      <c r="B522" t="s">
        <v>2930</v>
      </c>
      <c r="C522" t="s">
        <v>19</v>
      </c>
      <c r="D522" s="9">
        <v>6</v>
      </c>
      <c r="E522" s="7">
        <v>138.26</v>
      </c>
      <c r="F522" t="s">
        <v>26</v>
      </c>
      <c r="G522" t="s">
        <v>31</v>
      </c>
      <c r="H522" s="12">
        <v>0.15</v>
      </c>
      <c r="I522" t="s">
        <v>32</v>
      </c>
      <c r="J522" s="7">
        <f>Table2[[#This Row],[UnitPrice]]*Table2[[#This Row],[Quantity]]*(1-Table2[[#This Row],[Discount]])</f>
        <v>705.12599999999998</v>
      </c>
      <c r="K522" t="s">
        <v>38</v>
      </c>
      <c r="L522" t="s">
        <v>2937</v>
      </c>
      <c r="M522">
        <v>1</v>
      </c>
      <c r="N522" t="s">
        <v>566</v>
      </c>
      <c r="O522" t="s">
        <v>2047</v>
      </c>
      <c r="P522" s="7">
        <v>31.4</v>
      </c>
      <c r="Q522" s="1">
        <v>45727</v>
      </c>
      <c r="R522">
        <f>WEEKNUM(Table2[[#This Row],[OrderDate]])</f>
        <v>11</v>
      </c>
      <c r="S522" s="1">
        <v>45729</v>
      </c>
      <c r="T522" t="s">
        <v>2917</v>
      </c>
    </row>
    <row r="523" spans="1:20" x14ac:dyDescent="0.35">
      <c r="A523" s="1">
        <v>45838</v>
      </c>
      <c r="B523" t="s">
        <v>2930</v>
      </c>
      <c r="C523" t="s">
        <v>20</v>
      </c>
      <c r="D523" s="9">
        <v>12</v>
      </c>
      <c r="E523" s="7">
        <v>487.57</v>
      </c>
      <c r="F523" t="s">
        <v>27</v>
      </c>
      <c r="G523" t="s">
        <v>30</v>
      </c>
      <c r="H523" s="12">
        <v>0.05</v>
      </c>
      <c r="I523" t="s">
        <v>32</v>
      </c>
      <c r="J523" s="7">
        <f>Table2[[#This Row],[UnitPrice]]*Table2[[#This Row],[Quantity]]*(1-Table2[[#This Row],[Discount]])</f>
        <v>5558.2979999999998</v>
      </c>
      <c r="K523" t="s">
        <v>42</v>
      </c>
      <c r="L523" t="s">
        <v>2937</v>
      </c>
      <c r="M523">
        <v>0</v>
      </c>
      <c r="N523" t="s">
        <v>567</v>
      </c>
      <c r="O523" t="s">
        <v>2048</v>
      </c>
      <c r="P523" s="7">
        <v>37.33</v>
      </c>
      <c r="Q523" s="1">
        <v>45838</v>
      </c>
      <c r="R523">
        <f>WEEKNUM(Table2[[#This Row],[OrderDate]])</f>
        <v>27</v>
      </c>
      <c r="S523" s="1">
        <v>45848</v>
      </c>
      <c r="T523" t="s">
        <v>2917</v>
      </c>
    </row>
    <row r="524" spans="1:20" x14ac:dyDescent="0.35">
      <c r="A524" s="1">
        <v>45445</v>
      </c>
      <c r="B524" t="s">
        <v>2931</v>
      </c>
      <c r="C524" t="s">
        <v>22</v>
      </c>
      <c r="D524" s="9">
        <v>20</v>
      </c>
      <c r="E524" s="7">
        <v>427.3</v>
      </c>
      <c r="F524" t="s">
        <v>28</v>
      </c>
      <c r="G524" t="s">
        <v>30</v>
      </c>
      <c r="H524" s="12">
        <v>0.05</v>
      </c>
      <c r="I524" t="s">
        <v>34</v>
      </c>
      <c r="J524" s="7">
        <f>Table2[[#This Row],[UnitPrice]]*Table2[[#This Row],[Quantity]]*(1-Table2[[#This Row],[Discount]])</f>
        <v>8118.7</v>
      </c>
      <c r="K524" t="s">
        <v>39</v>
      </c>
      <c r="L524" t="s">
        <v>43</v>
      </c>
      <c r="M524">
        <v>1</v>
      </c>
      <c r="N524" t="s">
        <v>568</v>
      </c>
      <c r="O524" t="s">
        <v>2049</v>
      </c>
      <c r="P524" s="7">
        <v>25.19</v>
      </c>
      <c r="Q524" s="1">
        <v>45445</v>
      </c>
      <c r="R524">
        <f>WEEKNUM(Table2[[#This Row],[OrderDate]])</f>
        <v>23</v>
      </c>
      <c r="S524" s="1">
        <v>45451</v>
      </c>
      <c r="T524" t="s">
        <v>2919</v>
      </c>
    </row>
    <row r="525" spans="1:20" x14ac:dyDescent="0.35">
      <c r="A525" s="1">
        <v>45536</v>
      </c>
      <c r="B525" t="s">
        <v>2932</v>
      </c>
      <c r="C525" t="s">
        <v>19</v>
      </c>
      <c r="D525" s="9">
        <v>16</v>
      </c>
      <c r="E525" s="7">
        <v>588.91999999999996</v>
      </c>
      <c r="F525" t="s">
        <v>29</v>
      </c>
      <c r="G525" t="s">
        <v>30</v>
      </c>
      <c r="H525" s="12">
        <v>0.15</v>
      </c>
      <c r="I525" t="s">
        <v>33</v>
      </c>
      <c r="J525" s="7">
        <f>Table2[[#This Row],[UnitPrice]]*Table2[[#This Row],[Quantity]]*(1-Table2[[#This Row],[Discount]])</f>
        <v>8009.311999999999</v>
      </c>
      <c r="K525" t="s">
        <v>42</v>
      </c>
      <c r="L525" t="s">
        <v>43</v>
      </c>
      <c r="M525">
        <v>0</v>
      </c>
      <c r="N525" t="s">
        <v>569</v>
      </c>
      <c r="O525" t="s">
        <v>2050</v>
      </c>
      <c r="P525" s="7">
        <v>7.89</v>
      </c>
      <c r="Q525" s="1">
        <v>45536</v>
      </c>
      <c r="R525">
        <f>WEEKNUM(Table2[[#This Row],[OrderDate]])</f>
        <v>36</v>
      </c>
      <c r="S525" s="1">
        <v>45540</v>
      </c>
      <c r="T525" t="s">
        <v>2918</v>
      </c>
    </row>
    <row r="526" spans="1:20" x14ac:dyDescent="0.35">
      <c r="A526" s="1">
        <v>45668</v>
      </c>
      <c r="B526" t="s">
        <v>2932</v>
      </c>
      <c r="C526" t="s">
        <v>19</v>
      </c>
      <c r="D526" s="9">
        <v>6</v>
      </c>
      <c r="E526" s="7">
        <v>429.45</v>
      </c>
      <c r="F526" t="s">
        <v>26</v>
      </c>
      <c r="G526" t="s">
        <v>31</v>
      </c>
      <c r="H526" s="12">
        <v>0.1</v>
      </c>
      <c r="I526" t="s">
        <v>33</v>
      </c>
      <c r="J526" s="7">
        <f>Table2[[#This Row],[UnitPrice]]*Table2[[#This Row],[Quantity]]*(1-Table2[[#This Row],[Discount]])</f>
        <v>2319.0299999999997</v>
      </c>
      <c r="K526" t="s">
        <v>42</v>
      </c>
      <c r="L526" t="s">
        <v>2937</v>
      </c>
      <c r="M526">
        <v>0</v>
      </c>
      <c r="N526" t="s">
        <v>570</v>
      </c>
      <c r="O526" t="s">
        <v>2051</v>
      </c>
      <c r="P526" s="7">
        <v>47.18</v>
      </c>
      <c r="Q526" s="1">
        <v>45668</v>
      </c>
      <c r="R526">
        <f>WEEKNUM(Table2[[#This Row],[OrderDate]])</f>
        <v>2</v>
      </c>
      <c r="S526" s="1">
        <v>45675</v>
      </c>
      <c r="T526" t="s">
        <v>2918</v>
      </c>
    </row>
    <row r="527" spans="1:20" x14ac:dyDescent="0.35">
      <c r="A527" s="1">
        <v>45747</v>
      </c>
      <c r="B527" t="s">
        <v>2932</v>
      </c>
      <c r="C527" t="s">
        <v>20</v>
      </c>
      <c r="D527" s="9">
        <v>1</v>
      </c>
      <c r="E527" s="7">
        <v>476</v>
      </c>
      <c r="F527" t="s">
        <v>27</v>
      </c>
      <c r="G527" t="s">
        <v>30</v>
      </c>
      <c r="H527" s="12">
        <v>0.15</v>
      </c>
      <c r="I527" t="s">
        <v>35</v>
      </c>
      <c r="J527" s="7">
        <f>Table2[[#This Row],[UnitPrice]]*Table2[[#This Row],[Quantity]]*(1-Table2[[#This Row],[Discount]])</f>
        <v>404.59999999999997</v>
      </c>
      <c r="K527" t="s">
        <v>42</v>
      </c>
      <c r="L527" t="s">
        <v>43</v>
      </c>
      <c r="M527">
        <v>0</v>
      </c>
      <c r="N527" t="s">
        <v>571</v>
      </c>
      <c r="O527" t="s">
        <v>2052</v>
      </c>
      <c r="P527" s="7">
        <v>18.95</v>
      </c>
      <c r="Q527" s="1">
        <v>45747</v>
      </c>
      <c r="R527">
        <f>WEEKNUM(Table2[[#This Row],[OrderDate]])</f>
        <v>14</v>
      </c>
      <c r="S527" s="1">
        <v>45750</v>
      </c>
      <c r="T527" t="s">
        <v>2918</v>
      </c>
    </row>
    <row r="528" spans="1:20" x14ac:dyDescent="0.35">
      <c r="A528" s="1">
        <v>45624</v>
      </c>
      <c r="B528" t="s">
        <v>2932</v>
      </c>
      <c r="C528" t="s">
        <v>20</v>
      </c>
      <c r="D528" s="9">
        <v>13</v>
      </c>
      <c r="E528" s="7">
        <v>141.26</v>
      </c>
      <c r="F528" t="s">
        <v>26</v>
      </c>
      <c r="G528" t="s">
        <v>31</v>
      </c>
      <c r="H528" s="12">
        <v>0</v>
      </c>
      <c r="I528" t="s">
        <v>34</v>
      </c>
      <c r="J528" s="7">
        <f>Table2[[#This Row],[UnitPrice]]*Table2[[#This Row],[Quantity]]*(1-Table2[[#This Row],[Discount]])</f>
        <v>1836.3799999999999</v>
      </c>
      <c r="K528" t="s">
        <v>38</v>
      </c>
      <c r="L528" t="s">
        <v>2937</v>
      </c>
      <c r="M528">
        <v>0</v>
      </c>
      <c r="N528" t="s">
        <v>572</v>
      </c>
      <c r="O528" t="s">
        <v>1866</v>
      </c>
      <c r="P528" s="7">
        <v>23.68</v>
      </c>
      <c r="Q528" s="1">
        <v>45624</v>
      </c>
      <c r="R528">
        <f>WEEKNUM(Table2[[#This Row],[OrderDate]])</f>
        <v>48</v>
      </c>
      <c r="S528" s="1">
        <v>45631</v>
      </c>
      <c r="T528" t="s">
        <v>2918</v>
      </c>
    </row>
    <row r="529" spans="1:20" x14ac:dyDescent="0.35">
      <c r="A529" s="1">
        <v>45112</v>
      </c>
      <c r="B529" t="s">
        <v>2931</v>
      </c>
      <c r="C529" t="s">
        <v>22</v>
      </c>
      <c r="D529" s="9">
        <v>3</v>
      </c>
      <c r="E529" s="7">
        <v>250.65</v>
      </c>
      <c r="F529" t="s">
        <v>29</v>
      </c>
      <c r="G529" t="s">
        <v>31</v>
      </c>
      <c r="H529" s="12">
        <v>0.15</v>
      </c>
      <c r="I529" t="s">
        <v>32</v>
      </c>
      <c r="J529" s="7">
        <f>Table2[[#This Row],[UnitPrice]]*Table2[[#This Row],[Quantity]]*(1-Table2[[#This Row],[Discount]])</f>
        <v>639.15750000000003</v>
      </c>
      <c r="K529" t="s">
        <v>40</v>
      </c>
      <c r="L529" t="s">
        <v>44</v>
      </c>
      <c r="M529">
        <v>0</v>
      </c>
      <c r="N529" t="s">
        <v>573</v>
      </c>
      <c r="O529" t="s">
        <v>2053</v>
      </c>
      <c r="P529" s="7">
        <v>44.46</v>
      </c>
      <c r="Q529" s="1">
        <v>45112</v>
      </c>
      <c r="R529">
        <f>WEEKNUM(Table2[[#This Row],[OrderDate]])</f>
        <v>27</v>
      </c>
      <c r="S529" s="1">
        <v>45114</v>
      </c>
      <c r="T529" t="s">
        <v>2919</v>
      </c>
    </row>
    <row r="530" spans="1:20" x14ac:dyDescent="0.35">
      <c r="A530" s="1">
        <v>45589</v>
      </c>
      <c r="B530" t="s">
        <v>2933</v>
      </c>
      <c r="C530" t="s">
        <v>23</v>
      </c>
      <c r="D530" s="9">
        <v>19</v>
      </c>
      <c r="E530" s="7">
        <v>301.17</v>
      </c>
      <c r="F530" t="s">
        <v>29</v>
      </c>
      <c r="G530" t="s">
        <v>31</v>
      </c>
      <c r="H530" s="12">
        <v>0.05</v>
      </c>
      <c r="I530" t="s">
        <v>33</v>
      </c>
      <c r="J530" s="7">
        <f>Table2[[#This Row],[UnitPrice]]*Table2[[#This Row],[Quantity]]*(1-Table2[[#This Row],[Discount]])</f>
        <v>5436.1185000000005</v>
      </c>
      <c r="K530" t="s">
        <v>41</v>
      </c>
      <c r="L530" t="s">
        <v>45</v>
      </c>
      <c r="M530">
        <v>0</v>
      </c>
      <c r="N530" t="s">
        <v>574</v>
      </c>
      <c r="O530" t="s">
        <v>2054</v>
      </c>
      <c r="P530" s="7">
        <v>5.71</v>
      </c>
      <c r="Q530" s="1">
        <v>45589</v>
      </c>
      <c r="R530">
        <f>WEEKNUM(Table2[[#This Row],[OrderDate]])</f>
        <v>43</v>
      </c>
      <c r="S530" s="1">
        <v>45599</v>
      </c>
      <c r="T530" t="s">
        <v>2921</v>
      </c>
    </row>
    <row r="531" spans="1:20" x14ac:dyDescent="0.35">
      <c r="A531" s="1">
        <v>45755</v>
      </c>
      <c r="B531" t="s">
        <v>2931</v>
      </c>
      <c r="C531" t="s">
        <v>22</v>
      </c>
      <c r="D531" s="9">
        <v>7</v>
      </c>
      <c r="E531" s="7">
        <v>30.79</v>
      </c>
      <c r="F531" t="s">
        <v>28</v>
      </c>
      <c r="G531" t="s">
        <v>31</v>
      </c>
      <c r="H531" s="12">
        <v>0.1</v>
      </c>
      <c r="I531" t="s">
        <v>37</v>
      </c>
      <c r="J531" s="7">
        <f>Table2[[#This Row],[UnitPrice]]*Table2[[#This Row],[Quantity]]*(1-Table2[[#This Row],[Discount]])</f>
        <v>193.977</v>
      </c>
      <c r="K531" t="s">
        <v>42</v>
      </c>
      <c r="L531" t="s">
        <v>45</v>
      </c>
      <c r="M531">
        <v>1</v>
      </c>
      <c r="N531" t="s">
        <v>575</v>
      </c>
      <c r="O531" t="s">
        <v>2055</v>
      </c>
      <c r="P531" s="7">
        <v>11.39</v>
      </c>
      <c r="Q531" s="1">
        <v>45755</v>
      </c>
      <c r="R531">
        <f>WEEKNUM(Table2[[#This Row],[OrderDate]])</f>
        <v>15</v>
      </c>
      <c r="S531" s="1">
        <v>45763</v>
      </c>
      <c r="T531" t="s">
        <v>2919</v>
      </c>
    </row>
    <row r="532" spans="1:20" x14ac:dyDescent="0.35">
      <c r="A532" s="1">
        <v>45448</v>
      </c>
      <c r="B532" t="s">
        <v>2930</v>
      </c>
      <c r="C532" t="s">
        <v>19</v>
      </c>
      <c r="D532" s="9">
        <v>1</v>
      </c>
      <c r="E532" s="7">
        <v>561.6</v>
      </c>
      <c r="F532" t="s">
        <v>27</v>
      </c>
      <c r="G532" t="s">
        <v>30</v>
      </c>
      <c r="H532" s="12">
        <v>0.15</v>
      </c>
      <c r="I532" t="s">
        <v>33</v>
      </c>
      <c r="J532" s="7">
        <f>Table2[[#This Row],[UnitPrice]]*Table2[[#This Row],[Quantity]]*(1-Table2[[#This Row],[Discount]])</f>
        <v>477.36</v>
      </c>
      <c r="K532" t="s">
        <v>41</v>
      </c>
      <c r="L532" t="s">
        <v>44</v>
      </c>
      <c r="M532">
        <v>0</v>
      </c>
      <c r="N532" t="s">
        <v>576</v>
      </c>
      <c r="O532" t="s">
        <v>1677</v>
      </c>
      <c r="P532" s="7">
        <v>38.020000000000003</v>
      </c>
      <c r="Q532" s="1">
        <v>45448</v>
      </c>
      <c r="R532">
        <f>WEEKNUM(Table2[[#This Row],[OrderDate]])</f>
        <v>23</v>
      </c>
      <c r="S532" s="1">
        <v>45453</v>
      </c>
      <c r="T532" t="s">
        <v>2917</v>
      </c>
    </row>
    <row r="533" spans="1:20" x14ac:dyDescent="0.35">
      <c r="A533" s="1">
        <v>45680</v>
      </c>
      <c r="B533" t="s">
        <v>2933</v>
      </c>
      <c r="C533" t="s">
        <v>20</v>
      </c>
      <c r="D533" s="9">
        <v>16</v>
      </c>
      <c r="E533" s="7">
        <v>193.7</v>
      </c>
      <c r="F533" t="s">
        <v>27</v>
      </c>
      <c r="G533" t="s">
        <v>31</v>
      </c>
      <c r="H533" s="12">
        <v>0.15</v>
      </c>
      <c r="I533" t="s">
        <v>37</v>
      </c>
      <c r="J533" s="7">
        <f>Table2[[#This Row],[UnitPrice]]*Table2[[#This Row],[Quantity]]*(1-Table2[[#This Row],[Discount]])</f>
        <v>2634.3199999999997</v>
      </c>
      <c r="K533" t="s">
        <v>40</v>
      </c>
      <c r="L533" t="s">
        <v>44</v>
      </c>
      <c r="M533">
        <v>0</v>
      </c>
      <c r="N533" t="s">
        <v>577</v>
      </c>
      <c r="O533" t="s">
        <v>2056</v>
      </c>
      <c r="P533" s="7">
        <v>6.83</v>
      </c>
      <c r="Q533" s="1">
        <v>45680</v>
      </c>
      <c r="R533">
        <f>WEEKNUM(Table2[[#This Row],[OrderDate]])</f>
        <v>4</v>
      </c>
      <c r="S533" s="1">
        <v>45686</v>
      </c>
      <c r="T533" t="s">
        <v>2921</v>
      </c>
    </row>
    <row r="534" spans="1:20" x14ac:dyDescent="0.35">
      <c r="A534" s="1">
        <v>45600</v>
      </c>
      <c r="B534" t="s">
        <v>2934</v>
      </c>
      <c r="C534" t="s">
        <v>24</v>
      </c>
      <c r="D534" s="9">
        <v>17</v>
      </c>
      <c r="E534" s="7">
        <v>310.02999999999997</v>
      </c>
      <c r="F534" t="s">
        <v>29</v>
      </c>
      <c r="G534" t="s">
        <v>31</v>
      </c>
      <c r="H534" s="12">
        <v>0.05</v>
      </c>
      <c r="I534" t="s">
        <v>35</v>
      </c>
      <c r="J534" s="7">
        <f>Table2[[#This Row],[UnitPrice]]*Table2[[#This Row],[Quantity]]*(1-Table2[[#This Row],[Discount]])</f>
        <v>5006.9844999999987</v>
      </c>
      <c r="K534" t="s">
        <v>38</v>
      </c>
      <c r="L534" t="s">
        <v>43</v>
      </c>
      <c r="M534">
        <v>0</v>
      </c>
      <c r="N534" t="s">
        <v>578</v>
      </c>
      <c r="O534" t="s">
        <v>2057</v>
      </c>
      <c r="P534" s="7">
        <v>8.06</v>
      </c>
      <c r="Q534" s="1">
        <v>45600</v>
      </c>
      <c r="R534">
        <f>WEEKNUM(Table2[[#This Row],[OrderDate]])</f>
        <v>45</v>
      </c>
      <c r="S534" s="1">
        <v>45608</v>
      </c>
      <c r="T534" t="s">
        <v>2920</v>
      </c>
    </row>
    <row r="535" spans="1:20" x14ac:dyDescent="0.35">
      <c r="A535" s="1">
        <v>45292</v>
      </c>
      <c r="B535" t="s">
        <v>2933</v>
      </c>
      <c r="C535" t="s">
        <v>25</v>
      </c>
      <c r="D535" s="9">
        <v>13</v>
      </c>
      <c r="E535" s="7">
        <v>204.67</v>
      </c>
      <c r="F535" t="s">
        <v>27</v>
      </c>
      <c r="G535" t="s">
        <v>31</v>
      </c>
      <c r="H535" s="12">
        <v>0.15</v>
      </c>
      <c r="I535" t="s">
        <v>33</v>
      </c>
      <c r="J535" s="7">
        <f>Table2[[#This Row],[UnitPrice]]*Table2[[#This Row],[Quantity]]*(1-Table2[[#This Row],[Discount]])</f>
        <v>2261.6035000000002</v>
      </c>
      <c r="K535" t="s">
        <v>38</v>
      </c>
      <c r="L535" t="s">
        <v>2937</v>
      </c>
      <c r="M535">
        <v>0</v>
      </c>
      <c r="N535" t="s">
        <v>579</v>
      </c>
      <c r="O535" t="s">
        <v>2058</v>
      </c>
      <c r="P535" s="7">
        <v>6.76</v>
      </c>
      <c r="Q535" s="1">
        <v>45292</v>
      </c>
      <c r="R535">
        <f>WEEKNUM(Table2[[#This Row],[OrderDate]])</f>
        <v>1</v>
      </c>
      <c r="S535" s="1">
        <v>45296</v>
      </c>
      <c r="T535" t="s">
        <v>2921</v>
      </c>
    </row>
    <row r="536" spans="1:20" x14ac:dyDescent="0.35">
      <c r="A536" s="1">
        <v>45391</v>
      </c>
      <c r="B536" t="s">
        <v>2934</v>
      </c>
      <c r="C536" t="s">
        <v>25</v>
      </c>
      <c r="D536" s="9">
        <v>3</v>
      </c>
      <c r="E536" s="7">
        <v>250.11</v>
      </c>
      <c r="F536" t="s">
        <v>29</v>
      </c>
      <c r="G536" t="s">
        <v>30</v>
      </c>
      <c r="H536" s="12">
        <v>0</v>
      </c>
      <c r="I536" t="s">
        <v>33</v>
      </c>
      <c r="J536" s="7">
        <f>Table2[[#This Row],[UnitPrice]]*Table2[[#This Row],[Quantity]]*(1-Table2[[#This Row],[Discount]])</f>
        <v>750.33</v>
      </c>
      <c r="K536" t="s">
        <v>39</v>
      </c>
      <c r="L536" t="s">
        <v>43</v>
      </c>
      <c r="M536">
        <v>0</v>
      </c>
      <c r="N536" t="s">
        <v>580</v>
      </c>
      <c r="O536" t="s">
        <v>2059</v>
      </c>
      <c r="P536" s="7">
        <v>36.35</v>
      </c>
      <c r="Q536" s="1">
        <v>45391</v>
      </c>
      <c r="R536">
        <f>WEEKNUM(Table2[[#This Row],[OrderDate]])</f>
        <v>15</v>
      </c>
      <c r="S536" s="1">
        <v>45399</v>
      </c>
      <c r="T536" t="s">
        <v>2920</v>
      </c>
    </row>
    <row r="537" spans="1:20" x14ac:dyDescent="0.35">
      <c r="A537" s="1">
        <v>45674</v>
      </c>
      <c r="B537" t="s">
        <v>2931</v>
      </c>
      <c r="C537" t="s">
        <v>21</v>
      </c>
      <c r="D537" s="9">
        <v>12</v>
      </c>
      <c r="E537" s="7">
        <v>526.82000000000005</v>
      </c>
      <c r="F537" t="s">
        <v>27</v>
      </c>
      <c r="G537" t="s">
        <v>31</v>
      </c>
      <c r="H537" s="12">
        <v>0</v>
      </c>
      <c r="I537" t="s">
        <v>34</v>
      </c>
      <c r="J537" s="7">
        <f>Table2[[#This Row],[UnitPrice]]*Table2[[#This Row],[Quantity]]*(1-Table2[[#This Row],[Discount]])</f>
        <v>6321.84</v>
      </c>
      <c r="K537" t="s">
        <v>40</v>
      </c>
      <c r="L537" t="s">
        <v>45</v>
      </c>
      <c r="M537">
        <v>0</v>
      </c>
      <c r="N537" t="s">
        <v>581</v>
      </c>
      <c r="O537" t="s">
        <v>2060</v>
      </c>
      <c r="P537" s="7">
        <v>29.75</v>
      </c>
      <c r="Q537" s="1">
        <v>45674</v>
      </c>
      <c r="R537">
        <f>WEEKNUM(Table2[[#This Row],[OrderDate]])</f>
        <v>3</v>
      </c>
      <c r="S537" s="1">
        <v>45682</v>
      </c>
      <c r="T537" t="s">
        <v>2919</v>
      </c>
    </row>
    <row r="538" spans="1:20" x14ac:dyDescent="0.35">
      <c r="A538" s="1">
        <v>45557</v>
      </c>
      <c r="B538" t="s">
        <v>2930</v>
      </c>
      <c r="C538" t="s">
        <v>22</v>
      </c>
      <c r="D538" s="9">
        <v>18</v>
      </c>
      <c r="E538" s="7">
        <v>575.1</v>
      </c>
      <c r="F538" t="s">
        <v>29</v>
      </c>
      <c r="G538" t="s">
        <v>30</v>
      </c>
      <c r="H538" s="12">
        <v>0</v>
      </c>
      <c r="I538" t="s">
        <v>37</v>
      </c>
      <c r="J538" s="7">
        <f>Table2[[#This Row],[UnitPrice]]*Table2[[#This Row],[Quantity]]*(1-Table2[[#This Row],[Discount]])</f>
        <v>10351.800000000001</v>
      </c>
      <c r="K538" t="s">
        <v>38</v>
      </c>
      <c r="L538" t="s">
        <v>43</v>
      </c>
      <c r="M538">
        <v>0</v>
      </c>
      <c r="N538" t="s">
        <v>582</v>
      </c>
      <c r="O538" t="s">
        <v>2061</v>
      </c>
      <c r="P538" s="7">
        <v>35.32</v>
      </c>
      <c r="Q538" s="1">
        <v>45557</v>
      </c>
      <c r="R538">
        <f>WEEKNUM(Table2[[#This Row],[OrderDate]])</f>
        <v>39</v>
      </c>
      <c r="S538" s="1">
        <v>45564</v>
      </c>
      <c r="T538" t="s">
        <v>2917</v>
      </c>
    </row>
    <row r="539" spans="1:20" x14ac:dyDescent="0.35">
      <c r="A539" s="1">
        <v>44946</v>
      </c>
      <c r="B539" t="s">
        <v>2930</v>
      </c>
      <c r="C539" t="s">
        <v>23</v>
      </c>
      <c r="D539" s="9">
        <v>8</v>
      </c>
      <c r="E539" s="7">
        <v>325.52</v>
      </c>
      <c r="F539" t="s">
        <v>28</v>
      </c>
      <c r="G539" t="s">
        <v>31</v>
      </c>
      <c r="H539" s="12">
        <v>0.1</v>
      </c>
      <c r="I539" t="s">
        <v>34</v>
      </c>
      <c r="J539" s="7">
        <f>Table2[[#This Row],[UnitPrice]]*Table2[[#This Row],[Quantity]]*(1-Table2[[#This Row],[Discount]])</f>
        <v>2343.7440000000001</v>
      </c>
      <c r="K539" t="s">
        <v>41</v>
      </c>
      <c r="L539" t="s">
        <v>45</v>
      </c>
      <c r="M539">
        <v>0</v>
      </c>
      <c r="N539" t="s">
        <v>583</v>
      </c>
      <c r="O539" t="s">
        <v>2062</v>
      </c>
      <c r="P539" s="7">
        <v>45.59</v>
      </c>
      <c r="Q539" s="1">
        <v>44946</v>
      </c>
      <c r="R539">
        <f>WEEKNUM(Table2[[#This Row],[OrderDate]])</f>
        <v>3</v>
      </c>
      <c r="S539" s="1">
        <v>44951</v>
      </c>
      <c r="T539" t="s">
        <v>2917</v>
      </c>
    </row>
    <row r="540" spans="1:20" x14ac:dyDescent="0.35">
      <c r="A540" s="1">
        <v>45303</v>
      </c>
      <c r="B540" t="s">
        <v>2931</v>
      </c>
      <c r="C540" t="s">
        <v>23</v>
      </c>
      <c r="D540" s="9">
        <v>14</v>
      </c>
      <c r="E540" s="7">
        <v>157.13999999999999</v>
      </c>
      <c r="F540" t="s">
        <v>27</v>
      </c>
      <c r="G540" t="s">
        <v>30</v>
      </c>
      <c r="H540" s="12">
        <v>0.15</v>
      </c>
      <c r="I540" t="s">
        <v>36</v>
      </c>
      <c r="J540" s="7">
        <f>Table2[[#This Row],[UnitPrice]]*Table2[[#This Row],[Quantity]]*(1-Table2[[#This Row],[Discount]])</f>
        <v>1869.9659999999999</v>
      </c>
      <c r="K540" t="s">
        <v>39</v>
      </c>
      <c r="L540" t="s">
        <v>44</v>
      </c>
      <c r="M540">
        <v>0</v>
      </c>
      <c r="N540" t="s">
        <v>584</v>
      </c>
      <c r="O540" t="s">
        <v>2063</v>
      </c>
      <c r="P540" s="7">
        <v>36.04</v>
      </c>
      <c r="Q540" s="1">
        <v>45303</v>
      </c>
      <c r="R540">
        <f>WEEKNUM(Table2[[#This Row],[OrderDate]])</f>
        <v>2</v>
      </c>
      <c r="S540" s="1">
        <v>45313</v>
      </c>
      <c r="T540" t="s">
        <v>2919</v>
      </c>
    </row>
    <row r="541" spans="1:20" x14ac:dyDescent="0.35">
      <c r="A541" s="1">
        <v>45390</v>
      </c>
      <c r="B541" t="s">
        <v>2934</v>
      </c>
      <c r="C541" t="s">
        <v>19</v>
      </c>
      <c r="D541" s="9">
        <v>10</v>
      </c>
      <c r="E541" s="7">
        <v>100.26</v>
      </c>
      <c r="F541" t="s">
        <v>29</v>
      </c>
      <c r="G541" t="s">
        <v>30</v>
      </c>
      <c r="H541" s="12">
        <v>0.05</v>
      </c>
      <c r="I541" t="s">
        <v>35</v>
      </c>
      <c r="J541" s="7">
        <f>Table2[[#This Row],[UnitPrice]]*Table2[[#This Row],[Quantity]]*(1-Table2[[#This Row],[Discount]])</f>
        <v>952.47</v>
      </c>
      <c r="K541" t="s">
        <v>39</v>
      </c>
      <c r="L541" t="s">
        <v>44</v>
      </c>
      <c r="M541">
        <v>0</v>
      </c>
      <c r="N541" t="s">
        <v>585</v>
      </c>
      <c r="O541" t="s">
        <v>2064</v>
      </c>
      <c r="P541" s="7">
        <v>36.71</v>
      </c>
      <c r="Q541" s="1">
        <v>45390</v>
      </c>
      <c r="R541">
        <f>WEEKNUM(Table2[[#This Row],[OrderDate]])</f>
        <v>15</v>
      </c>
      <c r="S541" s="1">
        <v>45397</v>
      </c>
      <c r="T541" t="s">
        <v>2920</v>
      </c>
    </row>
    <row r="542" spans="1:20" x14ac:dyDescent="0.35">
      <c r="A542" s="1">
        <v>45043</v>
      </c>
      <c r="B542" t="s">
        <v>2934</v>
      </c>
      <c r="C542" t="s">
        <v>19</v>
      </c>
      <c r="D542" s="9">
        <v>9</v>
      </c>
      <c r="E542" s="7">
        <v>554.48</v>
      </c>
      <c r="F542" t="s">
        <v>28</v>
      </c>
      <c r="G542" t="s">
        <v>30</v>
      </c>
      <c r="H542" s="12">
        <v>0</v>
      </c>
      <c r="I542" t="s">
        <v>35</v>
      </c>
      <c r="J542" s="7">
        <f>Table2[[#This Row],[UnitPrice]]*Table2[[#This Row],[Quantity]]*(1-Table2[[#This Row],[Discount]])</f>
        <v>4990.32</v>
      </c>
      <c r="K542" t="s">
        <v>38</v>
      </c>
      <c r="L542" t="s">
        <v>2937</v>
      </c>
      <c r="M542">
        <v>0</v>
      </c>
      <c r="N542" t="s">
        <v>586</v>
      </c>
      <c r="O542" t="s">
        <v>2065</v>
      </c>
      <c r="P542" s="7">
        <v>48.26</v>
      </c>
      <c r="Q542" s="1">
        <v>45043</v>
      </c>
      <c r="R542">
        <f>WEEKNUM(Table2[[#This Row],[OrderDate]])</f>
        <v>17</v>
      </c>
      <c r="S542" s="1">
        <v>45047</v>
      </c>
      <c r="T542" t="s">
        <v>2920</v>
      </c>
    </row>
    <row r="543" spans="1:20" x14ac:dyDescent="0.35">
      <c r="A543" s="1">
        <v>45490</v>
      </c>
      <c r="B543" t="s">
        <v>2931</v>
      </c>
      <c r="C543" t="s">
        <v>20</v>
      </c>
      <c r="D543" s="9">
        <v>4</v>
      </c>
      <c r="E543" s="7">
        <v>375.96</v>
      </c>
      <c r="F543" t="s">
        <v>28</v>
      </c>
      <c r="G543" t="s">
        <v>31</v>
      </c>
      <c r="H543" s="12">
        <v>0.15</v>
      </c>
      <c r="I543" t="s">
        <v>35</v>
      </c>
      <c r="J543" s="7">
        <f>Table2[[#This Row],[UnitPrice]]*Table2[[#This Row],[Quantity]]*(1-Table2[[#This Row],[Discount]])</f>
        <v>1278.2639999999999</v>
      </c>
      <c r="K543" t="s">
        <v>41</v>
      </c>
      <c r="L543" t="s">
        <v>2937</v>
      </c>
      <c r="M543">
        <v>0</v>
      </c>
      <c r="N543" t="s">
        <v>587</v>
      </c>
      <c r="O543" t="s">
        <v>2066</v>
      </c>
      <c r="P543" s="7">
        <v>44.99</v>
      </c>
      <c r="Q543" s="1">
        <v>45490</v>
      </c>
      <c r="R543">
        <f>WEEKNUM(Table2[[#This Row],[OrderDate]])</f>
        <v>29</v>
      </c>
      <c r="S543" s="1">
        <v>45498</v>
      </c>
      <c r="T543" t="s">
        <v>2919</v>
      </c>
    </row>
    <row r="544" spans="1:20" x14ac:dyDescent="0.35">
      <c r="A544" s="1">
        <v>45339</v>
      </c>
      <c r="B544" t="s">
        <v>2934</v>
      </c>
      <c r="C544" t="s">
        <v>23</v>
      </c>
      <c r="D544" s="9">
        <v>14</v>
      </c>
      <c r="E544" s="7">
        <v>485.21</v>
      </c>
      <c r="F544" t="s">
        <v>27</v>
      </c>
      <c r="G544" t="s">
        <v>31</v>
      </c>
      <c r="H544" s="12">
        <v>0</v>
      </c>
      <c r="I544" t="s">
        <v>34</v>
      </c>
      <c r="J544" s="7">
        <f>Table2[[#This Row],[UnitPrice]]*Table2[[#This Row],[Quantity]]*(1-Table2[[#This Row],[Discount]])</f>
        <v>6792.94</v>
      </c>
      <c r="K544" t="s">
        <v>38</v>
      </c>
      <c r="L544" t="s">
        <v>43</v>
      </c>
      <c r="M544">
        <v>0</v>
      </c>
      <c r="N544" t="s">
        <v>588</v>
      </c>
      <c r="O544" t="s">
        <v>2067</v>
      </c>
      <c r="P544" s="7">
        <v>41.72</v>
      </c>
      <c r="Q544" s="1">
        <v>45339</v>
      </c>
      <c r="R544">
        <f>WEEKNUM(Table2[[#This Row],[OrderDate]])</f>
        <v>7</v>
      </c>
      <c r="S544" s="1">
        <v>45345</v>
      </c>
      <c r="T544" t="s">
        <v>2920</v>
      </c>
    </row>
    <row r="545" spans="1:20" x14ac:dyDescent="0.35">
      <c r="A545" s="1">
        <v>45316</v>
      </c>
      <c r="B545" t="s">
        <v>2932</v>
      </c>
      <c r="C545" t="s">
        <v>23</v>
      </c>
      <c r="D545" s="9">
        <v>9</v>
      </c>
      <c r="E545" s="7">
        <v>372.44</v>
      </c>
      <c r="F545" t="s">
        <v>27</v>
      </c>
      <c r="G545" t="s">
        <v>30</v>
      </c>
      <c r="H545" s="12">
        <v>0.05</v>
      </c>
      <c r="I545" t="s">
        <v>36</v>
      </c>
      <c r="J545" s="7">
        <f>Table2[[#This Row],[UnitPrice]]*Table2[[#This Row],[Quantity]]*(1-Table2[[#This Row],[Discount]])</f>
        <v>3184.3620000000001</v>
      </c>
      <c r="K545" t="s">
        <v>39</v>
      </c>
      <c r="L545" t="s">
        <v>43</v>
      </c>
      <c r="M545">
        <v>0</v>
      </c>
      <c r="N545" t="s">
        <v>589</v>
      </c>
      <c r="O545" t="s">
        <v>2068</v>
      </c>
      <c r="P545" s="7">
        <v>41.87</v>
      </c>
      <c r="Q545" s="1">
        <v>45316</v>
      </c>
      <c r="R545">
        <f>WEEKNUM(Table2[[#This Row],[OrderDate]])</f>
        <v>4</v>
      </c>
      <c r="S545" s="1">
        <v>45324</v>
      </c>
      <c r="T545" t="s">
        <v>2918</v>
      </c>
    </row>
    <row r="546" spans="1:20" x14ac:dyDescent="0.35">
      <c r="A546" s="1">
        <v>45375</v>
      </c>
      <c r="B546" t="s">
        <v>2934</v>
      </c>
      <c r="C546" t="s">
        <v>19</v>
      </c>
      <c r="D546" s="9">
        <v>7</v>
      </c>
      <c r="E546" s="7">
        <v>140.53</v>
      </c>
      <c r="F546" t="s">
        <v>29</v>
      </c>
      <c r="G546" t="s">
        <v>31</v>
      </c>
      <c r="H546" s="12">
        <v>0</v>
      </c>
      <c r="I546" t="s">
        <v>34</v>
      </c>
      <c r="J546" s="7">
        <f>Table2[[#This Row],[UnitPrice]]*Table2[[#This Row],[Quantity]]*(1-Table2[[#This Row],[Discount]])</f>
        <v>983.71</v>
      </c>
      <c r="K546" t="s">
        <v>41</v>
      </c>
      <c r="L546" t="s">
        <v>2937</v>
      </c>
      <c r="M546">
        <v>1</v>
      </c>
      <c r="N546" t="s">
        <v>590</v>
      </c>
      <c r="O546" t="s">
        <v>2069</v>
      </c>
      <c r="P546" s="7">
        <v>24.53</v>
      </c>
      <c r="Q546" s="1">
        <v>45375</v>
      </c>
      <c r="R546">
        <f>WEEKNUM(Table2[[#This Row],[OrderDate]])</f>
        <v>13</v>
      </c>
      <c r="S546" s="1">
        <v>45384</v>
      </c>
      <c r="T546" t="s">
        <v>2920</v>
      </c>
    </row>
    <row r="547" spans="1:20" x14ac:dyDescent="0.35">
      <c r="A547" s="1">
        <v>45102</v>
      </c>
      <c r="B547" t="s">
        <v>2931</v>
      </c>
      <c r="C547" t="s">
        <v>21</v>
      </c>
      <c r="D547" s="9">
        <v>15</v>
      </c>
      <c r="E547" s="7">
        <v>365.61</v>
      </c>
      <c r="F547" t="s">
        <v>29</v>
      </c>
      <c r="G547" t="s">
        <v>31</v>
      </c>
      <c r="H547" s="12">
        <v>0.15</v>
      </c>
      <c r="I547" t="s">
        <v>37</v>
      </c>
      <c r="J547" s="7">
        <f>Table2[[#This Row],[UnitPrice]]*Table2[[#This Row],[Quantity]]*(1-Table2[[#This Row],[Discount]])</f>
        <v>4661.5275000000001</v>
      </c>
      <c r="K547" t="s">
        <v>42</v>
      </c>
      <c r="L547" t="s">
        <v>43</v>
      </c>
      <c r="M547">
        <v>0</v>
      </c>
      <c r="N547" t="s">
        <v>591</v>
      </c>
      <c r="O547" t="s">
        <v>2070</v>
      </c>
      <c r="P547" s="7">
        <v>35.840000000000003</v>
      </c>
      <c r="Q547" s="1">
        <v>45102</v>
      </c>
      <c r="R547">
        <f>WEEKNUM(Table2[[#This Row],[OrderDate]])</f>
        <v>26</v>
      </c>
      <c r="S547" s="1">
        <v>45104</v>
      </c>
      <c r="T547" t="s">
        <v>2919</v>
      </c>
    </row>
    <row r="548" spans="1:20" x14ac:dyDescent="0.35">
      <c r="A548" s="1">
        <v>45033</v>
      </c>
      <c r="B548" t="s">
        <v>2932</v>
      </c>
      <c r="C548" t="s">
        <v>19</v>
      </c>
      <c r="D548" s="9">
        <v>20</v>
      </c>
      <c r="E548" s="7">
        <v>353.97</v>
      </c>
      <c r="F548" t="s">
        <v>26</v>
      </c>
      <c r="G548" t="s">
        <v>30</v>
      </c>
      <c r="H548" s="12">
        <v>0.15</v>
      </c>
      <c r="I548" t="s">
        <v>34</v>
      </c>
      <c r="J548" s="7">
        <f>Table2[[#This Row],[UnitPrice]]*Table2[[#This Row],[Quantity]]*(1-Table2[[#This Row],[Discount]])</f>
        <v>6017.4900000000007</v>
      </c>
      <c r="K548" t="s">
        <v>42</v>
      </c>
      <c r="L548" t="s">
        <v>45</v>
      </c>
      <c r="M548">
        <v>1</v>
      </c>
      <c r="N548" t="s">
        <v>592</v>
      </c>
      <c r="O548" t="s">
        <v>2071</v>
      </c>
      <c r="P548" s="7">
        <v>22.05</v>
      </c>
      <c r="Q548" s="1">
        <v>45033</v>
      </c>
      <c r="R548">
        <f>WEEKNUM(Table2[[#This Row],[OrderDate]])</f>
        <v>16</v>
      </c>
      <c r="S548" s="1">
        <v>45036</v>
      </c>
      <c r="T548" t="s">
        <v>2918</v>
      </c>
    </row>
    <row r="549" spans="1:20" x14ac:dyDescent="0.35">
      <c r="A549" s="1">
        <v>45105</v>
      </c>
      <c r="B549" t="s">
        <v>2930</v>
      </c>
      <c r="C549" t="s">
        <v>22</v>
      </c>
      <c r="D549" s="9">
        <v>14</v>
      </c>
      <c r="E549" s="7">
        <v>293.31</v>
      </c>
      <c r="F549" t="s">
        <v>29</v>
      </c>
      <c r="G549" t="s">
        <v>30</v>
      </c>
      <c r="H549" s="12">
        <v>0</v>
      </c>
      <c r="I549" t="s">
        <v>33</v>
      </c>
      <c r="J549" s="7">
        <f>Table2[[#This Row],[UnitPrice]]*Table2[[#This Row],[Quantity]]*(1-Table2[[#This Row],[Discount]])</f>
        <v>4106.34</v>
      </c>
      <c r="K549" t="s">
        <v>39</v>
      </c>
      <c r="L549" t="s">
        <v>2937</v>
      </c>
      <c r="M549">
        <v>0</v>
      </c>
      <c r="N549" t="s">
        <v>593</v>
      </c>
      <c r="O549" t="s">
        <v>2072</v>
      </c>
      <c r="P549" s="7">
        <v>21.61</v>
      </c>
      <c r="Q549" s="1">
        <v>45105</v>
      </c>
      <c r="R549">
        <f>WEEKNUM(Table2[[#This Row],[OrderDate]])</f>
        <v>26</v>
      </c>
      <c r="S549" s="1">
        <v>45107</v>
      </c>
      <c r="T549" t="s">
        <v>2917</v>
      </c>
    </row>
    <row r="550" spans="1:20" x14ac:dyDescent="0.35">
      <c r="A550" s="1">
        <v>45388</v>
      </c>
      <c r="B550" t="s">
        <v>2934</v>
      </c>
      <c r="C550" t="s">
        <v>22</v>
      </c>
      <c r="D550" s="9">
        <v>10</v>
      </c>
      <c r="E550" s="7">
        <v>397.39</v>
      </c>
      <c r="F550" t="s">
        <v>29</v>
      </c>
      <c r="G550" t="s">
        <v>31</v>
      </c>
      <c r="H550" s="12">
        <v>0.15</v>
      </c>
      <c r="I550" t="s">
        <v>33</v>
      </c>
      <c r="J550" s="7">
        <f>Table2[[#This Row],[UnitPrice]]*Table2[[#This Row],[Quantity]]*(1-Table2[[#This Row],[Discount]])</f>
        <v>3377.8149999999996</v>
      </c>
      <c r="K550" t="s">
        <v>39</v>
      </c>
      <c r="L550" t="s">
        <v>2937</v>
      </c>
      <c r="M550">
        <v>0</v>
      </c>
      <c r="N550" t="s">
        <v>594</v>
      </c>
      <c r="O550" t="s">
        <v>2073</v>
      </c>
      <c r="P550" s="7">
        <v>25.27</v>
      </c>
      <c r="Q550" s="1">
        <v>45388</v>
      </c>
      <c r="R550">
        <f>WEEKNUM(Table2[[#This Row],[OrderDate]])</f>
        <v>14</v>
      </c>
      <c r="S550" s="1">
        <v>45398</v>
      </c>
      <c r="T550" t="s">
        <v>2920</v>
      </c>
    </row>
    <row r="551" spans="1:20" x14ac:dyDescent="0.35">
      <c r="A551" s="1">
        <v>45705</v>
      </c>
      <c r="B551" t="s">
        <v>2932</v>
      </c>
      <c r="C551" t="s">
        <v>22</v>
      </c>
      <c r="D551" s="9">
        <v>2</v>
      </c>
      <c r="E551" s="7">
        <v>98.35</v>
      </c>
      <c r="F551" t="s">
        <v>28</v>
      </c>
      <c r="G551" t="s">
        <v>31</v>
      </c>
      <c r="H551" s="12">
        <v>0</v>
      </c>
      <c r="I551" t="s">
        <v>32</v>
      </c>
      <c r="J551" s="7">
        <f>Table2[[#This Row],[UnitPrice]]*Table2[[#This Row],[Quantity]]*(1-Table2[[#This Row],[Discount]])</f>
        <v>196.7</v>
      </c>
      <c r="K551" t="s">
        <v>41</v>
      </c>
      <c r="L551" t="s">
        <v>43</v>
      </c>
      <c r="M551">
        <v>0</v>
      </c>
      <c r="N551" t="s">
        <v>595</v>
      </c>
      <c r="O551" t="s">
        <v>2074</v>
      </c>
      <c r="P551" s="7">
        <v>28.65</v>
      </c>
      <c r="Q551" s="1">
        <v>45705</v>
      </c>
      <c r="R551">
        <f>WEEKNUM(Table2[[#This Row],[OrderDate]])</f>
        <v>8</v>
      </c>
      <c r="S551" s="1">
        <v>45707</v>
      </c>
      <c r="T551" t="s">
        <v>2918</v>
      </c>
    </row>
    <row r="552" spans="1:20" x14ac:dyDescent="0.35">
      <c r="A552" s="1">
        <v>44934</v>
      </c>
      <c r="B552" t="s">
        <v>2932</v>
      </c>
      <c r="C552" t="s">
        <v>21</v>
      </c>
      <c r="D552" s="9">
        <v>6</v>
      </c>
      <c r="E552" s="7">
        <v>581.66999999999996</v>
      </c>
      <c r="F552" t="s">
        <v>27</v>
      </c>
      <c r="G552" t="s">
        <v>30</v>
      </c>
      <c r="H552" s="12">
        <v>0</v>
      </c>
      <c r="I552" t="s">
        <v>34</v>
      </c>
      <c r="J552" s="7">
        <f>Table2[[#This Row],[UnitPrice]]*Table2[[#This Row],[Quantity]]*(1-Table2[[#This Row],[Discount]])</f>
        <v>3490.0199999999995</v>
      </c>
      <c r="K552" t="s">
        <v>41</v>
      </c>
      <c r="L552" t="s">
        <v>2937</v>
      </c>
      <c r="M552">
        <v>0</v>
      </c>
      <c r="N552" t="s">
        <v>596</v>
      </c>
      <c r="O552" t="s">
        <v>2075</v>
      </c>
      <c r="P552" s="7">
        <v>39.4</v>
      </c>
      <c r="Q552" s="1">
        <v>44934</v>
      </c>
      <c r="R552">
        <f>WEEKNUM(Table2[[#This Row],[OrderDate]])</f>
        <v>2</v>
      </c>
      <c r="S552" s="1">
        <v>44937</v>
      </c>
      <c r="T552" t="s">
        <v>2918</v>
      </c>
    </row>
    <row r="553" spans="1:20" x14ac:dyDescent="0.35">
      <c r="A553" s="1">
        <v>45281</v>
      </c>
      <c r="B553" t="s">
        <v>2932</v>
      </c>
      <c r="C553" t="s">
        <v>20</v>
      </c>
      <c r="D553" s="9">
        <v>19</v>
      </c>
      <c r="E553" s="7">
        <v>30.41</v>
      </c>
      <c r="F553" t="s">
        <v>29</v>
      </c>
      <c r="G553" t="s">
        <v>31</v>
      </c>
      <c r="H553" s="12">
        <v>0.05</v>
      </c>
      <c r="I553" t="s">
        <v>34</v>
      </c>
      <c r="J553" s="7">
        <f>Table2[[#This Row],[UnitPrice]]*Table2[[#This Row],[Quantity]]*(1-Table2[[#This Row],[Discount]])</f>
        <v>548.90049999999997</v>
      </c>
      <c r="K553" t="s">
        <v>41</v>
      </c>
      <c r="L553" t="s">
        <v>43</v>
      </c>
      <c r="M553">
        <v>0</v>
      </c>
      <c r="N553" t="s">
        <v>597</v>
      </c>
      <c r="O553" t="s">
        <v>2076</v>
      </c>
      <c r="P553" s="7">
        <v>48.33</v>
      </c>
      <c r="Q553" s="1">
        <v>45281</v>
      </c>
      <c r="R553">
        <f>WEEKNUM(Table2[[#This Row],[OrderDate]])</f>
        <v>51</v>
      </c>
      <c r="S553" s="1">
        <v>45291</v>
      </c>
      <c r="T553" t="s">
        <v>2918</v>
      </c>
    </row>
    <row r="554" spans="1:20" x14ac:dyDescent="0.35">
      <c r="A554" s="1">
        <v>45486</v>
      </c>
      <c r="B554" t="s">
        <v>2931</v>
      </c>
      <c r="C554" t="s">
        <v>23</v>
      </c>
      <c r="D554" s="9">
        <v>15</v>
      </c>
      <c r="E554" s="7">
        <v>368.79</v>
      </c>
      <c r="F554" t="s">
        <v>28</v>
      </c>
      <c r="G554" t="s">
        <v>30</v>
      </c>
      <c r="H554" s="12">
        <v>0.1</v>
      </c>
      <c r="I554" t="s">
        <v>37</v>
      </c>
      <c r="J554" s="7">
        <f>Table2[[#This Row],[UnitPrice]]*Table2[[#This Row],[Quantity]]*(1-Table2[[#This Row],[Discount]])</f>
        <v>4978.6650000000009</v>
      </c>
      <c r="K554" t="s">
        <v>39</v>
      </c>
      <c r="L554" t="s">
        <v>45</v>
      </c>
      <c r="M554">
        <v>0</v>
      </c>
      <c r="N554" t="s">
        <v>598</v>
      </c>
      <c r="O554" t="s">
        <v>2077</v>
      </c>
      <c r="P554" s="7">
        <v>16.899999999999999</v>
      </c>
      <c r="Q554" s="1">
        <v>45486</v>
      </c>
      <c r="R554">
        <f>WEEKNUM(Table2[[#This Row],[OrderDate]])</f>
        <v>28</v>
      </c>
      <c r="S554" s="1">
        <v>45488</v>
      </c>
      <c r="T554" t="s">
        <v>2919</v>
      </c>
    </row>
    <row r="555" spans="1:20" x14ac:dyDescent="0.35">
      <c r="A555" s="1">
        <v>45374</v>
      </c>
      <c r="B555" t="s">
        <v>2933</v>
      </c>
      <c r="C555" t="s">
        <v>23</v>
      </c>
      <c r="D555" s="9">
        <v>4</v>
      </c>
      <c r="E555" s="7">
        <v>56.06</v>
      </c>
      <c r="F555" t="s">
        <v>29</v>
      </c>
      <c r="G555" t="s">
        <v>31</v>
      </c>
      <c r="H555" s="12">
        <v>0.15</v>
      </c>
      <c r="I555" t="s">
        <v>35</v>
      </c>
      <c r="J555" s="7">
        <f>Table2[[#This Row],[UnitPrice]]*Table2[[#This Row],[Quantity]]*(1-Table2[[#This Row],[Discount]])</f>
        <v>190.60400000000001</v>
      </c>
      <c r="K555" t="s">
        <v>42</v>
      </c>
      <c r="L555" t="s">
        <v>44</v>
      </c>
      <c r="M555">
        <v>0</v>
      </c>
      <c r="N555" t="s">
        <v>599</v>
      </c>
      <c r="O555" t="s">
        <v>2078</v>
      </c>
      <c r="P555" s="7">
        <v>10.77</v>
      </c>
      <c r="Q555" s="1">
        <v>45374</v>
      </c>
      <c r="R555">
        <f>WEEKNUM(Table2[[#This Row],[OrderDate]])</f>
        <v>12</v>
      </c>
      <c r="S555" s="1">
        <v>45383</v>
      </c>
      <c r="T555" t="s">
        <v>2921</v>
      </c>
    </row>
    <row r="556" spans="1:20" x14ac:dyDescent="0.35">
      <c r="A556" s="1">
        <v>45370</v>
      </c>
      <c r="B556" t="s">
        <v>2933</v>
      </c>
      <c r="C556" t="s">
        <v>22</v>
      </c>
      <c r="D556" s="9">
        <v>7</v>
      </c>
      <c r="E556" s="7">
        <v>15.65</v>
      </c>
      <c r="F556" t="s">
        <v>29</v>
      </c>
      <c r="G556" t="s">
        <v>30</v>
      </c>
      <c r="H556" s="12">
        <v>0</v>
      </c>
      <c r="I556" t="s">
        <v>35</v>
      </c>
      <c r="J556" s="7">
        <f>Table2[[#This Row],[UnitPrice]]*Table2[[#This Row],[Quantity]]*(1-Table2[[#This Row],[Discount]])</f>
        <v>109.55</v>
      </c>
      <c r="K556" t="s">
        <v>41</v>
      </c>
      <c r="L556" t="s">
        <v>2937</v>
      </c>
      <c r="M556">
        <v>0</v>
      </c>
      <c r="N556" t="s">
        <v>600</v>
      </c>
      <c r="O556" t="s">
        <v>2079</v>
      </c>
      <c r="P556" s="7">
        <v>13.28</v>
      </c>
      <c r="Q556" s="1">
        <v>45370</v>
      </c>
      <c r="R556">
        <f>WEEKNUM(Table2[[#This Row],[OrderDate]])</f>
        <v>12</v>
      </c>
      <c r="S556" s="1">
        <v>45376</v>
      </c>
      <c r="T556" t="s">
        <v>2921</v>
      </c>
    </row>
    <row r="557" spans="1:20" x14ac:dyDescent="0.35">
      <c r="A557" s="1">
        <v>45797</v>
      </c>
      <c r="B557" t="s">
        <v>2934</v>
      </c>
      <c r="C557" t="s">
        <v>24</v>
      </c>
      <c r="D557" s="9">
        <v>9</v>
      </c>
      <c r="E557" s="7">
        <v>380.85</v>
      </c>
      <c r="F557" t="s">
        <v>26</v>
      </c>
      <c r="G557" t="s">
        <v>30</v>
      </c>
      <c r="H557" s="12">
        <v>0</v>
      </c>
      <c r="I557" t="s">
        <v>35</v>
      </c>
      <c r="J557" s="7">
        <f>Table2[[#This Row],[UnitPrice]]*Table2[[#This Row],[Quantity]]*(1-Table2[[#This Row],[Discount]])</f>
        <v>3427.65</v>
      </c>
      <c r="K557" t="s">
        <v>42</v>
      </c>
      <c r="L557" t="s">
        <v>43</v>
      </c>
      <c r="M557">
        <v>0</v>
      </c>
      <c r="N557" t="s">
        <v>601</v>
      </c>
      <c r="O557" t="s">
        <v>1926</v>
      </c>
      <c r="P557" s="7">
        <v>33.4</v>
      </c>
      <c r="Q557" s="1">
        <v>45797</v>
      </c>
      <c r="R557">
        <f>WEEKNUM(Table2[[#This Row],[OrderDate]])</f>
        <v>21</v>
      </c>
      <c r="S557" s="1">
        <v>45806</v>
      </c>
      <c r="T557" t="s">
        <v>2920</v>
      </c>
    </row>
    <row r="558" spans="1:20" x14ac:dyDescent="0.35">
      <c r="A558" s="1">
        <v>45676</v>
      </c>
      <c r="B558" t="s">
        <v>2932</v>
      </c>
      <c r="C558" t="s">
        <v>22</v>
      </c>
      <c r="D558" s="9">
        <v>11</v>
      </c>
      <c r="E558" s="7">
        <v>587.21</v>
      </c>
      <c r="F558" t="s">
        <v>28</v>
      </c>
      <c r="G558" t="s">
        <v>30</v>
      </c>
      <c r="H558" s="12">
        <v>0</v>
      </c>
      <c r="I558" t="s">
        <v>35</v>
      </c>
      <c r="J558" s="7">
        <f>Table2[[#This Row],[UnitPrice]]*Table2[[#This Row],[Quantity]]*(1-Table2[[#This Row],[Discount]])</f>
        <v>6459.31</v>
      </c>
      <c r="K558" t="s">
        <v>41</v>
      </c>
      <c r="L558" t="s">
        <v>45</v>
      </c>
      <c r="M558">
        <v>0</v>
      </c>
      <c r="N558" t="s">
        <v>602</v>
      </c>
      <c r="O558" t="s">
        <v>2080</v>
      </c>
      <c r="P558" s="7">
        <v>34.32</v>
      </c>
      <c r="Q558" s="1">
        <v>45676</v>
      </c>
      <c r="R558">
        <f>WEEKNUM(Table2[[#This Row],[OrderDate]])</f>
        <v>4</v>
      </c>
      <c r="S558" s="1">
        <v>45683</v>
      </c>
      <c r="T558" t="s">
        <v>2918</v>
      </c>
    </row>
    <row r="559" spans="1:20" x14ac:dyDescent="0.35">
      <c r="A559" s="1">
        <v>45074</v>
      </c>
      <c r="B559" t="s">
        <v>2932</v>
      </c>
      <c r="C559" t="s">
        <v>25</v>
      </c>
      <c r="D559" s="9">
        <v>17</v>
      </c>
      <c r="E559" s="7">
        <v>554.25</v>
      </c>
      <c r="F559" t="s">
        <v>27</v>
      </c>
      <c r="G559" t="s">
        <v>30</v>
      </c>
      <c r="H559" s="12">
        <v>0.1</v>
      </c>
      <c r="I559" t="s">
        <v>36</v>
      </c>
      <c r="J559" s="7">
        <f>Table2[[#This Row],[UnitPrice]]*Table2[[#This Row],[Quantity]]*(1-Table2[[#This Row],[Discount]])</f>
        <v>8480.0249999999996</v>
      </c>
      <c r="K559" t="s">
        <v>41</v>
      </c>
      <c r="L559" t="s">
        <v>2937</v>
      </c>
      <c r="M559">
        <v>0</v>
      </c>
      <c r="N559" t="s">
        <v>603</v>
      </c>
      <c r="O559" t="s">
        <v>2081</v>
      </c>
      <c r="P559" s="7">
        <v>8.66</v>
      </c>
      <c r="Q559" s="1">
        <v>45074</v>
      </c>
      <c r="R559">
        <f>WEEKNUM(Table2[[#This Row],[OrderDate]])</f>
        <v>22</v>
      </c>
      <c r="S559" s="1">
        <v>45078</v>
      </c>
      <c r="T559" t="s">
        <v>2918</v>
      </c>
    </row>
    <row r="560" spans="1:20" x14ac:dyDescent="0.35">
      <c r="A560" s="1">
        <v>45227</v>
      </c>
      <c r="B560" t="s">
        <v>2930</v>
      </c>
      <c r="C560" t="s">
        <v>25</v>
      </c>
      <c r="D560" s="9">
        <v>3</v>
      </c>
      <c r="E560" s="7">
        <v>410.23</v>
      </c>
      <c r="F560" t="s">
        <v>27</v>
      </c>
      <c r="G560" t="s">
        <v>30</v>
      </c>
      <c r="H560" s="12">
        <v>0.15</v>
      </c>
      <c r="I560" t="s">
        <v>36</v>
      </c>
      <c r="J560" s="7">
        <f>Table2[[#This Row],[UnitPrice]]*Table2[[#This Row],[Quantity]]*(1-Table2[[#This Row],[Discount]])</f>
        <v>1046.0865000000001</v>
      </c>
      <c r="K560" t="s">
        <v>40</v>
      </c>
      <c r="L560" t="s">
        <v>43</v>
      </c>
      <c r="M560">
        <v>0</v>
      </c>
      <c r="N560" t="s">
        <v>604</v>
      </c>
      <c r="O560" t="s">
        <v>2082</v>
      </c>
      <c r="P560" s="7">
        <v>6.04</v>
      </c>
      <c r="Q560" s="1">
        <v>45227</v>
      </c>
      <c r="R560">
        <f>WEEKNUM(Table2[[#This Row],[OrderDate]])</f>
        <v>43</v>
      </c>
      <c r="S560" s="1">
        <v>45233</v>
      </c>
      <c r="T560" t="s">
        <v>2917</v>
      </c>
    </row>
    <row r="561" spans="1:20" x14ac:dyDescent="0.35">
      <c r="A561" s="1">
        <v>45255</v>
      </c>
      <c r="B561" t="s">
        <v>2933</v>
      </c>
      <c r="C561" t="s">
        <v>23</v>
      </c>
      <c r="D561" s="9">
        <v>5</v>
      </c>
      <c r="E561" s="7">
        <v>99.23</v>
      </c>
      <c r="F561" t="s">
        <v>26</v>
      </c>
      <c r="G561" t="s">
        <v>31</v>
      </c>
      <c r="H561" s="12">
        <v>0</v>
      </c>
      <c r="I561" t="s">
        <v>32</v>
      </c>
      <c r="J561" s="7">
        <f>Table2[[#This Row],[UnitPrice]]*Table2[[#This Row],[Quantity]]*(1-Table2[[#This Row],[Discount]])</f>
        <v>496.15000000000003</v>
      </c>
      <c r="K561" t="s">
        <v>41</v>
      </c>
      <c r="L561" t="s">
        <v>2937</v>
      </c>
      <c r="M561">
        <v>0</v>
      </c>
      <c r="N561" t="s">
        <v>605</v>
      </c>
      <c r="O561" t="s">
        <v>2083</v>
      </c>
      <c r="P561" s="7">
        <v>37.659999999999997</v>
      </c>
      <c r="Q561" s="1">
        <v>45255</v>
      </c>
      <c r="R561">
        <f>WEEKNUM(Table2[[#This Row],[OrderDate]])</f>
        <v>47</v>
      </c>
      <c r="S561" s="1">
        <v>45262</v>
      </c>
      <c r="T561" t="s">
        <v>2921</v>
      </c>
    </row>
    <row r="562" spans="1:20" x14ac:dyDescent="0.35">
      <c r="A562" s="1">
        <v>45613</v>
      </c>
      <c r="B562" t="s">
        <v>2932</v>
      </c>
      <c r="C562" t="s">
        <v>23</v>
      </c>
      <c r="D562" s="9">
        <v>9</v>
      </c>
      <c r="E562" s="7">
        <v>503.18</v>
      </c>
      <c r="F562" t="s">
        <v>26</v>
      </c>
      <c r="G562" t="s">
        <v>30</v>
      </c>
      <c r="H562" s="12">
        <v>0</v>
      </c>
      <c r="I562" t="s">
        <v>36</v>
      </c>
      <c r="J562" s="7">
        <f>Table2[[#This Row],[UnitPrice]]*Table2[[#This Row],[Quantity]]*(1-Table2[[#This Row],[Discount]])</f>
        <v>4528.62</v>
      </c>
      <c r="K562" t="s">
        <v>39</v>
      </c>
      <c r="L562" t="s">
        <v>44</v>
      </c>
      <c r="M562">
        <v>1</v>
      </c>
      <c r="N562" t="s">
        <v>606</v>
      </c>
      <c r="O562" t="s">
        <v>2084</v>
      </c>
      <c r="P562" s="7">
        <v>46.02</v>
      </c>
      <c r="Q562" s="1">
        <v>45613</v>
      </c>
      <c r="R562">
        <f>WEEKNUM(Table2[[#This Row],[OrderDate]])</f>
        <v>47</v>
      </c>
      <c r="S562" s="1">
        <v>45620</v>
      </c>
      <c r="T562" t="s">
        <v>2918</v>
      </c>
    </row>
    <row r="563" spans="1:20" x14ac:dyDescent="0.35">
      <c r="A563" s="1">
        <v>45315</v>
      </c>
      <c r="B563" t="s">
        <v>2934</v>
      </c>
      <c r="C563" t="s">
        <v>23</v>
      </c>
      <c r="D563" s="9">
        <v>17</v>
      </c>
      <c r="E563" s="7">
        <v>155.31</v>
      </c>
      <c r="F563" t="s">
        <v>28</v>
      </c>
      <c r="G563" t="s">
        <v>31</v>
      </c>
      <c r="H563" s="12">
        <v>0.15</v>
      </c>
      <c r="I563" t="s">
        <v>37</v>
      </c>
      <c r="J563" s="7">
        <f>Table2[[#This Row],[UnitPrice]]*Table2[[#This Row],[Quantity]]*(1-Table2[[#This Row],[Discount]])</f>
        <v>2244.2294999999999</v>
      </c>
      <c r="K563" t="s">
        <v>40</v>
      </c>
      <c r="L563" t="s">
        <v>45</v>
      </c>
      <c r="M563">
        <v>0</v>
      </c>
      <c r="N563" t="s">
        <v>607</v>
      </c>
      <c r="O563" t="s">
        <v>2085</v>
      </c>
      <c r="P563" s="7">
        <v>27.1</v>
      </c>
      <c r="Q563" s="1">
        <v>45315</v>
      </c>
      <c r="R563">
        <f>WEEKNUM(Table2[[#This Row],[OrderDate]])</f>
        <v>4</v>
      </c>
      <c r="S563" s="1">
        <v>45320</v>
      </c>
      <c r="T563" t="s">
        <v>2920</v>
      </c>
    </row>
    <row r="564" spans="1:20" x14ac:dyDescent="0.35">
      <c r="A564" s="1">
        <v>45096</v>
      </c>
      <c r="B564" t="s">
        <v>2931</v>
      </c>
      <c r="C564" t="s">
        <v>22</v>
      </c>
      <c r="D564" s="9">
        <v>7</v>
      </c>
      <c r="E564" s="7">
        <v>303.79000000000002</v>
      </c>
      <c r="F564" t="s">
        <v>29</v>
      </c>
      <c r="G564" t="s">
        <v>30</v>
      </c>
      <c r="H564" s="12">
        <v>0.15</v>
      </c>
      <c r="I564" t="s">
        <v>34</v>
      </c>
      <c r="J564" s="7">
        <f>Table2[[#This Row],[UnitPrice]]*Table2[[#This Row],[Quantity]]*(1-Table2[[#This Row],[Discount]])</f>
        <v>1807.5505000000001</v>
      </c>
      <c r="K564" t="s">
        <v>40</v>
      </c>
      <c r="L564" t="s">
        <v>44</v>
      </c>
      <c r="M564">
        <v>0</v>
      </c>
      <c r="N564" t="s">
        <v>608</v>
      </c>
      <c r="O564" t="s">
        <v>2086</v>
      </c>
      <c r="P564" s="7">
        <v>38.85</v>
      </c>
      <c r="Q564" s="1">
        <v>45096</v>
      </c>
      <c r="R564">
        <f>WEEKNUM(Table2[[#This Row],[OrderDate]])</f>
        <v>25</v>
      </c>
      <c r="S564" s="1">
        <v>45106</v>
      </c>
      <c r="T564" t="s">
        <v>2919</v>
      </c>
    </row>
    <row r="565" spans="1:20" x14ac:dyDescent="0.35">
      <c r="A565" s="1">
        <v>45670</v>
      </c>
      <c r="B565" t="s">
        <v>2930</v>
      </c>
      <c r="C565" t="s">
        <v>20</v>
      </c>
      <c r="D565" s="9">
        <v>17</v>
      </c>
      <c r="E565" s="7">
        <v>263.75</v>
      </c>
      <c r="F565" t="s">
        <v>26</v>
      </c>
      <c r="G565" t="s">
        <v>31</v>
      </c>
      <c r="H565" s="12">
        <v>0</v>
      </c>
      <c r="I565" t="s">
        <v>33</v>
      </c>
      <c r="J565" s="7">
        <f>Table2[[#This Row],[UnitPrice]]*Table2[[#This Row],[Quantity]]*(1-Table2[[#This Row],[Discount]])</f>
        <v>4483.75</v>
      </c>
      <c r="K565" t="s">
        <v>38</v>
      </c>
      <c r="L565" t="s">
        <v>2937</v>
      </c>
      <c r="M565">
        <v>1</v>
      </c>
      <c r="N565" t="s">
        <v>609</v>
      </c>
      <c r="O565" t="s">
        <v>2087</v>
      </c>
      <c r="P565" s="7">
        <v>12.97</v>
      </c>
      <c r="Q565" s="1">
        <v>45670</v>
      </c>
      <c r="R565">
        <f>WEEKNUM(Table2[[#This Row],[OrderDate]])</f>
        <v>3</v>
      </c>
      <c r="S565" s="1">
        <v>45675</v>
      </c>
      <c r="T565" t="s">
        <v>2917</v>
      </c>
    </row>
    <row r="566" spans="1:20" x14ac:dyDescent="0.35">
      <c r="A566" s="1">
        <v>45315</v>
      </c>
      <c r="B566" t="s">
        <v>2930</v>
      </c>
      <c r="C566" t="s">
        <v>20</v>
      </c>
      <c r="D566" s="9">
        <v>4</v>
      </c>
      <c r="E566" s="7">
        <v>179.92</v>
      </c>
      <c r="F566" t="s">
        <v>29</v>
      </c>
      <c r="G566" t="s">
        <v>31</v>
      </c>
      <c r="H566" s="12">
        <v>0.1</v>
      </c>
      <c r="I566" t="s">
        <v>36</v>
      </c>
      <c r="J566" s="7">
        <f>Table2[[#This Row],[UnitPrice]]*Table2[[#This Row],[Quantity]]*(1-Table2[[#This Row],[Discount]])</f>
        <v>647.71199999999999</v>
      </c>
      <c r="K566" t="s">
        <v>38</v>
      </c>
      <c r="L566" t="s">
        <v>45</v>
      </c>
      <c r="M566">
        <v>0</v>
      </c>
      <c r="N566" t="s">
        <v>610</v>
      </c>
      <c r="O566" t="s">
        <v>2088</v>
      </c>
      <c r="P566" s="7">
        <v>35.26</v>
      </c>
      <c r="Q566" s="1">
        <v>45315</v>
      </c>
      <c r="R566">
        <f>WEEKNUM(Table2[[#This Row],[OrderDate]])</f>
        <v>4</v>
      </c>
      <c r="S566" s="1">
        <v>45323</v>
      </c>
      <c r="T566" t="s">
        <v>2917</v>
      </c>
    </row>
    <row r="567" spans="1:20" x14ac:dyDescent="0.35">
      <c r="A567" s="1">
        <v>45663</v>
      </c>
      <c r="B567" t="s">
        <v>2932</v>
      </c>
      <c r="C567" t="s">
        <v>25</v>
      </c>
      <c r="D567" s="9">
        <v>2</v>
      </c>
      <c r="E567" s="7">
        <v>264</v>
      </c>
      <c r="F567" t="s">
        <v>29</v>
      </c>
      <c r="G567" t="s">
        <v>31</v>
      </c>
      <c r="H567" s="12">
        <v>0</v>
      </c>
      <c r="I567" t="s">
        <v>37</v>
      </c>
      <c r="J567" s="7">
        <f>Table2[[#This Row],[UnitPrice]]*Table2[[#This Row],[Quantity]]*(1-Table2[[#This Row],[Discount]])</f>
        <v>528</v>
      </c>
      <c r="K567" t="s">
        <v>39</v>
      </c>
      <c r="L567" t="s">
        <v>44</v>
      </c>
      <c r="M567">
        <v>0</v>
      </c>
      <c r="N567" t="s">
        <v>611</v>
      </c>
      <c r="O567" t="s">
        <v>2089</v>
      </c>
      <c r="P567" s="7">
        <v>26.73</v>
      </c>
      <c r="Q567" s="1">
        <v>45663</v>
      </c>
      <c r="R567">
        <f>WEEKNUM(Table2[[#This Row],[OrderDate]])</f>
        <v>2</v>
      </c>
      <c r="S567" s="1">
        <v>45671</v>
      </c>
      <c r="T567" t="s">
        <v>2918</v>
      </c>
    </row>
    <row r="568" spans="1:20" x14ac:dyDescent="0.35">
      <c r="A568" s="1">
        <v>45659</v>
      </c>
      <c r="B568" t="s">
        <v>2934</v>
      </c>
      <c r="C568" t="s">
        <v>19</v>
      </c>
      <c r="D568" s="9">
        <v>4</v>
      </c>
      <c r="E568" s="7">
        <v>403.97</v>
      </c>
      <c r="F568" t="s">
        <v>27</v>
      </c>
      <c r="G568" t="s">
        <v>30</v>
      </c>
      <c r="H568" s="12">
        <v>0.05</v>
      </c>
      <c r="I568" t="s">
        <v>33</v>
      </c>
      <c r="J568" s="7">
        <f>Table2[[#This Row],[UnitPrice]]*Table2[[#This Row],[Quantity]]*(1-Table2[[#This Row],[Discount]])</f>
        <v>1535.086</v>
      </c>
      <c r="K568" t="s">
        <v>42</v>
      </c>
      <c r="L568" t="s">
        <v>45</v>
      </c>
      <c r="M568">
        <v>0</v>
      </c>
      <c r="N568" t="s">
        <v>612</v>
      </c>
      <c r="O568" t="s">
        <v>2090</v>
      </c>
      <c r="P568" s="7">
        <v>39.92</v>
      </c>
      <c r="Q568" s="1">
        <v>45659</v>
      </c>
      <c r="R568">
        <f>WEEKNUM(Table2[[#This Row],[OrderDate]])</f>
        <v>1</v>
      </c>
      <c r="S568" s="1">
        <v>45666</v>
      </c>
      <c r="T568" t="s">
        <v>2920</v>
      </c>
    </row>
    <row r="569" spans="1:20" x14ac:dyDescent="0.35">
      <c r="A569" s="1">
        <v>44979</v>
      </c>
      <c r="B569" t="s">
        <v>2931</v>
      </c>
      <c r="C569" t="s">
        <v>21</v>
      </c>
      <c r="D569" s="9">
        <v>4</v>
      </c>
      <c r="E569" s="7">
        <v>85.96</v>
      </c>
      <c r="F569" t="s">
        <v>27</v>
      </c>
      <c r="G569" t="s">
        <v>31</v>
      </c>
      <c r="H569" s="12">
        <v>0.1</v>
      </c>
      <c r="I569" t="s">
        <v>34</v>
      </c>
      <c r="J569" s="7">
        <f>Table2[[#This Row],[UnitPrice]]*Table2[[#This Row],[Quantity]]*(1-Table2[[#This Row],[Discount]])</f>
        <v>309.45599999999996</v>
      </c>
      <c r="K569" t="s">
        <v>40</v>
      </c>
      <c r="L569" t="s">
        <v>2937</v>
      </c>
      <c r="M569">
        <v>0</v>
      </c>
      <c r="N569" t="s">
        <v>613</v>
      </c>
      <c r="O569" t="s">
        <v>2091</v>
      </c>
      <c r="P569" s="7">
        <v>32.119999999999997</v>
      </c>
      <c r="Q569" s="1">
        <v>44979</v>
      </c>
      <c r="R569">
        <f>WEEKNUM(Table2[[#This Row],[OrderDate]])</f>
        <v>8</v>
      </c>
      <c r="S569" s="1">
        <v>44988</v>
      </c>
      <c r="T569" t="s">
        <v>2919</v>
      </c>
    </row>
    <row r="570" spans="1:20" x14ac:dyDescent="0.35">
      <c r="A570" s="1">
        <v>45694</v>
      </c>
      <c r="B570" t="s">
        <v>2930</v>
      </c>
      <c r="C570" t="s">
        <v>21</v>
      </c>
      <c r="D570" s="9">
        <v>2</v>
      </c>
      <c r="E570" s="7">
        <v>93.49</v>
      </c>
      <c r="F570" t="s">
        <v>27</v>
      </c>
      <c r="G570" t="s">
        <v>30</v>
      </c>
      <c r="H570" s="12">
        <v>0.1</v>
      </c>
      <c r="I570" t="s">
        <v>33</v>
      </c>
      <c r="J570" s="7">
        <f>Table2[[#This Row],[UnitPrice]]*Table2[[#This Row],[Quantity]]*(1-Table2[[#This Row],[Discount]])</f>
        <v>168.28199999999998</v>
      </c>
      <c r="K570" t="s">
        <v>41</v>
      </c>
      <c r="L570" t="s">
        <v>45</v>
      </c>
      <c r="M570">
        <v>0</v>
      </c>
      <c r="N570" t="s">
        <v>614</v>
      </c>
      <c r="O570" t="s">
        <v>2092</v>
      </c>
      <c r="P570" s="7">
        <v>26.31</v>
      </c>
      <c r="Q570" s="1">
        <v>45694</v>
      </c>
      <c r="R570">
        <f>WEEKNUM(Table2[[#This Row],[OrderDate]])</f>
        <v>6</v>
      </c>
      <c r="S570" s="1">
        <v>45704</v>
      </c>
      <c r="T570" t="s">
        <v>2917</v>
      </c>
    </row>
    <row r="571" spans="1:20" x14ac:dyDescent="0.35">
      <c r="A571" s="1">
        <v>45561</v>
      </c>
      <c r="B571" t="s">
        <v>2930</v>
      </c>
      <c r="C571" t="s">
        <v>21</v>
      </c>
      <c r="D571" s="9">
        <v>11</v>
      </c>
      <c r="E571" s="7">
        <v>144.29</v>
      </c>
      <c r="F571" t="s">
        <v>26</v>
      </c>
      <c r="G571" t="s">
        <v>31</v>
      </c>
      <c r="H571" s="12">
        <v>0.05</v>
      </c>
      <c r="I571" t="s">
        <v>37</v>
      </c>
      <c r="J571" s="7">
        <f>Table2[[#This Row],[UnitPrice]]*Table2[[#This Row],[Quantity]]*(1-Table2[[#This Row],[Discount]])</f>
        <v>1507.8304999999998</v>
      </c>
      <c r="K571" t="s">
        <v>40</v>
      </c>
      <c r="L571" t="s">
        <v>45</v>
      </c>
      <c r="M571">
        <v>0</v>
      </c>
      <c r="N571" t="s">
        <v>615</v>
      </c>
      <c r="O571" t="s">
        <v>1954</v>
      </c>
      <c r="P571" s="7">
        <v>11.91</v>
      </c>
      <c r="Q571" s="1">
        <v>45561</v>
      </c>
      <c r="R571">
        <f>WEEKNUM(Table2[[#This Row],[OrderDate]])</f>
        <v>39</v>
      </c>
      <c r="S571" s="1">
        <v>45565</v>
      </c>
      <c r="T571" t="s">
        <v>2917</v>
      </c>
    </row>
    <row r="572" spans="1:20" x14ac:dyDescent="0.35">
      <c r="A572" s="1">
        <v>45744</v>
      </c>
      <c r="B572" t="s">
        <v>2931</v>
      </c>
      <c r="C572" t="s">
        <v>22</v>
      </c>
      <c r="D572" s="9">
        <v>18</v>
      </c>
      <c r="E572" s="7">
        <v>553.23</v>
      </c>
      <c r="F572" t="s">
        <v>29</v>
      </c>
      <c r="G572" t="s">
        <v>30</v>
      </c>
      <c r="H572" s="12">
        <v>0</v>
      </c>
      <c r="I572" t="s">
        <v>34</v>
      </c>
      <c r="J572" s="7">
        <f>Table2[[#This Row],[UnitPrice]]*Table2[[#This Row],[Quantity]]*(1-Table2[[#This Row],[Discount]])</f>
        <v>9958.14</v>
      </c>
      <c r="K572" t="s">
        <v>42</v>
      </c>
      <c r="L572" t="s">
        <v>43</v>
      </c>
      <c r="M572">
        <v>0</v>
      </c>
      <c r="N572" t="s">
        <v>616</v>
      </c>
      <c r="O572" t="s">
        <v>2093</v>
      </c>
      <c r="P572" s="7">
        <v>31.76</v>
      </c>
      <c r="Q572" s="1">
        <v>45744</v>
      </c>
      <c r="R572">
        <f>WEEKNUM(Table2[[#This Row],[OrderDate]])</f>
        <v>13</v>
      </c>
      <c r="S572" s="1">
        <v>45748</v>
      </c>
      <c r="T572" t="s">
        <v>2919</v>
      </c>
    </row>
    <row r="573" spans="1:20" x14ac:dyDescent="0.35">
      <c r="A573" s="1">
        <v>45108</v>
      </c>
      <c r="B573" t="s">
        <v>2930</v>
      </c>
      <c r="C573" t="s">
        <v>22</v>
      </c>
      <c r="D573" s="9">
        <v>9</v>
      </c>
      <c r="E573" s="7">
        <v>228.3</v>
      </c>
      <c r="F573" t="s">
        <v>26</v>
      </c>
      <c r="G573" t="s">
        <v>31</v>
      </c>
      <c r="H573" s="12">
        <v>0.05</v>
      </c>
      <c r="I573" t="s">
        <v>32</v>
      </c>
      <c r="J573" s="7">
        <f>Table2[[#This Row],[UnitPrice]]*Table2[[#This Row],[Quantity]]*(1-Table2[[#This Row],[Discount]])</f>
        <v>1951.9650000000001</v>
      </c>
      <c r="K573" t="s">
        <v>41</v>
      </c>
      <c r="L573" t="s">
        <v>43</v>
      </c>
      <c r="M573">
        <v>0</v>
      </c>
      <c r="N573" t="s">
        <v>617</v>
      </c>
      <c r="O573" t="s">
        <v>2094</v>
      </c>
      <c r="P573" s="7">
        <v>8.75</v>
      </c>
      <c r="Q573" s="1">
        <v>45108</v>
      </c>
      <c r="R573">
        <f>WEEKNUM(Table2[[#This Row],[OrderDate]])</f>
        <v>26</v>
      </c>
      <c r="S573" s="1">
        <v>45116</v>
      </c>
      <c r="T573" t="s">
        <v>2917</v>
      </c>
    </row>
    <row r="574" spans="1:20" x14ac:dyDescent="0.35">
      <c r="A574" s="1">
        <v>45045</v>
      </c>
      <c r="B574" t="s">
        <v>2933</v>
      </c>
      <c r="C574" t="s">
        <v>21</v>
      </c>
      <c r="D574" s="9">
        <v>7</v>
      </c>
      <c r="E574" s="7">
        <v>235.94</v>
      </c>
      <c r="F574" t="s">
        <v>29</v>
      </c>
      <c r="G574" t="s">
        <v>30</v>
      </c>
      <c r="H574" s="12">
        <v>0.1</v>
      </c>
      <c r="I574" t="s">
        <v>33</v>
      </c>
      <c r="J574" s="7">
        <f>Table2[[#This Row],[UnitPrice]]*Table2[[#This Row],[Quantity]]*(1-Table2[[#This Row],[Discount]])</f>
        <v>1486.422</v>
      </c>
      <c r="K574" t="s">
        <v>39</v>
      </c>
      <c r="L574" t="s">
        <v>43</v>
      </c>
      <c r="M574">
        <v>0</v>
      </c>
      <c r="N574" t="s">
        <v>618</v>
      </c>
      <c r="O574" t="s">
        <v>2095</v>
      </c>
      <c r="P574" s="7">
        <v>8.44</v>
      </c>
      <c r="Q574" s="1">
        <v>45045</v>
      </c>
      <c r="R574">
        <f>WEEKNUM(Table2[[#This Row],[OrderDate]])</f>
        <v>17</v>
      </c>
      <c r="S574" s="1">
        <v>45050</v>
      </c>
      <c r="T574" t="s">
        <v>2921</v>
      </c>
    </row>
    <row r="575" spans="1:20" x14ac:dyDescent="0.35">
      <c r="A575" s="1">
        <v>45046</v>
      </c>
      <c r="B575" t="s">
        <v>2930</v>
      </c>
      <c r="C575" t="s">
        <v>25</v>
      </c>
      <c r="D575" s="9">
        <v>17</v>
      </c>
      <c r="E575" s="7">
        <v>369.52</v>
      </c>
      <c r="F575" t="s">
        <v>28</v>
      </c>
      <c r="G575" t="s">
        <v>30</v>
      </c>
      <c r="H575" s="12">
        <v>0</v>
      </c>
      <c r="I575" t="s">
        <v>35</v>
      </c>
      <c r="J575" s="7">
        <f>Table2[[#This Row],[UnitPrice]]*Table2[[#This Row],[Quantity]]*(1-Table2[[#This Row],[Discount]])</f>
        <v>6281.84</v>
      </c>
      <c r="K575" t="s">
        <v>39</v>
      </c>
      <c r="L575" t="s">
        <v>2937</v>
      </c>
      <c r="M575">
        <v>0</v>
      </c>
      <c r="N575" t="s">
        <v>619</v>
      </c>
      <c r="O575" t="s">
        <v>2096</v>
      </c>
      <c r="P575" s="7">
        <v>17.12</v>
      </c>
      <c r="Q575" s="1">
        <v>45046</v>
      </c>
      <c r="R575">
        <f>WEEKNUM(Table2[[#This Row],[OrderDate]])</f>
        <v>18</v>
      </c>
      <c r="S575" s="1">
        <v>45052</v>
      </c>
      <c r="T575" t="s">
        <v>2917</v>
      </c>
    </row>
    <row r="576" spans="1:20" x14ac:dyDescent="0.35">
      <c r="A576" s="1">
        <v>45365</v>
      </c>
      <c r="B576" t="s">
        <v>2933</v>
      </c>
      <c r="C576" t="s">
        <v>20</v>
      </c>
      <c r="D576" s="9">
        <v>8</v>
      </c>
      <c r="E576" s="7">
        <v>142.09</v>
      </c>
      <c r="F576" t="s">
        <v>27</v>
      </c>
      <c r="G576" t="s">
        <v>30</v>
      </c>
      <c r="H576" s="12">
        <v>0</v>
      </c>
      <c r="I576" t="s">
        <v>32</v>
      </c>
      <c r="J576" s="7">
        <f>Table2[[#This Row],[UnitPrice]]*Table2[[#This Row],[Quantity]]*(1-Table2[[#This Row],[Discount]])</f>
        <v>1136.72</v>
      </c>
      <c r="K576" t="s">
        <v>40</v>
      </c>
      <c r="L576" t="s">
        <v>45</v>
      </c>
      <c r="M576">
        <v>0</v>
      </c>
      <c r="N576" t="s">
        <v>620</v>
      </c>
      <c r="O576" t="s">
        <v>2097</v>
      </c>
      <c r="P576" s="7">
        <v>38.97</v>
      </c>
      <c r="Q576" s="1">
        <v>45365</v>
      </c>
      <c r="R576">
        <f>WEEKNUM(Table2[[#This Row],[OrderDate]])</f>
        <v>11</v>
      </c>
      <c r="S576" s="1">
        <v>45371</v>
      </c>
      <c r="T576" t="s">
        <v>2921</v>
      </c>
    </row>
    <row r="577" spans="1:20" x14ac:dyDescent="0.35">
      <c r="A577" s="1">
        <v>45104</v>
      </c>
      <c r="B577" t="s">
        <v>2934</v>
      </c>
      <c r="C577" t="s">
        <v>22</v>
      </c>
      <c r="D577" s="9">
        <v>3</v>
      </c>
      <c r="E577" s="7">
        <v>497.61</v>
      </c>
      <c r="F577" t="s">
        <v>26</v>
      </c>
      <c r="G577" t="s">
        <v>30</v>
      </c>
      <c r="H577" s="12">
        <v>0.15</v>
      </c>
      <c r="I577" t="s">
        <v>33</v>
      </c>
      <c r="J577" s="7">
        <f>Table2[[#This Row],[UnitPrice]]*Table2[[#This Row],[Quantity]]*(1-Table2[[#This Row],[Discount]])</f>
        <v>1268.9054999999998</v>
      </c>
      <c r="K577" t="s">
        <v>42</v>
      </c>
      <c r="L577" t="s">
        <v>43</v>
      </c>
      <c r="M577">
        <v>1</v>
      </c>
      <c r="N577" t="s">
        <v>621</v>
      </c>
      <c r="O577" t="s">
        <v>2098</v>
      </c>
      <c r="P577" s="7">
        <v>13.97</v>
      </c>
      <c r="Q577" s="1">
        <v>45104</v>
      </c>
      <c r="R577">
        <f>WEEKNUM(Table2[[#This Row],[OrderDate]])</f>
        <v>26</v>
      </c>
      <c r="S577" s="1">
        <v>45109</v>
      </c>
      <c r="T577" t="s">
        <v>2920</v>
      </c>
    </row>
    <row r="578" spans="1:20" x14ac:dyDescent="0.35">
      <c r="A578" s="1">
        <v>45392</v>
      </c>
      <c r="B578" t="s">
        <v>2931</v>
      </c>
      <c r="C578" t="s">
        <v>19</v>
      </c>
      <c r="D578" s="9">
        <v>19</v>
      </c>
      <c r="E578" s="7">
        <v>9.48</v>
      </c>
      <c r="F578" t="s">
        <v>27</v>
      </c>
      <c r="G578" t="s">
        <v>30</v>
      </c>
      <c r="H578" s="12">
        <v>0</v>
      </c>
      <c r="I578" t="s">
        <v>35</v>
      </c>
      <c r="J578" s="7">
        <f>Table2[[#This Row],[UnitPrice]]*Table2[[#This Row],[Quantity]]*(1-Table2[[#This Row],[Discount]])</f>
        <v>180.12</v>
      </c>
      <c r="K578" t="s">
        <v>38</v>
      </c>
      <c r="L578" t="s">
        <v>2937</v>
      </c>
      <c r="M578">
        <v>0</v>
      </c>
      <c r="N578" t="s">
        <v>622</v>
      </c>
      <c r="O578" t="s">
        <v>2099</v>
      </c>
      <c r="P578" s="7">
        <v>22.33</v>
      </c>
      <c r="Q578" s="1">
        <v>45392</v>
      </c>
      <c r="R578">
        <f>WEEKNUM(Table2[[#This Row],[OrderDate]])</f>
        <v>15</v>
      </c>
      <c r="S578" s="1">
        <v>45394</v>
      </c>
      <c r="T578" t="s">
        <v>2919</v>
      </c>
    </row>
    <row r="579" spans="1:20" x14ac:dyDescent="0.35">
      <c r="A579" s="1">
        <v>45168</v>
      </c>
      <c r="B579" t="s">
        <v>2934</v>
      </c>
      <c r="C579" t="s">
        <v>25</v>
      </c>
      <c r="D579" s="9">
        <v>8</v>
      </c>
      <c r="E579" s="7">
        <v>55.27</v>
      </c>
      <c r="F579" t="s">
        <v>27</v>
      </c>
      <c r="G579" t="s">
        <v>30</v>
      </c>
      <c r="H579" s="12">
        <v>0.15</v>
      </c>
      <c r="I579" t="s">
        <v>37</v>
      </c>
      <c r="J579" s="7">
        <f>Table2[[#This Row],[UnitPrice]]*Table2[[#This Row],[Quantity]]*(1-Table2[[#This Row],[Discount]])</f>
        <v>375.83600000000001</v>
      </c>
      <c r="K579" t="s">
        <v>42</v>
      </c>
      <c r="L579" t="s">
        <v>45</v>
      </c>
      <c r="M579">
        <v>0</v>
      </c>
      <c r="N579" t="s">
        <v>623</v>
      </c>
      <c r="O579" t="s">
        <v>2100</v>
      </c>
      <c r="P579" s="7">
        <v>16.84</v>
      </c>
      <c r="Q579" s="1">
        <v>45168</v>
      </c>
      <c r="R579">
        <f>WEEKNUM(Table2[[#This Row],[OrderDate]])</f>
        <v>35</v>
      </c>
      <c r="S579" s="1">
        <v>45170</v>
      </c>
      <c r="T579" t="s">
        <v>2920</v>
      </c>
    </row>
    <row r="580" spans="1:20" x14ac:dyDescent="0.35">
      <c r="A580" s="1">
        <v>45222</v>
      </c>
      <c r="B580" t="s">
        <v>2933</v>
      </c>
      <c r="C580" t="s">
        <v>19</v>
      </c>
      <c r="D580" s="9">
        <v>17</v>
      </c>
      <c r="E580" s="7">
        <v>25.95</v>
      </c>
      <c r="F580" t="s">
        <v>26</v>
      </c>
      <c r="G580" t="s">
        <v>30</v>
      </c>
      <c r="H580" s="12">
        <v>0.05</v>
      </c>
      <c r="I580" t="s">
        <v>37</v>
      </c>
      <c r="J580" s="7">
        <f>Table2[[#This Row],[UnitPrice]]*Table2[[#This Row],[Quantity]]*(1-Table2[[#This Row],[Discount]])</f>
        <v>419.09249999999997</v>
      </c>
      <c r="K580" t="s">
        <v>39</v>
      </c>
      <c r="L580" t="s">
        <v>2937</v>
      </c>
      <c r="M580">
        <v>0</v>
      </c>
      <c r="N580" t="s">
        <v>624</v>
      </c>
      <c r="O580" t="s">
        <v>2101</v>
      </c>
      <c r="P580" s="7">
        <v>27.68</v>
      </c>
      <c r="Q580" s="1">
        <v>45222</v>
      </c>
      <c r="R580">
        <f>WEEKNUM(Table2[[#This Row],[OrderDate]])</f>
        <v>43</v>
      </c>
      <c r="S580" s="1">
        <v>45229</v>
      </c>
      <c r="T580" t="s">
        <v>2921</v>
      </c>
    </row>
    <row r="581" spans="1:20" x14ac:dyDescent="0.35">
      <c r="A581" s="1">
        <v>45008</v>
      </c>
      <c r="B581" t="s">
        <v>2931</v>
      </c>
      <c r="C581" t="s">
        <v>21</v>
      </c>
      <c r="D581" s="9">
        <v>18</v>
      </c>
      <c r="E581" s="7">
        <v>209.65</v>
      </c>
      <c r="F581" t="s">
        <v>27</v>
      </c>
      <c r="G581" t="s">
        <v>30</v>
      </c>
      <c r="H581" s="12">
        <v>0.1</v>
      </c>
      <c r="I581" t="s">
        <v>35</v>
      </c>
      <c r="J581" s="7">
        <f>Table2[[#This Row],[UnitPrice]]*Table2[[#This Row],[Quantity]]*(1-Table2[[#This Row],[Discount]])</f>
        <v>3396.3300000000004</v>
      </c>
      <c r="K581" t="s">
        <v>41</v>
      </c>
      <c r="L581" t="s">
        <v>2937</v>
      </c>
      <c r="M581">
        <v>0</v>
      </c>
      <c r="N581" t="s">
        <v>625</v>
      </c>
      <c r="O581" t="s">
        <v>2102</v>
      </c>
      <c r="P581" s="7">
        <v>42.04</v>
      </c>
      <c r="Q581" s="1">
        <v>45008</v>
      </c>
      <c r="R581">
        <f>WEEKNUM(Table2[[#This Row],[OrderDate]])</f>
        <v>12</v>
      </c>
      <c r="S581" s="1">
        <v>45015</v>
      </c>
      <c r="T581" t="s">
        <v>2919</v>
      </c>
    </row>
    <row r="582" spans="1:20" x14ac:dyDescent="0.35">
      <c r="A582" s="1">
        <v>45556</v>
      </c>
      <c r="B582" t="s">
        <v>2934</v>
      </c>
      <c r="C582" t="s">
        <v>19</v>
      </c>
      <c r="D582" s="9">
        <v>13</v>
      </c>
      <c r="E582" s="7">
        <v>75.77</v>
      </c>
      <c r="F582" t="s">
        <v>26</v>
      </c>
      <c r="G582" t="s">
        <v>30</v>
      </c>
      <c r="H582" s="12">
        <v>0.15</v>
      </c>
      <c r="I582" t="s">
        <v>34</v>
      </c>
      <c r="J582" s="7">
        <f>Table2[[#This Row],[UnitPrice]]*Table2[[#This Row],[Quantity]]*(1-Table2[[#This Row],[Discount]])</f>
        <v>837.25850000000003</v>
      </c>
      <c r="K582" t="s">
        <v>41</v>
      </c>
      <c r="L582" t="s">
        <v>44</v>
      </c>
      <c r="M582">
        <v>0</v>
      </c>
      <c r="N582" t="s">
        <v>626</v>
      </c>
      <c r="O582" t="s">
        <v>2103</v>
      </c>
      <c r="P582" s="7">
        <v>41.94</v>
      </c>
      <c r="Q582" s="1">
        <v>45556</v>
      </c>
      <c r="R582">
        <f>WEEKNUM(Table2[[#This Row],[OrderDate]])</f>
        <v>38</v>
      </c>
      <c r="S582" s="1">
        <v>45565</v>
      </c>
      <c r="T582" t="s">
        <v>2920</v>
      </c>
    </row>
    <row r="583" spans="1:20" x14ac:dyDescent="0.35">
      <c r="A583" s="1">
        <v>45652</v>
      </c>
      <c r="B583" t="s">
        <v>2933</v>
      </c>
      <c r="C583" t="s">
        <v>24</v>
      </c>
      <c r="D583" s="9">
        <v>5</v>
      </c>
      <c r="E583" s="7">
        <v>307.83999999999997</v>
      </c>
      <c r="F583" t="s">
        <v>26</v>
      </c>
      <c r="G583" t="s">
        <v>30</v>
      </c>
      <c r="H583" s="12">
        <v>0.1</v>
      </c>
      <c r="I583" t="s">
        <v>37</v>
      </c>
      <c r="J583" s="7">
        <f>Table2[[#This Row],[UnitPrice]]*Table2[[#This Row],[Quantity]]*(1-Table2[[#This Row],[Discount]])</f>
        <v>1385.28</v>
      </c>
      <c r="K583" t="s">
        <v>38</v>
      </c>
      <c r="L583" t="s">
        <v>44</v>
      </c>
      <c r="M583">
        <v>0</v>
      </c>
      <c r="N583" t="s">
        <v>627</v>
      </c>
      <c r="O583" t="s">
        <v>2104</v>
      </c>
      <c r="P583" s="7">
        <v>13.61</v>
      </c>
      <c r="Q583" s="1">
        <v>45652</v>
      </c>
      <c r="R583">
        <f>WEEKNUM(Table2[[#This Row],[OrderDate]])</f>
        <v>52</v>
      </c>
      <c r="S583" s="1">
        <v>45660</v>
      </c>
      <c r="T583" t="s">
        <v>2921</v>
      </c>
    </row>
    <row r="584" spans="1:20" x14ac:dyDescent="0.35">
      <c r="A584" s="1">
        <v>44983</v>
      </c>
      <c r="B584" t="s">
        <v>2930</v>
      </c>
      <c r="C584" t="s">
        <v>20</v>
      </c>
      <c r="D584" s="9">
        <v>13</v>
      </c>
      <c r="E584" s="7">
        <v>6.5</v>
      </c>
      <c r="F584" t="s">
        <v>27</v>
      </c>
      <c r="G584" t="s">
        <v>30</v>
      </c>
      <c r="H584" s="12">
        <v>0</v>
      </c>
      <c r="I584" t="s">
        <v>36</v>
      </c>
      <c r="J584" s="7">
        <f>Table2[[#This Row],[UnitPrice]]*Table2[[#This Row],[Quantity]]*(1-Table2[[#This Row],[Discount]])</f>
        <v>84.5</v>
      </c>
      <c r="K584" t="s">
        <v>42</v>
      </c>
      <c r="L584" t="s">
        <v>2937</v>
      </c>
      <c r="M584">
        <v>0</v>
      </c>
      <c r="N584" t="s">
        <v>628</v>
      </c>
      <c r="O584" t="s">
        <v>2105</v>
      </c>
      <c r="P584" s="7">
        <v>20.02</v>
      </c>
      <c r="Q584" s="1">
        <v>44983</v>
      </c>
      <c r="R584">
        <f>WEEKNUM(Table2[[#This Row],[OrderDate]])</f>
        <v>9</v>
      </c>
      <c r="S584" s="1">
        <v>44988</v>
      </c>
      <c r="T584" t="s">
        <v>2917</v>
      </c>
    </row>
    <row r="585" spans="1:20" x14ac:dyDescent="0.35">
      <c r="A585" s="1">
        <v>45636</v>
      </c>
      <c r="B585" t="s">
        <v>2931</v>
      </c>
      <c r="C585" t="s">
        <v>23</v>
      </c>
      <c r="D585" s="9">
        <v>8</v>
      </c>
      <c r="E585" s="7">
        <v>70.790000000000006</v>
      </c>
      <c r="F585" t="s">
        <v>26</v>
      </c>
      <c r="G585" t="s">
        <v>30</v>
      </c>
      <c r="H585" s="12">
        <v>0</v>
      </c>
      <c r="I585" t="s">
        <v>36</v>
      </c>
      <c r="J585" s="7">
        <f>Table2[[#This Row],[UnitPrice]]*Table2[[#This Row],[Quantity]]*(1-Table2[[#This Row],[Discount]])</f>
        <v>566.32000000000005</v>
      </c>
      <c r="K585" t="s">
        <v>38</v>
      </c>
      <c r="L585" t="s">
        <v>2937</v>
      </c>
      <c r="M585">
        <v>0</v>
      </c>
      <c r="N585" t="s">
        <v>629</v>
      </c>
      <c r="O585" t="s">
        <v>2106</v>
      </c>
      <c r="P585" s="7">
        <v>46.35</v>
      </c>
      <c r="Q585" s="1">
        <v>45636</v>
      </c>
      <c r="R585">
        <f>WEEKNUM(Table2[[#This Row],[OrderDate]])</f>
        <v>50</v>
      </c>
      <c r="S585" s="1">
        <v>45640</v>
      </c>
      <c r="T585" t="s">
        <v>2919</v>
      </c>
    </row>
    <row r="586" spans="1:20" x14ac:dyDescent="0.35">
      <c r="A586" s="1">
        <v>45658</v>
      </c>
      <c r="B586" t="s">
        <v>2930</v>
      </c>
      <c r="C586" t="s">
        <v>19</v>
      </c>
      <c r="D586" s="9">
        <v>17</v>
      </c>
      <c r="E586" s="7">
        <v>584.70000000000005</v>
      </c>
      <c r="F586" t="s">
        <v>29</v>
      </c>
      <c r="G586" t="s">
        <v>31</v>
      </c>
      <c r="H586" s="12">
        <v>0.1</v>
      </c>
      <c r="I586" t="s">
        <v>32</v>
      </c>
      <c r="J586" s="7">
        <f>Table2[[#This Row],[UnitPrice]]*Table2[[#This Row],[Quantity]]*(1-Table2[[#This Row],[Discount]])</f>
        <v>8945.9100000000017</v>
      </c>
      <c r="K586" t="s">
        <v>38</v>
      </c>
      <c r="L586" t="s">
        <v>2937</v>
      </c>
      <c r="M586">
        <v>1</v>
      </c>
      <c r="N586" t="s">
        <v>630</v>
      </c>
      <c r="O586" t="s">
        <v>2107</v>
      </c>
      <c r="P586" s="7">
        <v>46.59</v>
      </c>
      <c r="Q586" s="1">
        <v>45658</v>
      </c>
      <c r="R586">
        <f>WEEKNUM(Table2[[#This Row],[OrderDate]])</f>
        <v>1</v>
      </c>
      <c r="S586" s="1">
        <v>45660</v>
      </c>
      <c r="T586" t="s">
        <v>2917</v>
      </c>
    </row>
    <row r="587" spans="1:20" x14ac:dyDescent="0.35">
      <c r="A587" s="1">
        <v>45730</v>
      </c>
      <c r="B587" t="s">
        <v>2930</v>
      </c>
      <c r="C587" t="s">
        <v>20</v>
      </c>
      <c r="D587" s="9">
        <v>4</v>
      </c>
      <c r="E587" s="7">
        <v>23.27</v>
      </c>
      <c r="F587" t="s">
        <v>28</v>
      </c>
      <c r="G587" t="s">
        <v>30</v>
      </c>
      <c r="H587" s="12">
        <v>0.15</v>
      </c>
      <c r="I587" t="s">
        <v>36</v>
      </c>
      <c r="J587" s="7">
        <f>Table2[[#This Row],[UnitPrice]]*Table2[[#This Row],[Quantity]]*(1-Table2[[#This Row],[Discount]])</f>
        <v>79.117999999999995</v>
      </c>
      <c r="K587" t="s">
        <v>38</v>
      </c>
      <c r="L587" t="s">
        <v>44</v>
      </c>
      <c r="M587">
        <v>0</v>
      </c>
      <c r="N587" t="s">
        <v>631</v>
      </c>
      <c r="O587" t="s">
        <v>2108</v>
      </c>
      <c r="P587" s="7">
        <v>32.86</v>
      </c>
      <c r="Q587" s="1">
        <v>45730</v>
      </c>
      <c r="R587">
        <f>WEEKNUM(Table2[[#This Row],[OrderDate]])</f>
        <v>11</v>
      </c>
      <c r="S587" s="1">
        <v>45737</v>
      </c>
      <c r="T587" t="s">
        <v>2917</v>
      </c>
    </row>
    <row r="588" spans="1:20" x14ac:dyDescent="0.35">
      <c r="A588" s="1">
        <v>45307</v>
      </c>
      <c r="B588" t="s">
        <v>2932</v>
      </c>
      <c r="C588" t="s">
        <v>24</v>
      </c>
      <c r="D588" s="9">
        <v>5</v>
      </c>
      <c r="E588" s="7">
        <v>440.93</v>
      </c>
      <c r="F588" t="s">
        <v>26</v>
      </c>
      <c r="G588" t="s">
        <v>30</v>
      </c>
      <c r="H588" s="12">
        <v>0.1</v>
      </c>
      <c r="I588" t="s">
        <v>35</v>
      </c>
      <c r="J588" s="7">
        <f>Table2[[#This Row],[UnitPrice]]*Table2[[#This Row],[Quantity]]*(1-Table2[[#This Row],[Discount]])</f>
        <v>1984.1850000000002</v>
      </c>
      <c r="K588" t="s">
        <v>39</v>
      </c>
      <c r="L588" t="s">
        <v>2937</v>
      </c>
      <c r="M588">
        <v>0</v>
      </c>
      <c r="N588" t="s">
        <v>632</v>
      </c>
      <c r="O588" t="s">
        <v>2109</v>
      </c>
      <c r="P588" s="7">
        <v>23.84</v>
      </c>
      <c r="Q588" s="1">
        <v>45307</v>
      </c>
      <c r="R588">
        <f>WEEKNUM(Table2[[#This Row],[OrderDate]])</f>
        <v>3</v>
      </c>
      <c r="S588" s="1">
        <v>45311</v>
      </c>
      <c r="T588" t="s">
        <v>2918</v>
      </c>
    </row>
    <row r="589" spans="1:20" x14ac:dyDescent="0.35">
      <c r="A589" s="1">
        <v>45401</v>
      </c>
      <c r="B589" t="s">
        <v>2933</v>
      </c>
      <c r="C589" t="s">
        <v>24</v>
      </c>
      <c r="D589" s="9">
        <v>10</v>
      </c>
      <c r="E589" s="7">
        <v>278.45</v>
      </c>
      <c r="F589" t="s">
        <v>29</v>
      </c>
      <c r="G589" t="s">
        <v>30</v>
      </c>
      <c r="H589" s="12">
        <v>0</v>
      </c>
      <c r="I589" t="s">
        <v>32</v>
      </c>
      <c r="J589" s="7">
        <f>Table2[[#This Row],[UnitPrice]]*Table2[[#This Row],[Quantity]]*(1-Table2[[#This Row],[Discount]])</f>
        <v>2784.5</v>
      </c>
      <c r="K589" t="s">
        <v>40</v>
      </c>
      <c r="L589" t="s">
        <v>44</v>
      </c>
      <c r="M589">
        <v>0</v>
      </c>
      <c r="N589" t="s">
        <v>633</v>
      </c>
      <c r="O589" t="s">
        <v>2110</v>
      </c>
      <c r="P589" s="7">
        <v>11.13</v>
      </c>
      <c r="Q589" s="1">
        <v>45401</v>
      </c>
      <c r="R589">
        <f>WEEKNUM(Table2[[#This Row],[OrderDate]])</f>
        <v>16</v>
      </c>
      <c r="S589" s="1">
        <v>45407</v>
      </c>
      <c r="T589" t="s">
        <v>2921</v>
      </c>
    </row>
    <row r="590" spans="1:20" x14ac:dyDescent="0.35">
      <c r="A590" s="1">
        <v>45268</v>
      </c>
      <c r="B590" t="s">
        <v>2931</v>
      </c>
      <c r="C590" t="s">
        <v>23</v>
      </c>
      <c r="D590" s="9">
        <v>14</v>
      </c>
      <c r="E590" s="7">
        <v>382.19</v>
      </c>
      <c r="F590" t="s">
        <v>26</v>
      </c>
      <c r="G590" t="s">
        <v>30</v>
      </c>
      <c r="H590" s="12">
        <v>0.05</v>
      </c>
      <c r="I590" t="s">
        <v>34</v>
      </c>
      <c r="J590" s="7">
        <f>Table2[[#This Row],[UnitPrice]]*Table2[[#This Row],[Quantity]]*(1-Table2[[#This Row],[Discount]])</f>
        <v>5083.1269999999995</v>
      </c>
      <c r="K590" t="s">
        <v>42</v>
      </c>
      <c r="L590" t="s">
        <v>43</v>
      </c>
      <c r="M590">
        <v>1</v>
      </c>
      <c r="N590" t="s">
        <v>634</v>
      </c>
      <c r="O590" t="s">
        <v>2111</v>
      </c>
      <c r="P590" s="7">
        <v>49.12</v>
      </c>
      <c r="Q590" s="1">
        <v>45268</v>
      </c>
      <c r="R590">
        <f>WEEKNUM(Table2[[#This Row],[OrderDate]])</f>
        <v>49</v>
      </c>
      <c r="S590" s="1">
        <v>45271</v>
      </c>
      <c r="T590" t="s">
        <v>2919</v>
      </c>
    </row>
    <row r="591" spans="1:20" x14ac:dyDescent="0.35">
      <c r="A591" s="1">
        <v>45000</v>
      </c>
      <c r="B591" t="s">
        <v>2931</v>
      </c>
      <c r="C591" t="s">
        <v>23</v>
      </c>
      <c r="D591" s="9">
        <v>14</v>
      </c>
      <c r="E591" s="7">
        <v>232.49</v>
      </c>
      <c r="F591" t="s">
        <v>29</v>
      </c>
      <c r="G591" t="s">
        <v>30</v>
      </c>
      <c r="H591" s="12">
        <v>0.05</v>
      </c>
      <c r="I591" t="s">
        <v>36</v>
      </c>
      <c r="J591" s="7">
        <f>Table2[[#This Row],[UnitPrice]]*Table2[[#This Row],[Quantity]]*(1-Table2[[#This Row],[Discount]])</f>
        <v>3092.1170000000002</v>
      </c>
      <c r="K591" t="s">
        <v>38</v>
      </c>
      <c r="L591" t="s">
        <v>44</v>
      </c>
      <c r="M591">
        <v>1</v>
      </c>
      <c r="N591" t="s">
        <v>635</v>
      </c>
      <c r="O591" t="s">
        <v>2112</v>
      </c>
      <c r="P591" s="7">
        <v>5.32</v>
      </c>
      <c r="Q591" s="1">
        <v>45000</v>
      </c>
      <c r="R591">
        <f>WEEKNUM(Table2[[#This Row],[OrderDate]])</f>
        <v>11</v>
      </c>
      <c r="S591" s="1">
        <v>45004</v>
      </c>
      <c r="T591" t="s">
        <v>2919</v>
      </c>
    </row>
    <row r="592" spans="1:20" x14ac:dyDescent="0.35">
      <c r="A592" s="1">
        <v>45695</v>
      </c>
      <c r="B592" t="s">
        <v>2932</v>
      </c>
      <c r="C592" t="s">
        <v>19</v>
      </c>
      <c r="D592" s="9">
        <v>17</v>
      </c>
      <c r="E592" s="7">
        <v>15.01</v>
      </c>
      <c r="F592" t="s">
        <v>29</v>
      </c>
      <c r="G592" t="s">
        <v>30</v>
      </c>
      <c r="H592" s="12">
        <v>0.15</v>
      </c>
      <c r="I592" t="s">
        <v>36</v>
      </c>
      <c r="J592" s="7">
        <f>Table2[[#This Row],[UnitPrice]]*Table2[[#This Row],[Quantity]]*(1-Table2[[#This Row],[Discount]])</f>
        <v>216.89449999999999</v>
      </c>
      <c r="K592" t="s">
        <v>41</v>
      </c>
      <c r="L592" t="s">
        <v>44</v>
      </c>
      <c r="M592">
        <v>1</v>
      </c>
      <c r="N592" t="s">
        <v>636</v>
      </c>
      <c r="O592" t="s">
        <v>2113</v>
      </c>
      <c r="P592" s="7">
        <v>22</v>
      </c>
      <c r="Q592" s="1">
        <v>45695</v>
      </c>
      <c r="R592">
        <f>WEEKNUM(Table2[[#This Row],[OrderDate]])</f>
        <v>6</v>
      </c>
      <c r="S592" s="1">
        <v>45701</v>
      </c>
      <c r="T592" t="s">
        <v>2918</v>
      </c>
    </row>
    <row r="593" spans="1:20" x14ac:dyDescent="0.35">
      <c r="A593" s="1">
        <v>45835</v>
      </c>
      <c r="B593" t="s">
        <v>2931</v>
      </c>
      <c r="C593" t="s">
        <v>23</v>
      </c>
      <c r="D593" s="9">
        <v>11</v>
      </c>
      <c r="E593" s="7">
        <v>29.41</v>
      </c>
      <c r="F593" t="s">
        <v>29</v>
      </c>
      <c r="G593" t="s">
        <v>31</v>
      </c>
      <c r="H593" s="12">
        <v>0.05</v>
      </c>
      <c r="I593" t="s">
        <v>35</v>
      </c>
      <c r="J593" s="7">
        <f>Table2[[#This Row],[UnitPrice]]*Table2[[#This Row],[Quantity]]*(1-Table2[[#This Row],[Discount]])</f>
        <v>307.33449999999999</v>
      </c>
      <c r="K593" t="s">
        <v>40</v>
      </c>
      <c r="L593" t="s">
        <v>44</v>
      </c>
      <c r="M593">
        <v>0</v>
      </c>
      <c r="N593" t="s">
        <v>637</v>
      </c>
      <c r="O593" t="s">
        <v>2114</v>
      </c>
      <c r="P593" s="7">
        <v>6.16</v>
      </c>
      <c r="Q593" s="1">
        <v>45835</v>
      </c>
      <c r="R593">
        <f>WEEKNUM(Table2[[#This Row],[OrderDate]])</f>
        <v>26</v>
      </c>
      <c r="S593" s="1">
        <v>45840</v>
      </c>
      <c r="T593" t="s">
        <v>2919</v>
      </c>
    </row>
    <row r="594" spans="1:20" x14ac:dyDescent="0.35">
      <c r="A594" s="1">
        <v>45643</v>
      </c>
      <c r="B594" t="s">
        <v>2934</v>
      </c>
      <c r="C594" t="s">
        <v>24</v>
      </c>
      <c r="D594" s="9">
        <v>1</v>
      </c>
      <c r="E594" s="7">
        <v>486.19</v>
      </c>
      <c r="F594" t="s">
        <v>26</v>
      </c>
      <c r="G594" t="s">
        <v>31</v>
      </c>
      <c r="H594" s="12">
        <v>0.05</v>
      </c>
      <c r="I594" t="s">
        <v>34</v>
      </c>
      <c r="J594" s="7">
        <f>Table2[[#This Row],[UnitPrice]]*Table2[[#This Row],[Quantity]]*(1-Table2[[#This Row],[Discount]])</f>
        <v>461.88049999999998</v>
      </c>
      <c r="K594" t="s">
        <v>38</v>
      </c>
      <c r="L594" t="s">
        <v>44</v>
      </c>
      <c r="M594">
        <v>0</v>
      </c>
      <c r="N594" t="s">
        <v>638</v>
      </c>
      <c r="O594" t="s">
        <v>2115</v>
      </c>
      <c r="P594" s="7">
        <v>41.73</v>
      </c>
      <c r="Q594" s="1">
        <v>45643</v>
      </c>
      <c r="R594">
        <f>WEEKNUM(Table2[[#This Row],[OrderDate]])</f>
        <v>51</v>
      </c>
      <c r="S594" s="1">
        <v>45646</v>
      </c>
      <c r="T594" t="s">
        <v>2920</v>
      </c>
    </row>
    <row r="595" spans="1:20" x14ac:dyDescent="0.35">
      <c r="A595" s="1">
        <v>45415</v>
      </c>
      <c r="B595" t="s">
        <v>2932</v>
      </c>
      <c r="C595" t="s">
        <v>19</v>
      </c>
      <c r="D595" s="9">
        <v>6</v>
      </c>
      <c r="E595" s="7">
        <v>266.67</v>
      </c>
      <c r="F595" t="s">
        <v>26</v>
      </c>
      <c r="G595" t="s">
        <v>30</v>
      </c>
      <c r="H595" s="12">
        <v>0.05</v>
      </c>
      <c r="I595" t="s">
        <v>32</v>
      </c>
      <c r="J595" s="7">
        <f>Table2[[#This Row],[UnitPrice]]*Table2[[#This Row],[Quantity]]*(1-Table2[[#This Row],[Discount]])</f>
        <v>1520.019</v>
      </c>
      <c r="K595" t="s">
        <v>41</v>
      </c>
      <c r="L595" t="s">
        <v>2937</v>
      </c>
      <c r="M595">
        <v>0</v>
      </c>
      <c r="N595" t="s">
        <v>639</v>
      </c>
      <c r="O595" t="s">
        <v>2116</v>
      </c>
      <c r="P595" s="7">
        <v>48.49</v>
      </c>
      <c r="Q595" s="1">
        <v>45415</v>
      </c>
      <c r="R595">
        <f>WEEKNUM(Table2[[#This Row],[OrderDate]])</f>
        <v>18</v>
      </c>
      <c r="S595" s="1">
        <v>45423</v>
      </c>
      <c r="T595" t="s">
        <v>2918</v>
      </c>
    </row>
    <row r="596" spans="1:20" x14ac:dyDescent="0.35">
      <c r="A596" s="1">
        <v>45286</v>
      </c>
      <c r="B596" t="s">
        <v>2932</v>
      </c>
      <c r="C596" t="s">
        <v>25</v>
      </c>
      <c r="D596" s="9">
        <v>3</v>
      </c>
      <c r="E596" s="7">
        <v>300.8</v>
      </c>
      <c r="F596" t="s">
        <v>26</v>
      </c>
      <c r="G596" t="s">
        <v>30</v>
      </c>
      <c r="H596" s="12">
        <v>0.1</v>
      </c>
      <c r="I596" t="s">
        <v>35</v>
      </c>
      <c r="J596" s="7">
        <f>Table2[[#This Row],[UnitPrice]]*Table2[[#This Row],[Quantity]]*(1-Table2[[#This Row],[Discount]])</f>
        <v>812.16000000000008</v>
      </c>
      <c r="K596" t="s">
        <v>42</v>
      </c>
      <c r="L596" t="s">
        <v>2937</v>
      </c>
      <c r="M596">
        <v>1</v>
      </c>
      <c r="N596" t="s">
        <v>640</v>
      </c>
      <c r="O596" t="s">
        <v>2024</v>
      </c>
      <c r="P596" s="7">
        <v>15.98</v>
      </c>
      <c r="Q596" s="1">
        <v>45286</v>
      </c>
      <c r="R596">
        <f>WEEKNUM(Table2[[#This Row],[OrderDate]])</f>
        <v>52</v>
      </c>
      <c r="S596" s="1">
        <v>45292</v>
      </c>
      <c r="T596" t="s">
        <v>2918</v>
      </c>
    </row>
    <row r="597" spans="1:20" x14ac:dyDescent="0.35">
      <c r="A597" s="1">
        <v>45425</v>
      </c>
      <c r="B597" t="s">
        <v>2934</v>
      </c>
      <c r="C597" t="s">
        <v>25</v>
      </c>
      <c r="D597" s="9">
        <v>11</v>
      </c>
      <c r="E597" s="7">
        <v>79.63</v>
      </c>
      <c r="F597" t="s">
        <v>26</v>
      </c>
      <c r="G597" t="s">
        <v>30</v>
      </c>
      <c r="H597" s="12">
        <v>0.05</v>
      </c>
      <c r="I597" t="s">
        <v>34</v>
      </c>
      <c r="J597" s="7">
        <f>Table2[[#This Row],[UnitPrice]]*Table2[[#This Row],[Quantity]]*(1-Table2[[#This Row],[Discount]])</f>
        <v>832.13349999999991</v>
      </c>
      <c r="K597" t="s">
        <v>38</v>
      </c>
      <c r="L597" t="s">
        <v>2937</v>
      </c>
      <c r="M597">
        <v>0</v>
      </c>
      <c r="N597" t="s">
        <v>641</v>
      </c>
      <c r="O597" t="s">
        <v>2117</v>
      </c>
      <c r="P597" s="7">
        <v>43.84</v>
      </c>
      <c r="Q597" s="1">
        <v>45425</v>
      </c>
      <c r="R597">
        <f>WEEKNUM(Table2[[#This Row],[OrderDate]])</f>
        <v>20</v>
      </c>
      <c r="S597" s="1">
        <v>45431</v>
      </c>
      <c r="T597" t="s">
        <v>2920</v>
      </c>
    </row>
    <row r="598" spans="1:20" x14ac:dyDescent="0.35">
      <c r="A598" s="1">
        <v>45206</v>
      </c>
      <c r="B598" t="s">
        <v>2932</v>
      </c>
      <c r="C598" t="s">
        <v>19</v>
      </c>
      <c r="D598" s="9">
        <v>6</v>
      </c>
      <c r="E598" s="7">
        <v>505.7</v>
      </c>
      <c r="F598" t="s">
        <v>28</v>
      </c>
      <c r="G598" t="s">
        <v>31</v>
      </c>
      <c r="H598" s="12">
        <v>0</v>
      </c>
      <c r="I598" t="s">
        <v>33</v>
      </c>
      <c r="J598" s="7">
        <f>Table2[[#This Row],[UnitPrice]]*Table2[[#This Row],[Quantity]]*(1-Table2[[#This Row],[Discount]])</f>
        <v>3034.2</v>
      </c>
      <c r="K598" t="s">
        <v>42</v>
      </c>
      <c r="L598" t="s">
        <v>2937</v>
      </c>
      <c r="M598">
        <v>0</v>
      </c>
      <c r="N598" t="s">
        <v>642</v>
      </c>
      <c r="O598" t="s">
        <v>2118</v>
      </c>
      <c r="P598" s="7">
        <v>40.380000000000003</v>
      </c>
      <c r="Q598" s="1">
        <v>45206</v>
      </c>
      <c r="R598">
        <f>WEEKNUM(Table2[[#This Row],[OrderDate]])</f>
        <v>40</v>
      </c>
      <c r="S598" s="1">
        <v>45215</v>
      </c>
      <c r="T598" t="s">
        <v>2918</v>
      </c>
    </row>
    <row r="599" spans="1:20" x14ac:dyDescent="0.35">
      <c r="A599" s="1">
        <v>45118</v>
      </c>
      <c r="B599" t="s">
        <v>2933</v>
      </c>
      <c r="C599" t="s">
        <v>25</v>
      </c>
      <c r="D599" s="9">
        <v>5</v>
      </c>
      <c r="E599" s="7">
        <v>569.62</v>
      </c>
      <c r="F599" t="s">
        <v>28</v>
      </c>
      <c r="G599" t="s">
        <v>30</v>
      </c>
      <c r="H599" s="12">
        <v>0</v>
      </c>
      <c r="I599" t="s">
        <v>36</v>
      </c>
      <c r="J599" s="7">
        <f>Table2[[#This Row],[UnitPrice]]*Table2[[#This Row],[Quantity]]*(1-Table2[[#This Row],[Discount]])</f>
        <v>2848.1</v>
      </c>
      <c r="K599" t="s">
        <v>41</v>
      </c>
      <c r="L599" t="s">
        <v>43</v>
      </c>
      <c r="M599">
        <v>0</v>
      </c>
      <c r="N599" t="s">
        <v>643</v>
      </c>
      <c r="O599" t="s">
        <v>2119</v>
      </c>
      <c r="P599" s="7">
        <v>48.8</v>
      </c>
      <c r="Q599" s="1">
        <v>45118</v>
      </c>
      <c r="R599">
        <f>WEEKNUM(Table2[[#This Row],[OrderDate]])</f>
        <v>28</v>
      </c>
      <c r="S599" s="1">
        <v>45120</v>
      </c>
      <c r="T599" t="s">
        <v>2921</v>
      </c>
    </row>
    <row r="600" spans="1:20" x14ac:dyDescent="0.35">
      <c r="A600" s="1">
        <v>45688</v>
      </c>
      <c r="B600" t="s">
        <v>2932</v>
      </c>
      <c r="C600" t="s">
        <v>24</v>
      </c>
      <c r="D600" s="9">
        <v>19</v>
      </c>
      <c r="E600" s="7">
        <v>90.85</v>
      </c>
      <c r="F600" t="s">
        <v>28</v>
      </c>
      <c r="G600" t="s">
        <v>31</v>
      </c>
      <c r="H600" s="12">
        <v>0.05</v>
      </c>
      <c r="I600" t="s">
        <v>33</v>
      </c>
      <c r="J600" s="7">
        <f>Table2[[#This Row],[UnitPrice]]*Table2[[#This Row],[Quantity]]*(1-Table2[[#This Row],[Discount]])</f>
        <v>1639.8424999999997</v>
      </c>
      <c r="K600" t="s">
        <v>40</v>
      </c>
      <c r="L600" t="s">
        <v>44</v>
      </c>
      <c r="M600">
        <v>0</v>
      </c>
      <c r="N600" t="s">
        <v>644</v>
      </c>
      <c r="O600" t="s">
        <v>2120</v>
      </c>
      <c r="P600" s="7">
        <v>22.28</v>
      </c>
      <c r="Q600" s="1">
        <v>45688</v>
      </c>
      <c r="R600">
        <f>WEEKNUM(Table2[[#This Row],[OrderDate]])</f>
        <v>5</v>
      </c>
      <c r="S600" s="1">
        <v>45694</v>
      </c>
      <c r="T600" t="s">
        <v>2918</v>
      </c>
    </row>
    <row r="601" spans="1:20" x14ac:dyDescent="0.35">
      <c r="A601" s="1">
        <v>44961</v>
      </c>
      <c r="B601" t="s">
        <v>2932</v>
      </c>
      <c r="C601" t="s">
        <v>22</v>
      </c>
      <c r="D601" s="9">
        <v>2</v>
      </c>
      <c r="E601" s="7">
        <v>296.91000000000003</v>
      </c>
      <c r="F601" t="s">
        <v>27</v>
      </c>
      <c r="G601" t="s">
        <v>30</v>
      </c>
      <c r="H601" s="12">
        <v>0.05</v>
      </c>
      <c r="I601" t="s">
        <v>35</v>
      </c>
      <c r="J601" s="7">
        <f>Table2[[#This Row],[UnitPrice]]*Table2[[#This Row],[Quantity]]*(1-Table2[[#This Row],[Discount]])</f>
        <v>564.12900000000002</v>
      </c>
      <c r="K601" t="s">
        <v>41</v>
      </c>
      <c r="L601" t="s">
        <v>45</v>
      </c>
      <c r="M601">
        <v>0</v>
      </c>
      <c r="N601" t="s">
        <v>645</v>
      </c>
      <c r="O601" t="s">
        <v>2121</v>
      </c>
      <c r="P601" s="7">
        <v>44.35</v>
      </c>
      <c r="Q601" s="1">
        <v>44961</v>
      </c>
      <c r="R601">
        <f>WEEKNUM(Table2[[#This Row],[OrderDate]])</f>
        <v>5</v>
      </c>
      <c r="S601" s="1">
        <v>44964</v>
      </c>
      <c r="T601" t="s">
        <v>2918</v>
      </c>
    </row>
    <row r="602" spans="1:20" x14ac:dyDescent="0.35">
      <c r="A602" s="1">
        <v>45171</v>
      </c>
      <c r="B602" t="s">
        <v>2932</v>
      </c>
      <c r="C602" t="s">
        <v>25</v>
      </c>
      <c r="D602" s="9">
        <v>2</v>
      </c>
      <c r="E602" s="7">
        <v>6.19</v>
      </c>
      <c r="F602" t="s">
        <v>26</v>
      </c>
      <c r="G602" t="s">
        <v>31</v>
      </c>
      <c r="H602" s="12">
        <v>0.1</v>
      </c>
      <c r="I602" t="s">
        <v>34</v>
      </c>
      <c r="J602" s="7">
        <f>Table2[[#This Row],[UnitPrice]]*Table2[[#This Row],[Quantity]]*(1-Table2[[#This Row],[Discount]])</f>
        <v>11.142000000000001</v>
      </c>
      <c r="K602" t="s">
        <v>40</v>
      </c>
      <c r="L602" t="s">
        <v>43</v>
      </c>
      <c r="M602">
        <v>1</v>
      </c>
      <c r="N602" t="s">
        <v>646</v>
      </c>
      <c r="O602" t="s">
        <v>2122</v>
      </c>
      <c r="P602" s="7">
        <v>47.24</v>
      </c>
      <c r="Q602" s="1">
        <v>45171</v>
      </c>
      <c r="R602">
        <f>WEEKNUM(Table2[[#This Row],[OrderDate]])</f>
        <v>35</v>
      </c>
      <c r="S602" s="1">
        <v>45181</v>
      </c>
      <c r="T602" t="s">
        <v>2918</v>
      </c>
    </row>
    <row r="603" spans="1:20" x14ac:dyDescent="0.35">
      <c r="A603" s="1">
        <v>45639</v>
      </c>
      <c r="B603" t="s">
        <v>2934</v>
      </c>
      <c r="C603" t="s">
        <v>23</v>
      </c>
      <c r="D603" s="9">
        <v>18</v>
      </c>
      <c r="E603" s="7">
        <v>207.35</v>
      </c>
      <c r="F603" t="s">
        <v>29</v>
      </c>
      <c r="G603" t="s">
        <v>30</v>
      </c>
      <c r="H603" s="12">
        <v>0.15</v>
      </c>
      <c r="I603" t="s">
        <v>33</v>
      </c>
      <c r="J603" s="7">
        <f>Table2[[#This Row],[UnitPrice]]*Table2[[#This Row],[Quantity]]*(1-Table2[[#This Row],[Discount]])</f>
        <v>3172.4549999999995</v>
      </c>
      <c r="K603" t="s">
        <v>41</v>
      </c>
      <c r="L603" t="s">
        <v>43</v>
      </c>
      <c r="M603">
        <v>0</v>
      </c>
      <c r="N603" t="s">
        <v>647</v>
      </c>
      <c r="O603" t="s">
        <v>2123</v>
      </c>
      <c r="P603" s="7">
        <v>11.17</v>
      </c>
      <c r="Q603" s="1">
        <v>45639</v>
      </c>
      <c r="R603">
        <f>WEEKNUM(Table2[[#This Row],[OrderDate]])</f>
        <v>50</v>
      </c>
      <c r="S603" s="1">
        <v>45641</v>
      </c>
      <c r="T603" t="s">
        <v>2920</v>
      </c>
    </row>
    <row r="604" spans="1:20" x14ac:dyDescent="0.35">
      <c r="A604" s="1">
        <v>45212</v>
      </c>
      <c r="B604" t="s">
        <v>2934</v>
      </c>
      <c r="C604" t="s">
        <v>24</v>
      </c>
      <c r="D604" s="9">
        <v>5</v>
      </c>
      <c r="E604" s="7">
        <v>75.27</v>
      </c>
      <c r="F604" t="s">
        <v>27</v>
      </c>
      <c r="G604" t="s">
        <v>30</v>
      </c>
      <c r="H604" s="12">
        <v>0</v>
      </c>
      <c r="I604" t="s">
        <v>35</v>
      </c>
      <c r="J604" s="7">
        <f>Table2[[#This Row],[UnitPrice]]*Table2[[#This Row],[Quantity]]*(1-Table2[[#This Row],[Discount]])</f>
        <v>376.34999999999997</v>
      </c>
      <c r="K604" t="s">
        <v>42</v>
      </c>
      <c r="L604" t="s">
        <v>2937</v>
      </c>
      <c r="M604">
        <v>0</v>
      </c>
      <c r="N604" t="s">
        <v>648</v>
      </c>
      <c r="O604" t="s">
        <v>2124</v>
      </c>
      <c r="P604" s="7">
        <v>31.61</v>
      </c>
      <c r="Q604" s="1">
        <v>45212</v>
      </c>
      <c r="R604">
        <f>WEEKNUM(Table2[[#This Row],[OrderDate]])</f>
        <v>41</v>
      </c>
      <c r="S604" s="1">
        <v>45221</v>
      </c>
      <c r="T604" t="s">
        <v>2920</v>
      </c>
    </row>
    <row r="605" spans="1:20" x14ac:dyDescent="0.35">
      <c r="A605" s="1">
        <v>45568</v>
      </c>
      <c r="B605" t="s">
        <v>2932</v>
      </c>
      <c r="C605" t="s">
        <v>23</v>
      </c>
      <c r="D605" s="9">
        <v>3</v>
      </c>
      <c r="E605" s="7">
        <v>136.15</v>
      </c>
      <c r="F605" t="s">
        <v>27</v>
      </c>
      <c r="G605" t="s">
        <v>31</v>
      </c>
      <c r="H605" s="12">
        <v>0.1</v>
      </c>
      <c r="I605" t="s">
        <v>36</v>
      </c>
      <c r="J605" s="7">
        <f>Table2[[#This Row],[UnitPrice]]*Table2[[#This Row],[Quantity]]*(1-Table2[[#This Row],[Discount]])</f>
        <v>367.60500000000008</v>
      </c>
      <c r="K605" t="s">
        <v>39</v>
      </c>
      <c r="L605" t="s">
        <v>44</v>
      </c>
      <c r="M605">
        <v>0</v>
      </c>
      <c r="N605" t="s">
        <v>649</v>
      </c>
      <c r="O605" t="s">
        <v>2125</v>
      </c>
      <c r="P605" s="7">
        <v>48.38</v>
      </c>
      <c r="Q605" s="1">
        <v>45568</v>
      </c>
      <c r="R605">
        <f>WEEKNUM(Table2[[#This Row],[OrderDate]])</f>
        <v>40</v>
      </c>
      <c r="S605" s="1">
        <v>45572</v>
      </c>
      <c r="T605" t="s">
        <v>2918</v>
      </c>
    </row>
    <row r="606" spans="1:20" x14ac:dyDescent="0.35">
      <c r="A606" s="1">
        <v>45410</v>
      </c>
      <c r="B606" t="s">
        <v>2934</v>
      </c>
      <c r="C606" t="s">
        <v>21</v>
      </c>
      <c r="D606" s="9">
        <v>5</v>
      </c>
      <c r="E606" s="7">
        <v>544.66</v>
      </c>
      <c r="F606" t="s">
        <v>26</v>
      </c>
      <c r="G606" t="s">
        <v>31</v>
      </c>
      <c r="H606" s="12">
        <v>0.1</v>
      </c>
      <c r="I606" t="s">
        <v>36</v>
      </c>
      <c r="J606" s="7">
        <f>Table2[[#This Row],[UnitPrice]]*Table2[[#This Row],[Quantity]]*(1-Table2[[#This Row],[Discount]])</f>
        <v>2450.9699999999998</v>
      </c>
      <c r="K606" t="s">
        <v>38</v>
      </c>
      <c r="L606" t="s">
        <v>44</v>
      </c>
      <c r="M606">
        <v>0</v>
      </c>
      <c r="N606" t="s">
        <v>650</v>
      </c>
      <c r="O606" t="s">
        <v>2126</v>
      </c>
      <c r="P606" s="7">
        <v>8.39</v>
      </c>
      <c r="Q606" s="1">
        <v>45410</v>
      </c>
      <c r="R606">
        <f>WEEKNUM(Table2[[#This Row],[OrderDate]])</f>
        <v>18</v>
      </c>
      <c r="S606" s="1">
        <v>45416</v>
      </c>
      <c r="T606" t="s">
        <v>2920</v>
      </c>
    </row>
    <row r="607" spans="1:20" x14ac:dyDescent="0.35">
      <c r="A607" s="1">
        <v>45329</v>
      </c>
      <c r="B607" t="s">
        <v>2934</v>
      </c>
      <c r="C607" t="s">
        <v>21</v>
      </c>
      <c r="D607" s="9">
        <v>8</v>
      </c>
      <c r="E607" s="7">
        <v>561.9</v>
      </c>
      <c r="F607" t="s">
        <v>27</v>
      </c>
      <c r="G607" t="s">
        <v>31</v>
      </c>
      <c r="H607" s="12">
        <v>0.15</v>
      </c>
      <c r="I607" t="s">
        <v>37</v>
      </c>
      <c r="J607" s="7">
        <f>Table2[[#This Row],[UnitPrice]]*Table2[[#This Row],[Quantity]]*(1-Table2[[#This Row],[Discount]])</f>
        <v>3820.9199999999996</v>
      </c>
      <c r="K607" t="s">
        <v>38</v>
      </c>
      <c r="L607" t="s">
        <v>43</v>
      </c>
      <c r="M607">
        <v>1</v>
      </c>
      <c r="N607" t="s">
        <v>651</v>
      </c>
      <c r="O607" t="s">
        <v>2127</v>
      </c>
      <c r="P607" s="7">
        <v>15.97</v>
      </c>
      <c r="Q607" s="1">
        <v>45329</v>
      </c>
      <c r="R607">
        <f>WEEKNUM(Table2[[#This Row],[OrderDate]])</f>
        <v>6</v>
      </c>
      <c r="S607" s="1">
        <v>45336</v>
      </c>
      <c r="T607" t="s">
        <v>2920</v>
      </c>
    </row>
    <row r="608" spans="1:20" x14ac:dyDescent="0.35">
      <c r="A608" s="1">
        <v>44965</v>
      </c>
      <c r="B608" t="s">
        <v>2932</v>
      </c>
      <c r="C608" t="s">
        <v>22</v>
      </c>
      <c r="D608" s="9">
        <v>20</v>
      </c>
      <c r="E608" s="7">
        <v>313.47000000000003</v>
      </c>
      <c r="F608" t="s">
        <v>28</v>
      </c>
      <c r="G608" t="s">
        <v>31</v>
      </c>
      <c r="H608" s="12">
        <v>0.15</v>
      </c>
      <c r="I608" t="s">
        <v>33</v>
      </c>
      <c r="J608" s="7">
        <f>Table2[[#This Row],[UnitPrice]]*Table2[[#This Row],[Quantity]]*(1-Table2[[#This Row],[Discount]])</f>
        <v>5328.9900000000007</v>
      </c>
      <c r="K608" t="s">
        <v>38</v>
      </c>
      <c r="L608" t="s">
        <v>43</v>
      </c>
      <c r="M608">
        <v>0</v>
      </c>
      <c r="N608" t="s">
        <v>652</v>
      </c>
      <c r="O608" t="s">
        <v>2128</v>
      </c>
      <c r="P608" s="7">
        <v>18.170000000000002</v>
      </c>
      <c r="Q608" s="1">
        <v>44965</v>
      </c>
      <c r="R608">
        <f>WEEKNUM(Table2[[#This Row],[OrderDate]])</f>
        <v>6</v>
      </c>
      <c r="S608" s="1">
        <v>44968</v>
      </c>
      <c r="T608" t="s">
        <v>2918</v>
      </c>
    </row>
    <row r="609" spans="1:20" x14ac:dyDescent="0.35">
      <c r="A609" s="1">
        <v>45094</v>
      </c>
      <c r="B609" t="s">
        <v>2932</v>
      </c>
      <c r="C609" t="s">
        <v>20</v>
      </c>
      <c r="D609" s="9">
        <v>1</v>
      </c>
      <c r="E609" s="7">
        <v>418.45</v>
      </c>
      <c r="F609" t="s">
        <v>28</v>
      </c>
      <c r="G609" t="s">
        <v>31</v>
      </c>
      <c r="H609" s="12">
        <v>0.15</v>
      </c>
      <c r="I609" t="s">
        <v>36</v>
      </c>
      <c r="J609" s="7">
        <f>Table2[[#This Row],[UnitPrice]]*Table2[[#This Row],[Quantity]]*(1-Table2[[#This Row],[Discount]])</f>
        <v>355.6825</v>
      </c>
      <c r="K609" t="s">
        <v>42</v>
      </c>
      <c r="L609" t="s">
        <v>45</v>
      </c>
      <c r="M609">
        <v>0</v>
      </c>
      <c r="N609" t="s">
        <v>653</v>
      </c>
      <c r="O609" t="s">
        <v>2129</v>
      </c>
      <c r="P609" s="7">
        <v>35.58</v>
      </c>
      <c r="Q609" s="1">
        <v>45094</v>
      </c>
      <c r="R609">
        <f>WEEKNUM(Table2[[#This Row],[OrderDate]])</f>
        <v>24</v>
      </c>
      <c r="S609" s="1">
        <v>45096</v>
      </c>
      <c r="T609" t="s">
        <v>2918</v>
      </c>
    </row>
    <row r="610" spans="1:20" x14ac:dyDescent="0.35">
      <c r="A610" s="1">
        <v>45502</v>
      </c>
      <c r="B610" t="s">
        <v>2933</v>
      </c>
      <c r="C610" t="s">
        <v>23</v>
      </c>
      <c r="D610" s="9">
        <v>8</v>
      </c>
      <c r="E610" s="7">
        <v>420.75</v>
      </c>
      <c r="F610" t="s">
        <v>26</v>
      </c>
      <c r="G610" t="s">
        <v>30</v>
      </c>
      <c r="H610" s="12">
        <v>0.1</v>
      </c>
      <c r="I610" t="s">
        <v>37</v>
      </c>
      <c r="J610" s="7">
        <f>Table2[[#This Row],[UnitPrice]]*Table2[[#This Row],[Quantity]]*(1-Table2[[#This Row],[Discount]])</f>
        <v>3029.4</v>
      </c>
      <c r="K610" t="s">
        <v>38</v>
      </c>
      <c r="L610" t="s">
        <v>44</v>
      </c>
      <c r="M610">
        <v>1</v>
      </c>
      <c r="N610" t="s">
        <v>654</v>
      </c>
      <c r="O610" t="s">
        <v>2130</v>
      </c>
      <c r="P610" s="7">
        <v>44.61</v>
      </c>
      <c r="Q610" s="1">
        <v>45502</v>
      </c>
      <c r="R610">
        <f>WEEKNUM(Table2[[#This Row],[OrderDate]])</f>
        <v>31</v>
      </c>
      <c r="S610" s="1">
        <v>45505</v>
      </c>
      <c r="T610" t="s">
        <v>2921</v>
      </c>
    </row>
    <row r="611" spans="1:20" x14ac:dyDescent="0.35">
      <c r="A611" s="1">
        <v>45320</v>
      </c>
      <c r="B611" t="s">
        <v>2933</v>
      </c>
      <c r="C611" t="s">
        <v>25</v>
      </c>
      <c r="D611" s="9">
        <v>16</v>
      </c>
      <c r="E611" s="7">
        <v>514.36</v>
      </c>
      <c r="F611" t="s">
        <v>29</v>
      </c>
      <c r="G611" t="s">
        <v>30</v>
      </c>
      <c r="H611" s="12">
        <v>0</v>
      </c>
      <c r="I611" t="s">
        <v>33</v>
      </c>
      <c r="J611" s="7">
        <f>Table2[[#This Row],[UnitPrice]]*Table2[[#This Row],[Quantity]]*(1-Table2[[#This Row],[Discount]])</f>
        <v>8229.76</v>
      </c>
      <c r="K611" t="s">
        <v>38</v>
      </c>
      <c r="L611" t="s">
        <v>44</v>
      </c>
      <c r="M611">
        <v>0</v>
      </c>
      <c r="N611" t="s">
        <v>655</v>
      </c>
      <c r="O611" t="s">
        <v>2131</v>
      </c>
      <c r="P611" s="7">
        <v>40.75</v>
      </c>
      <c r="Q611" s="1">
        <v>45320</v>
      </c>
      <c r="R611">
        <f>WEEKNUM(Table2[[#This Row],[OrderDate]])</f>
        <v>5</v>
      </c>
      <c r="S611" s="1">
        <v>45323</v>
      </c>
      <c r="T611" t="s">
        <v>2921</v>
      </c>
    </row>
    <row r="612" spans="1:20" x14ac:dyDescent="0.35">
      <c r="A612" s="1">
        <v>45309</v>
      </c>
      <c r="B612" t="s">
        <v>2930</v>
      </c>
      <c r="C612" t="s">
        <v>20</v>
      </c>
      <c r="D612" s="9">
        <v>2</v>
      </c>
      <c r="E612" s="7">
        <v>297.2</v>
      </c>
      <c r="F612" t="s">
        <v>26</v>
      </c>
      <c r="G612" t="s">
        <v>31</v>
      </c>
      <c r="H612" s="12">
        <v>0.1</v>
      </c>
      <c r="I612" t="s">
        <v>34</v>
      </c>
      <c r="J612" s="7">
        <f>Table2[[#This Row],[UnitPrice]]*Table2[[#This Row],[Quantity]]*(1-Table2[[#This Row],[Discount]])</f>
        <v>534.96</v>
      </c>
      <c r="K612" t="s">
        <v>39</v>
      </c>
      <c r="L612" t="s">
        <v>43</v>
      </c>
      <c r="M612">
        <v>0</v>
      </c>
      <c r="N612" t="s">
        <v>656</v>
      </c>
      <c r="O612" t="s">
        <v>2132</v>
      </c>
      <c r="P612" s="7">
        <v>8.7100000000000009</v>
      </c>
      <c r="Q612" s="1">
        <v>45309</v>
      </c>
      <c r="R612">
        <f>WEEKNUM(Table2[[#This Row],[OrderDate]])</f>
        <v>3</v>
      </c>
      <c r="S612" s="1">
        <v>45314</v>
      </c>
      <c r="T612" t="s">
        <v>2917</v>
      </c>
    </row>
    <row r="613" spans="1:20" x14ac:dyDescent="0.35">
      <c r="A613" s="1">
        <v>45516</v>
      </c>
      <c r="B613" t="s">
        <v>2931</v>
      </c>
      <c r="C613" t="s">
        <v>22</v>
      </c>
      <c r="D613" s="9">
        <v>10</v>
      </c>
      <c r="E613" s="7">
        <v>278</v>
      </c>
      <c r="F613" t="s">
        <v>28</v>
      </c>
      <c r="G613" t="s">
        <v>31</v>
      </c>
      <c r="H613" s="12">
        <v>0</v>
      </c>
      <c r="I613" t="s">
        <v>37</v>
      </c>
      <c r="J613" s="7">
        <f>Table2[[#This Row],[UnitPrice]]*Table2[[#This Row],[Quantity]]*(1-Table2[[#This Row],[Discount]])</f>
        <v>2780</v>
      </c>
      <c r="K613" t="s">
        <v>40</v>
      </c>
      <c r="L613" t="s">
        <v>2937</v>
      </c>
      <c r="M613">
        <v>0</v>
      </c>
      <c r="N613" t="s">
        <v>657</v>
      </c>
      <c r="O613" t="s">
        <v>2133</v>
      </c>
      <c r="P613" s="7">
        <v>24.25</v>
      </c>
      <c r="Q613" s="1">
        <v>45516</v>
      </c>
      <c r="R613">
        <f>WEEKNUM(Table2[[#This Row],[OrderDate]])</f>
        <v>33</v>
      </c>
      <c r="S613" s="1">
        <v>45526</v>
      </c>
      <c r="T613" t="s">
        <v>2919</v>
      </c>
    </row>
    <row r="614" spans="1:20" x14ac:dyDescent="0.35">
      <c r="A614" s="1">
        <v>45763</v>
      </c>
      <c r="B614" t="s">
        <v>2933</v>
      </c>
      <c r="C614" t="s">
        <v>23</v>
      </c>
      <c r="D614" s="9">
        <v>8</v>
      </c>
      <c r="E614" s="7">
        <v>583.16999999999996</v>
      </c>
      <c r="F614" t="s">
        <v>29</v>
      </c>
      <c r="G614" t="s">
        <v>30</v>
      </c>
      <c r="H614" s="12">
        <v>0.1</v>
      </c>
      <c r="I614" t="s">
        <v>34</v>
      </c>
      <c r="J614" s="7">
        <f>Table2[[#This Row],[UnitPrice]]*Table2[[#This Row],[Quantity]]*(1-Table2[[#This Row],[Discount]])</f>
        <v>4198.8239999999996</v>
      </c>
      <c r="K614" t="s">
        <v>40</v>
      </c>
      <c r="L614" t="s">
        <v>45</v>
      </c>
      <c r="M614">
        <v>0</v>
      </c>
      <c r="N614" t="s">
        <v>658</v>
      </c>
      <c r="O614" t="s">
        <v>2134</v>
      </c>
      <c r="P614" s="7">
        <v>49.18</v>
      </c>
      <c r="Q614" s="1">
        <v>45763</v>
      </c>
      <c r="R614">
        <f>WEEKNUM(Table2[[#This Row],[OrderDate]])</f>
        <v>16</v>
      </c>
      <c r="S614" s="1">
        <v>45767</v>
      </c>
      <c r="T614" t="s">
        <v>2921</v>
      </c>
    </row>
    <row r="615" spans="1:20" x14ac:dyDescent="0.35">
      <c r="A615" s="1">
        <v>44983</v>
      </c>
      <c r="B615" t="s">
        <v>2934</v>
      </c>
      <c r="C615" t="s">
        <v>21</v>
      </c>
      <c r="D615" s="9">
        <v>16</v>
      </c>
      <c r="E615" s="7">
        <v>75.62</v>
      </c>
      <c r="F615" t="s">
        <v>29</v>
      </c>
      <c r="G615" t="s">
        <v>31</v>
      </c>
      <c r="H615" s="12">
        <v>0.1</v>
      </c>
      <c r="I615" t="s">
        <v>36</v>
      </c>
      <c r="J615" s="7">
        <f>Table2[[#This Row],[UnitPrice]]*Table2[[#This Row],[Quantity]]*(1-Table2[[#This Row],[Discount]])</f>
        <v>1088.9280000000001</v>
      </c>
      <c r="K615" t="s">
        <v>42</v>
      </c>
      <c r="L615" t="s">
        <v>45</v>
      </c>
      <c r="M615">
        <v>0</v>
      </c>
      <c r="N615" t="s">
        <v>659</v>
      </c>
      <c r="O615" t="s">
        <v>2135</v>
      </c>
      <c r="P615" s="7">
        <v>27.39</v>
      </c>
      <c r="Q615" s="1">
        <v>44983</v>
      </c>
      <c r="R615">
        <f>WEEKNUM(Table2[[#This Row],[OrderDate]])</f>
        <v>9</v>
      </c>
      <c r="S615" s="1">
        <v>44987</v>
      </c>
      <c r="T615" t="s">
        <v>2920</v>
      </c>
    </row>
    <row r="616" spans="1:20" x14ac:dyDescent="0.35">
      <c r="A616" s="1">
        <v>44933</v>
      </c>
      <c r="B616" t="s">
        <v>2930</v>
      </c>
      <c r="C616" t="s">
        <v>21</v>
      </c>
      <c r="D616" s="9">
        <v>13</v>
      </c>
      <c r="E616" s="7">
        <v>561.62</v>
      </c>
      <c r="F616" t="s">
        <v>28</v>
      </c>
      <c r="G616" t="s">
        <v>30</v>
      </c>
      <c r="H616" s="12">
        <v>0.05</v>
      </c>
      <c r="I616" t="s">
        <v>34</v>
      </c>
      <c r="J616" s="7">
        <f>Table2[[#This Row],[UnitPrice]]*Table2[[#This Row],[Quantity]]*(1-Table2[[#This Row],[Discount]])</f>
        <v>6936.0069999999996</v>
      </c>
      <c r="K616" t="s">
        <v>39</v>
      </c>
      <c r="L616" t="s">
        <v>43</v>
      </c>
      <c r="M616">
        <v>0</v>
      </c>
      <c r="N616" t="s">
        <v>660</v>
      </c>
      <c r="O616" t="s">
        <v>2136</v>
      </c>
      <c r="P616" s="7">
        <v>12.91</v>
      </c>
      <c r="Q616" s="1">
        <v>44933</v>
      </c>
      <c r="R616">
        <f>WEEKNUM(Table2[[#This Row],[OrderDate]])</f>
        <v>1</v>
      </c>
      <c r="S616" s="1">
        <v>44937</v>
      </c>
      <c r="T616" t="s">
        <v>2917</v>
      </c>
    </row>
    <row r="617" spans="1:20" x14ac:dyDescent="0.35">
      <c r="A617" s="1">
        <v>45223</v>
      </c>
      <c r="B617" t="s">
        <v>2932</v>
      </c>
      <c r="C617" t="s">
        <v>21</v>
      </c>
      <c r="D617" s="9">
        <v>5</v>
      </c>
      <c r="E617" s="7">
        <v>359.61</v>
      </c>
      <c r="F617" t="s">
        <v>27</v>
      </c>
      <c r="G617" t="s">
        <v>31</v>
      </c>
      <c r="H617" s="12">
        <v>0</v>
      </c>
      <c r="I617" t="s">
        <v>37</v>
      </c>
      <c r="J617" s="7">
        <f>Table2[[#This Row],[UnitPrice]]*Table2[[#This Row],[Quantity]]*(1-Table2[[#This Row],[Discount]])</f>
        <v>1798.0500000000002</v>
      </c>
      <c r="K617" t="s">
        <v>38</v>
      </c>
      <c r="L617" t="s">
        <v>43</v>
      </c>
      <c r="M617">
        <v>0</v>
      </c>
      <c r="N617" t="s">
        <v>661</v>
      </c>
      <c r="O617" t="s">
        <v>2137</v>
      </c>
      <c r="P617" s="7">
        <v>41.31</v>
      </c>
      <c r="Q617" s="1">
        <v>45223</v>
      </c>
      <c r="R617">
        <f>WEEKNUM(Table2[[#This Row],[OrderDate]])</f>
        <v>43</v>
      </c>
      <c r="S617" s="1">
        <v>45233</v>
      </c>
      <c r="T617" t="s">
        <v>2918</v>
      </c>
    </row>
    <row r="618" spans="1:20" x14ac:dyDescent="0.35">
      <c r="A618" s="1">
        <v>45293</v>
      </c>
      <c r="B618" t="s">
        <v>2931</v>
      </c>
      <c r="C618" t="s">
        <v>24</v>
      </c>
      <c r="D618" s="9">
        <v>15</v>
      </c>
      <c r="E618" s="7">
        <v>115.48</v>
      </c>
      <c r="F618" t="s">
        <v>27</v>
      </c>
      <c r="G618" t="s">
        <v>31</v>
      </c>
      <c r="H618" s="12">
        <v>0.15</v>
      </c>
      <c r="I618" t="s">
        <v>34</v>
      </c>
      <c r="J618" s="7">
        <f>Table2[[#This Row],[UnitPrice]]*Table2[[#This Row],[Quantity]]*(1-Table2[[#This Row],[Discount]])</f>
        <v>1472.37</v>
      </c>
      <c r="K618" t="s">
        <v>40</v>
      </c>
      <c r="L618" t="s">
        <v>2937</v>
      </c>
      <c r="M618">
        <v>0</v>
      </c>
      <c r="N618" t="s">
        <v>662</v>
      </c>
      <c r="O618" t="s">
        <v>2138</v>
      </c>
      <c r="P618" s="7">
        <v>6.04</v>
      </c>
      <c r="Q618" s="1">
        <v>45293</v>
      </c>
      <c r="R618">
        <f>WEEKNUM(Table2[[#This Row],[OrderDate]])</f>
        <v>1</v>
      </c>
      <c r="S618" s="1">
        <v>45303</v>
      </c>
      <c r="T618" t="s">
        <v>2919</v>
      </c>
    </row>
    <row r="619" spans="1:20" x14ac:dyDescent="0.35">
      <c r="A619" s="1">
        <v>45552</v>
      </c>
      <c r="B619" t="s">
        <v>2932</v>
      </c>
      <c r="C619" t="s">
        <v>19</v>
      </c>
      <c r="D619" s="9">
        <v>12</v>
      </c>
      <c r="E619" s="7">
        <v>596.26</v>
      </c>
      <c r="F619" t="s">
        <v>29</v>
      </c>
      <c r="G619" t="s">
        <v>30</v>
      </c>
      <c r="H619" s="12">
        <v>0.15</v>
      </c>
      <c r="I619" t="s">
        <v>32</v>
      </c>
      <c r="J619" s="7">
        <f>Table2[[#This Row],[UnitPrice]]*Table2[[#This Row],[Quantity]]*(1-Table2[[#This Row],[Discount]])</f>
        <v>6081.8519999999999</v>
      </c>
      <c r="K619" t="s">
        <v>39</v>
      </c>
      <c r="L619" t="s">
        <v>45</v>
      </c>
      <c r="M619">
        <v>0</v>
      </c>
      <c r="N619" t="s">
        <v>663</v>
      </c>
      <c r="O619" t="s">
        <v>2139</v>
      </c>
      <c r="P619" s="7">
        <v>28.27</v>
      </c>
      <c r="Q619" s="1">
        <v>45552</v>
      </c>
      <c r="R619">
        <f>WEEKNUM(Table2[[#This Row],[OrderDate]])</f>
        <v>38</v>
      </c>
      <c r="S619" s="1">
        <v>45560</v>
      </c>
      <c r="T619" t="s">
        <v>2918</v>
      </c>
    </row>
    <row r="620" spans="1:20" x14ac:dyDescent="0.35">
      <c r="A620" s="1">
        <v>45417</v>
      </c>
      <c r="B620" t="s">
        <v>2934</v>
      </c>
      <c r="C620" t="s">
        <v>24</v>
      </c>
      <c r="D620" s="9">
        <v>19</v>
      </c>
      <c r="E620" s="7">
        <v>401.68</v>
      </c>
      <c r="F620" t="s">
        <v>28</v>
      </c>
      <c r="G620" t="s">
        <v>30</v>
      </c>
      <c r="H620" s="12">
        <v>0.05</v>
      </c>
      <c r="I620" t="s">
        <v>33</v>
      </c>
      <c r="J620" s="7">
        <f>Table2[[#This Row],[UnitPrice]]*Table2[[#This Row],[Quantity]]*(1-Table2[[#This Row],[Discount]])</f>
        <v>7250.3239999999996</v>
      </c>
      <c r="K620" t="s">
        <v>41</v>
      </c>
      <c r="L620" t="s">
        <v>45</v>
      </c>
      <c r="M620">
        <v>1</v>
      </c>
      <c r="N620" t="s">
        <v>664</v>
      </c>
      <c r="O620" t="s">
        <v>2140</v>
      </c>
      <c r="P620" s="7">
        <v>37.770000000000003</v>
      </c>
      <c r="Q620" s="1">
        <v>45417</v>
      </c>
      <c r="R620">
        <f>WEEKNUM(Table2[[#This Row],[OrderDate]])</f>
        <v>19</v>
      </c>
      <c r="S620" s="1">
        <v>45423</v>
      </c>
      <c r="T620" t="s">
        <v>2920</v>
      </c>
    </row>
    <row r="621" spans="1:20" x14ac:dyDescent="0.35">
      <c r="A621" s="1">
        <v>45835</v>
      </c>
      <c r="B621" t="s">
        <v>2933</v>
      </c>
      <c r="C621" t="s">
        <v>21</v>
      </c>
      <c r="D621" s="9">
        <v>13</v>
      </c>
      <c r="E621" s="7">
        <v>112.88</v>
      </c>
      <c r="F621" t="s">
        <v>29</v>
      </c>
      <c r="G621" t="s">
        <v>31</v>
      </c>
      <c r="H621" s="12">
        <v>0</v>
      </c>
      <c r="I621" t="s">
        <v>34</v>
      </c>
      <c r="J621" s="7">
        <f>Table2[[#This Row],[UnitPrice]]*Table2[[#This Row],[Quantity]]*(1-Table2[[#This Row],[Discount]])</f>
        <v>1467.44</v>
      </c>
      <c r="K621" t="s">
        <v>41</v>
      </c>
      <c r="L621" t="s">
        <v>2937</v>
      </c>
      <c r="M621">
        <v>0</v>
      </c>
      <c r="N621" t="s">
        <v>665</v>
      </c>
      <c r="O621" t="s">
        <v>2141</v>
      </c>
      <c r="P621" s="7">
        <v>12.39</v>
      </c>
      <c r="Q621" s="1">
        <v>45835</v>
      </c>
      <c r="R621">
        <f>WEEKNUM(Table2[[#This Row],[OrderDate]])</f>
        <v>26</v>
      </c>
      <c r="S621" s="1">
        <v>45837</v>
      </c>
      <c r="T621" t="s">
        <v>2921</v>
      </c>
    </row>
    <row r="622" spans="1:20" x14ac:dyDescent="0.35">
      <c r="A622" s="1">
        <v>45426</v>
      </c>
      <c r="B622" t="s">
        <v>2933</v>
      </c>
      <c r="C622" t="s">
        <v>20</v>
      </c>
      <c r="D622" s="9">
        <v>6</v>
      </c>
      <c r="E622" s="7">
        <v>370.08</v>
      </c>
      <c r="F622" t="s">
        <v>29</v>
      </c>
      <c r="G622" t="s">
        <v>31</v>
      </c>
      <c r="H622" s="12">
        <v>0.15</v>
      </c>
      <c r="I622" t="s">
        <v>33</v>
      </c>
      <c r="J622" s="7">
        <f>Table2[[#This Row],[UnitPrice]]*Table2[[#This Row],[Quantity]]*(1-Table2[[#This Row],[Discount]])</f>
        <v>1887.4079999999999</v>
      </c>
      <c r="K622" t="s">
        <v>38</v>
      </c>
      <c r="L622" t="s">
        <v>44</v>
      </c>
      <c r="M622">
        <v>0</v>
      </c>
      <c r="N622" t="s">
        <v>666</v>
      </c>
      <c r="O622" t="s">
        <v>2142</v>
      </c>
      <c r="P622" s="7">
        <v>7.39</v>
      </c>
      <c r="Q622" s="1">
        <v>45426</v>
      </c>
      <c r="R622">
        <f>WEEKNUM(Table2[[#This Row],[OrderDate]])</f>
        <v>20</v>
      </c>
      <c r="S622" s="1">
        <v>45434</v>
      </c>
      <c r="T622" t="s">
        <v>2921</v>
      </c>
    </row>
    <row r="623" spans="1:20" x14ac:dyDescent="0.35">
      <c r="A623" s="1">
        <v>45351</v>
      </c>
      <c r="B623" t="s">
        <v>2931</v>
      </c>
      <c r="C623" t="s">
        <v>22</v>
      </c>
      <c r="D623" s="9">
        <v>15</v>
      </c>
      <c r="E623" s="7">
        <v>119.86</v>
      </c>
      <c r="F623" t="s">
        <v>27</v>
      </c>
      <c r="G623" t="s">
        <v>30</v>
      </c>
      <c r="H623" s="12">
        <v>0.15</v>
      </c>
      <c r="I623" t="s">
        <v>37</v>
      </c>
      <c r="J623" s="7">
        <f>Table2[[#This Row],[UnitPrice]]*Table2[[#This Row],[Quantity]]*(1-Table2[[#This Row],[Discount]])</f>
        <v>1528.2150000000001</v>
      </c>
      <c r="K623" t="s">
        <v>41</v>
      </c>
      <c r="L623" t="s">
        <v>2937</v>
      </c>
      <c r="M623">
        <v>1</v>
      </c>
      <c r="N623" t="s">
        <v>667</v>
      </c>
      <c r="O623" t="s">
        <v>2143</v>
      </c>
      <c r="P623" s="7">
        <v>30.78</v>
      </c>
      <c r="Q623" s="1">
        <v>45351</v>
      </c>
      <c r="R623">
        <f>WEEKNUM(Table2[[#This Row],[OrderDate]])</f>
        <v>9</v>
      </c>
      <c r="S623" s="1">
        <v>45356</v>
      </c>
      <c r="T623" t="s">
        <v>2919</v>
      </c>
    </row>
    <row r="624" spans="1:20" x14ac:dyDescent="0.35">
      <c r="A624" s="1">
        <v>45796</v>
      </c>
      <c r="B624" t="s">
        <v>2930</v>
      </c>
      <c r="C624" t="s">
        <v>20</v>
      </c>
      <c r="D624" s="9">
        <v>5</v>
      </c>
      <c r="E624" s="7">
        <v>271.44</v>
      </c>
      <c r="F624" t="s">
        <v>27</v>
      </c>
      <c r="G624" t="s">
        <v>30</v>
      </c>
      <c r="H624" s="12">
        <v>0.15</v>
      </c>
      <c r="I624" t="s">
        <v>36</v>
      </c>
      <c r="J624" s="7">
        <f>Table2[[#This Row],[UnitPrice]]*Table2[[#This Row],[Quantity]]*(1-Table2[[#This Row],[Discount]])</f>
        <v>1153.6200000000001</v>
      </c>
      <c r="K624" t="s">
        <v>41</v>
      </c>
      <c r="L624" t="s">
        <v>43</v>
      </c>
      <c r="M624">
        <v>0</v>
      </c>
      <c r="N624" t="s">
        <v>668</v>
      </c>
      <c r="O624" t="s">
        <v>2144</v>
      </c>
      <c r="P624" s="7">
        <v>5.98</v>
      </c>
      <c r="Q624" s="1">
        <v>45796</v>
      </c>
      <c r="R624">
        <f>WEEKNUM(Table2[[#This Row],[OrderDate]])</f>
        <v>21</v>
      </c>
      <c r="S624" s="1">
        <v>45804</v>
      </c>
      <c r="T624" t="s">
        <v>2917</v>
      </c>
    </row>
    <row r="625" spans="1:20" x14ac:dyDescent="0.35">
      <c r="A625" s="1">
        <v>45628</v>
      </c>
      <c r="B625" t="s">
        <v>2930</v>
      </c>
      <c r="C625" t="s">
        <v>21</v>
      </c>
      <c r="D625" s="9">
        <v>9</v>
      </c>
      <c r="E625" s="7">
        <v>363.39</v>
      </c>
      <c r="F625" t="s">
        <v>26</v>
      </c>
      <c r="G625" t="s">
        <v>30</v>
      </c>
      <c r="H625" s="12">
        <v>0.05</v>
      </c>
      <c r="I625" t="s">
        <v>36</v>
      </c>
      <c r="J625" s="7">
        <f>Table2[[#This Row],[UnitPrice]]*Table2[[#This Row],[Quantity]]*(1-Table2[[#This Row],[Discount]])</f>
        <v>3106.9844999999996</v>
      </c>
      <c r="K625" t="s">
        <v>39</v>
      </c>
      <c r="L625" t="s">
        <v>2937</v>
      </c>
      <c r="M625">
        <v>0</v>
      </c>
      <c r="N625" t="s">
        <v>669</v>
      </c>
      <c r="O625" t="s">
        <v>1647</v>
      </c>
      <c r="P625" s="7">
        <v>41.64</v>
      </c>
      <c r="Q625" s="1">
        <v>45628</v>
      </c>
      <c r="R625">
        <f>WEEKNUM(Table2[[#This Row],[OrderDate]])</f>
        <v>49</v>
      </c>
      <c r="S625" s="1">
        <v>45630</v>
      </c>
      <c r="T625" t="s">
        <v>2917</v>
      </c>
    </row>
    <row r="626" spans="1:20" x14ac:dyDescent="0.35">
      <c r="A626" s="1">
        <v>45503</v>
      </c>
      <c r="B626" t="s">
        <v>2933</v>
      </c>
      <c r="C626" t="s">
        <v>25</v>
      </c>
      <c r="D626" s="9">
        <v>12</v>
      </c>
      <c r="E626" s="7">
        <v>533.77</v>
      </c>
      <c r="F626" t="s">
        <v>29</v>
      </c>
      <c r="G626" t="s">
        <v>30</v>
      </c>
      <c r="H626" s="12">
        <v>0.15</v>
      </c>
      <c r="I626" t="s">
        <v>33</v>
      </c>
      <c r="J626" s="7">
        <f>Table2[[#This Row],[UnitPrice]]*Table2[[#This Row],[Quantity]]*(1-Table2[[#This Row],[Discount]])</f>
        <v>5444.4539999999997</v>
      </c>
      <c r="K626" t="s">
        <v>42</v>
      </c>
      <c r="L626" t="s">
        <v>44</v>
      </c>
      <c r="M626">
        <v>0</v>
      </c>
      <c r="N626" t="s">
        <v>670</v>
      </c>
      <c r="O626" t="s">
        <v>2145</v>
      </c>
      <c r="P626" s="7">
        <v>48.71</v>
      </c>
      <c r="Q626" s="1">
        <v>45503</v>
      </c>
      <c r="R626">
        <f>WEEKNUM(Table2[[#This Row],[OrderDate]])</f>
        <v>31</v>
      </c>
      <c r="S626" s="1">
        <v>45508</v>
      </c>
      <c r="T626" t="s">
        <v>2921</v>
      </c>
    </row>
    <row r="627" spans="1:20" x14ac:dyDescent="0.35">
      <c r="A627" s="1">
        <v>45102</v>
      </c>
      <c r="B627" t="s">
        <v>2932</v>
      </c>
      <c r="C627" t="s">
        <v>21</v>
      </c>
      <c r="D627" s="9">
        <v>12</v>
      </c>
      <c r="E627" s="7">
        <v>192.03</v>
      </c>
      <c r="F627" t="s">
        <v>26</v>
      </c>
      <c r="G627" t="s">
        <v>30</v>
      </c>
      <c r="H627" s="12">
        <v>0.1</v>
      </c>
      <c r="I627" t="s">
        <v>35</v>
      </c>
      <c r="J627" s="7">
        <f>Table2[[#This Row],[UnitPrice]]*Table2[[#This Row],[Quantity]]*(1-Table2[[#This Row],[Discount]])</f>
        <v>2073.924</v>
      </c>
      <c r="K627" t="s">
        <v>40</v>
      </c>
      <c r="L627" t="s">
        <v>2937</v>
      </c>
      <c r="M627">
        <v>0</v>
      </c>
      <c r="N627" t="s">
        <v>671</v>
      </c>
      <c r="O627" t="s">
        <v>2146</v>
      </c>
      <c r="P627" s="7">
        <v>41.08</v>
      </c>
      <c r="Q627" s="1">
        <v>45102</v>
      </c>
      <c r="R627">
        <f>WEEKNUM(Table2[[#This Row],[OrderDate]])</f>
        <v>26</v>
      </c>
      <c r="S627" s="1">
        <v>45110</v>
      </c>
      <c r="T627" t="s">
        <v>2918</v>
      </c>
    </row>
    <row r="628" spans="1:20" x14ac:dyDescent="0.35">
      <c r="A628" s="1">
        <v>45483</v>
      </c>
      <c r="B628" t="s">
        <v>2932</v>
      </c>
      <c r="C628" t="s">
        <v>22</v>
      </c>
      <c r="D628" s="9">
        <v>20</v>
      </c>
      <c r="E628" s="7">
        <v>504.22</v>
      </c>
      <c r="F628" t="s">
        <v>29</v>
      </c>
      <c r="G628" t="s">
        <v>30</v>
      </c>
      <c r="H628" s="12">
        <v>0</v>
      </c>
      <c r="I628" t="s">
        <v>34</v>
      </c>
      <c r="J628" s="7">
        <f>Table2[[#This Row],[UnitPrice]]*Table2[[#This Row],[Quantity]]*(1-Table2[[#This Row],[Discount]])</f>
        <v>10084.400000000001</v>
      </c>
      <c r="K628" t="s">
        <v>38</v>
      </c>
      <c r="L628" t="s">
        <v>45</v>
      </c>
      <c r="M628">
        <v>0</v>
      </c>
      <c r="N628" t="s">
        <v>672</v>
      </c>
      <c r="O628" t="s">
        <v>2147</v>
      </c>
      <c r="P628" s="7">
        <v>14.61</v>
      </c>
      <c r="Q628" s="1">
        <v>45483</v>
      </c>
      <c r="R628">
        <f>WEEKNUM(Table2[[#This Row],[OrderDate]])</f>
        <v>28</v>
      </c>
      <c r="S628" s="1">
        <v>45492</v>
      </c>
      <c r="T628" t="s">
        <v>2918</v>
      </c>
    </row>
    <row r="629" spans="1:20" x14ac:dyDescent="0.35">
      <c r="A629" s="1">
        <v>44932</v>
      </c>
      <c r="B629" t="s">
        <v>2930</v>
      </c>
      <c r="C629" t="s">
        <v>19</v>
      </c>
      <c r="D629" s="9">
        <v>7</v>
      </c>
      <c r="E629" s="7">
        <v>193.66</v>
      </c>
      <c r="F629" t="s">
        <v>27</v>
      </c>
      <c r="G629" t="s">
        <v>30</v>
      </c>
      <c r="H629" s="12">
        <v>0.1</v>
      </c>
      <c r="I629" t="s">
        <v>36</v>
      </c>
      <c r="J629" s="7">
        <f>Table2[[#This Row],[UnitPrice]]*Table2[[#This Row],[Quantity]]*(1-Table2[[#This Row],[Discount]])</f>
        <v>1220.058</v>
      </c>
      <c r="K629" t="s">
        <v>40</v>
      </c>
      <c r="L629" t="s">
        <v>43</v>
      </c>
      <c r="M629">
        <v>0</v>
      </c>
      <c r="N629" t="s">
        <v>673</v>
      </c>
      <c r="O629" t="s">
        <v>2148</v>
      </c>
      <c r="P629" s="7">
        <v>39.01</v>
      </c>
      <c r="Q629" s="1">
        <v>44932</v>
      </c>
      <c r="R629">
        <f>WEEKNUM(Table2[[#This Row],[OrderDate]])</f>
        <v>1</v>
      </c>
      <c r="S629" s="1">
        <v>44941</v>
      </c>
      <c r="T629" t="s">
        <v>2917</v>
      </c>
    </row>
    <row r="630" spans="1:20" x14ac:dyDescent="0.35">
      <c r="A630" s="1">
        <v>45346</v>
      </c>
      <c r="B630" t="s">
        <v>2932</v>
      </c>
      <c r="C630" t="s">
        <v>22</v>
      </c>
      <c r="D630" s="9">
        <v>3</v>
      </c>
      <c r="E630" s="7">
        <v>270.83</v>
      </c>
      <c r="F630" t="s">
        <v>26</v>
      </c>
      <c r="G630" t="s">
        <v>30</v>
      </c>
      <c r="H630" s="12">
        <v>0.1</v>
      </c>
      <c r="I630" t="s">
        <v>35</v>
      </c>
      <c r="J630" s="7">
        <f>Table2[[#This Row],[UnitPrice]]*Table2[[#This Row],[Quantity]]*(1-Table2[[#This Row],[Discount]])</f>
        <v>731.24099999999999</v>
      </c>
      <c r="K630" t="s">
        <v>38</v>
      </c>
      <c r="L630" t="s">
        <v>44</v>
      </c>
      <c r="M630">
        <v>1</v>
      </c>
      <c r="N630" t="s">
        <v>674</v>
      </c>
      <c r="O630" t="s">
        <v>2149</v>
      </c>
      <c r="P630" s="7">
        <v>17.2</v>
      </c>
      <c r="Q630" s="1">
        <v>45346</v>
      </c>
      <c r="R630">
        <f>WEEKNUM(Table2[[#This Row],[OrderDate]])</f>
        <v>8</v>
      </c>
      <c r="S630" s="1">
        <v>45351</v>
      </c>
      <c r="T630" t="s">
        <v>2918</v>
      </c>
    </row>
    <row r="631" spans="1:20" x14ac:dyDescent="0.35">
      <c r="A631" s="1">
        <v>45271</v>
      </c>
      <c r="B631" t="s">
        <v>2934</v>
      </c>
      <c r="C631" t="s">
        <v>24</v>
      </c>
      <c r="D631" s="9">
        <v>18</v>
      </c>
      <c r="E631" s="7">
        <v>62.08</v>
      </c>
      <c r="F631" t="s">
        <v>26</v>
      </c>
      <c r="G631" t="s">
        <v>31</v>
      </c>
      <c r="H631" s="12">
        <v>0</v>
      </c>
      <c r="I631" t="s">
        <v>36</v>
      </c>
      <c r="J631" s="7">
        <f>Table2[[#This Row],[UnitPrice]]*Table2[[#This Row],[Quantity]]*(1-Table2[[#This Row],[Discount]])</f>
        <v>1117.44</v>
      </c>
      <c r="K631" t="s">
        <v>40</v>
      </c>
      <c r="L631" t="s">
        <v>44</v>
      </c>
      <c r="M631">
        <v>1</v>
      </c>
      <c r="N631" t="s">
        <v>675</v>
      </c>
      <c r="O631" t="s">
        <v>2150</v>
      </c>
      <c r="P631" s="7">
        <v>8.67</v>
      </c>
      <c r="Q631" s="1">
        <v>45271</v>
      </c>
      <c r="R631">
        <f>WEEKNUM(Table2[[#This Row],[OrderDate]])</f>
        <v>50</v>
      </c>
      <c r="S631" s="1">
        <v>45280</v>
      </c>
      <c r="T631" t="s">
        <v>2920</v>
      </c>
    </row>
    <row r="632" spans="1:20" x14ac:dyDescent="0.35">
      <c r="A632" s="1">
        <v>45707</v>
      </c>
      <c r="B632" t="s">
        <v>2932</v>
      </c>
      <c r="C632" t="s">
        <v>25</v>
      </c>
      <c r="D632" s="9">
        <v>11</v>
      </c>
      <c r="E632" s="7">
        <v>505.96</v>
      </c>
      <c r="F632" t="s">
        <v>28</v>
      </c>
      <c r="G632" t="s">
        <v>30</v>
      </c>
      <c r="H632" s="12">
        <v>0.15</v>
      </c>
      <c r="I632" t="s">
        <v>32</v>
      </c>
      <c r="J632" s="7">
        <f>Table2[[#This Row],[UnitPrice]]*Table2[[#This Row],[Quantity]]*(1-Table2[[#This Row],[Discount]])</f>
        <v>4730.7259999999997</v>
      </c>
      <c r="K632" t="s">
        <v>41</v>
      </c>
      <c r="L632" t="s">
        <v>43</v>
      </c>
      <c r="M632">
        <v>1</v>
      </c>
      <c r="N632" t="s">
        <v>676</v>
      </c>
      <c r="O632" t="s">
        <v>2151</v>
      </c>
      <c r="P632" s="7">
        <v>22.84</v>
      </c>
      <c r="Q632" s="1">
        <v>45707</v>
      </c>
      <c r="R632">
        <f>WEEKNUM(Table2[[#This Row],[OrderDate]])</f>
        <v>8</v>
      </c>
      <c r="S632" s="1">
        <v>45711</v>
      </c>
      <c r="T632" t="s">
        <v>2918</v>
      </c>
    </row>
    <row r="633" spans="1:20" x14ac:dyDescent="0.35">
      <c r="A633" s="1">
        <v>45734</v>
      </c>
      <c r="B633" t="s">
        <v>2933</v>
      </c>
      <c r="C633" t="s">
        <v>24</v>
      </c>
      <c r="D633" s="9">
        <v>4</v>
      </c>
      <c r="E633" s="7">
        <v>62.46</v>
      </c>
      <c r="F633" t="s">
        <v>29</v>
      </c>
      <c r="G633" t="s">
        <v>30</v>
      </c>
      <c r="H633" s="12">
        <v>0.15</v>
      </c>
      <c r="I633" t="s">
        <v>33</v>
      </c>
      <c r="J633" s="7">
        <f>Table2[[#This Row],[UnitPrice]]*Table2[[#This Row],[Quantity]]*(1-Table2[[#This Row],[Discount]])</f>
        <v>212.364</v>
      </c>
      <c r="K633" t="s">
        <v>41</v>
      </c>
      <c r="L633" t="s">
        <v>45</v>
      </c>
      <c r="M633">
        <v>0</v>
      </c>
      <c r="N633" t="s">
        <v>677</v>
      </c>
      <c r="O633" t="s">
        <v>2152</v>
      </c>
      <c r="P633" s="7">
        <v>31.91</v>
      </c>
      <c r="Q633" s="1">
        <v>45734</v>
      </c>
      <c r="R633">
        <f>WEEKNUM(Table2[[#This Row],[OrderDate]])</f>
        <v>12</v>
      </c>
      <c r="S633" s="1">
        <v>45742</v>
      </c>
      <c r="T633" t="s">
        <v>2921</v>
      </c>
    </row>
    <row r="634" spans="1:20" x14ac:dyDescent="0.35">
      <c r="A634" s="1">
        <v>45191</v>
      </c>
      <c r="B634" t="s">
        <v>2932</v>
      </c>
      <c r="C634" t="s">
        <v>20</v>
      </c>
      <c r="D634" s="9">
        <v>7</v>
      </c>
      <c r="E634" s="7">
        <v>480.08</v>
      </c>
      <c r="F634" t="s">
        <v>26</v>
      </c>
      <c r="G634" t="s">
        <v>30</v>
      </c>
      <c r="H634" s="12">
        <v>0.1</v>
      </c>
      <c r="I634" t="s">
        <v>36</v>
      </c>
      <c r="J634" s="7">
        <f>Table2[[#This Row],[UnitPrice]]*Table2[[#This Row],[Quantity]]*(1-Table2[[#This Row],[Discount]])</f>
        <v>3024.5039999999999</v>
      </c>
      <c r="K634" t="s">
        <v>38</v>
      </c>
      <c r="L634" t="s">
        <v>2937</v>
      </c>
      <c r="M634">
        <v>1</v>
      </c>
      <c r="N634" t="s">
        <v>678</v>
      </c>
      <c r="O634" t="s">
        <v>2153</v>
      </c>
      <c r="P634" s="7">
        <v>44.37</v>
      </c>
      <c r="Q634" s="1">
        <v>45191</v>
      </c>
      <c r="R634">
        <f>WEEKNUM(Table2[[#This Row],[OrderDate]])</f>
        <v>38</v>
      </c>
      <c r="S634" s="1">
        <v>45196</v>
      </c>
      <c r="T634" t="s">
        <v>2918</v>
      </c>
    </row>
    <row r="635" spans="1:20" x14ac:dyDescent="0.35">
      <c r="A635" s="1">
        <v>45283</v>
      </c>
      <c r="B635" t="s">
        <v>2933</v>
      </c>
      <c r="C635" t="s">
        <v>24</v>
      </c>
      <c r="D635" s="9">
        <v>18</v>
      </c>
      <c r="E635" s="7">
        <v>60.66</v>
      </c>
      <c r="F635" t="s">
        <v>27</v>
      </c>
      <c r="G635" t="s">
        <v>31</v>
      </c>
      <c r="H635" s="12">
        <v>0</v>
      </c>
      <c r="I635" t="s">
        <v>37</v>
      </c>
      <c r="J635" s="7">
        <f>Table2[[#This Row],[UnitPrice]]*Table2[[#This Row],[Quantity]]*(1-Table2[[#This Row],[Discount]])</f>
        <v>1091.8799999999999</v>
      </c>
      <c r="K635" t="s">
        <v>38</v>
      </c>
      <c r="L635" t="s">
        <v>43</v>
      </c>
      <c r="M635">
        <v>1</v>
      </c>
      <c r="N635" t="s">
        <v>679</v>
      </c>
      <c r="O635" t="s">
        <v>2154</v>
      </c>
      <c r="P635" s="7">
        <v>10.08</v>
      </c>
      <c r="Q635" s="1">
        <v>45283</v>
      </c>
      <c r="R635">
        <f>WEEKNUM(Table2[[#This Row],[OrderDate]])</f>
        <v>51</v>
      </c>
      <c r="S635" s="1">
        <v>45288</v>
      </c>
      <c r="T635" t="s">
        <v>2921</v>
      </c>
    </row>
    <row r="636" spans="1:20" x14ac:dyDescent="0.35">
      <c r="A636" s="1">
        <v>45781</v>
      </c>
      <c r="B636" t="s">
        <v>2931</v>
      </c>
      <c r="C636" t="s">
        <v>21</v>
      </c>
      <c r="D636" s="9">
        <v>6</v>
      </c>
      <c r="E636" s="7">
        <v>249.09</v>
      </c>
      <c r="F636" t="s">
        <v>26</v>
      </c>
      <c r="G636" t="s">
        <v>31</v>
      </c>
      <c r="H636" s="12">
        <v>0.05</v>
      </c>
      <c r="I636" t="s">
        <v>34</v>
      </c>
      <c r="J636" s="7">
        <f>Table2[[#This Row],[UnitPrice]]*Table2[[#This Row],[Quantity]]*(1-Table2[[#This Row],[Discount]])</f>
        <v>1419.8129999999999</v>
      </c>
      <c r="K636" t="s">
        <v>42</v>
      </c>
      <c r="L636" t="s">
        <v>2937</v>
      </c>
      <c r="M636">
        <v>0</v>
      </c>
      <c r="N636" t="s">
        <v>680</v>
      </c>
      <c r="O636" t="s">
        <v>2155</v>
      </c>
      <c r="P636" s="7">
        <v>20.38</v>
      </c>
      <c r="Q636" s="1">
        <v>45781</v>
      </c>
      <c r="R636">
        <f>WEEKNUM(Table2[[#This Row],[OrderDate]])</f>
        <v>19</v>
      </c>
      <c r="S636" s="1">
        <v>45787</v>
      </c>
      <c r="T636" t="s">
        <v>2919</v>
      </c>
    </row>
    <row r="637" spans="1:20" x14ac:dyDescent="0.35">
      <c r="A637" s="1">
        <v>45668</v>
      </c>
      <c r="B637" t="s">
        <v>2930</v>
      </c>
      <c r="C637" t="s">
        <v>20</v>
      </c>
      <c r="D637" s="9">
        <v>20</v>
      </c>
      <c r="E637" s="7">
        <v>400.05</v>
      </c>
      <c r="F637" t="s">
        <v>29</v>
      </c>
      <c r="G637" t="s">
        <v>30</v>
      </c>
      <c r="H637" s="12">
        <v>0.1</v>
      </c>
      <c r="I637" t="s">
        <v>36</v>
      </c>
      <c r="J637" s="7">
        <f>Table2[[#This Row],[UnitPrice]]*Table2[[#This Row],[Quantity]]*(1-Table2[[#This Row],[Discount]])</f>
        <v>7200.9000000000005</v>
      </c>
      <c r="K637" t="s">
        <v>41</v>
      </c>
      <c r="L637" t="s">
        <v>45</v>
      </c>
      <c r="M637">
        <v>0</v>
      </c>
      <c r="N637" t="s">
        <v>681</v>
      </c>
      <c r="O637" t="s">
        <v>2156</v>
      </c>
      <c r="P637" s="7">
        <v>24.41</v>
      </c>
      <c r="Q637" s="1">
        <v>45668</v>
      </c>
      <c r="R637">
        <f>WEEKNUM(Table2[[#This Row],[OrderDate]])</f>
        <v>2</v>
      </c>
      <c r="S637" s="1">
        <v>45670</v>
      </c>
      <c r="T637" t="s">
        <v>2917</v>
      </c>
    </row>
    <row r="638" spans="1:20" x14ac:dyDescent="0.35">
      <c r="A638" s="1">
        <v>45768</v>
      </c>
      <c r="B638" t="s">
        <v>2932</v>
      </c>
      <c r="C638" t="s">
        <v>25</v>
      </c>
      <c r="D638" s="9">
        <v>1</v>
      </c>
      <c r="E638" s="7">
        <v>130.87</v>
      </c>
      <c r="F638" t="s">
        <v>26</v>
      </c>
      <c r="G638" t="s">
        <v>31</v>
      </c>
      <c r="H638" s="12">
        <v>0.05</v>
      </c>
      <c r="I638" t="s">
        <v>36</v>
      </c>
      <c r="J638" s="7">
        <f>Table2[[#This Row],[UnitPrice]]*Table2[[#This Row],[Quantity]]*(1-Table2[[#This Row],[Discount]])</f>
        <v>124.3265</v>
      </c>
      <c r="K638" t="s">
        <v>38</v>
      </c>
      <c r="L638" t="s">
        <v>45</v>
      </c>
      <c r="M638">
        <v>0</v>
      </c>
      <c r="N638" t="s">
        <v>682</v>
      </c>
      <c r="O638" t="s">
        <v>2157</v>
      </c>
      <c r="P638" s="7">
        <v>43.21</v>
      </c>
      <c r="Q638" s="1">
        <v>45768</v>
      </c>
      <c r="R638">
        <f>WEEKNUM(Table2[[#This Row],[OrderDate]])</f>
        <v>17</v>
      </c>
      <c r="S638" s="1">
        <v>45771</v>
      </c>
      <c r="T638" t="s">
        <v>2918</v>
      </c>
    </row>
    <row r="639" spans="1:20" x14ac:dyDescent="0.35">
      <c r="A639" s="1">
        <v>45273</v>
      </c>
      <c r="B639" t="s">
        <v>2934</v>
      </c>
      <c r="C639" t="s">
        <v>24</v>
      </c>
      <c r="D639" s="9">
        <v>11</v>
      </c>
      <c r="E639" s="7">
        <v>133.08000000000001</v>
      </c>
      <c r="F639" t="s">
        <v>27</v>
      </c>
      <c r="G639" t="s">
        <v>30</v>
      </c>
      <c r="H639" s="12">
        <v>0.15</v>
      </c>
      <c r="I639" t="s">
        <v>34</v>
      </c>
      <c r="J639" s="7">
        <f>Table2[[#This Row],[UnitPrice]]*Table2[[#This Row],[Quantity]]*(1-Table2[[#This Row],[Discount]])</f>
        <v>1244.298</v>
      </c>
      <c r="K639" t="s">
        <v>40</v>
      </c>
      <c r="L639" t="s">
        <v>45</v>
      </c>
      <c r="M639">
        <v>0</v>
      </c>
      <c r="N639" t="s">
        <v>683</v>
      </c>
      <c r="O639" t="s">
        <v>2158</v>
      </c>
      <c r="P639" s="7">
        <v>44.61</v>
      </c>
      <c r="Q639" s="1">
        <v>45273</v>
      </c>
      <c r="R639">
        <f>WEEKNUM(Table2[[#This Row],[OrderDate]])</f>
        <v>50</v>
      </c>
      <c r="S639" s="1">
        <v>45282</v>
      </c>
      <c r="T639" t="s">
        <v>2920</v>
      </c>
    </row>
    <row r="640" spans="1:20" x14ac:dyDescent="0.35">
      <c r="A640" s="1">
        <v>45329</v>
      </c>
      <c r="B640" t="s">
        <v>2930</v>
      </c>
      <c r="C640" t="s">
        <v>22</v>
      </c>
      <c r="D640" s="9">
        <v>13</v>
      </c>
      <c r="E640" s="7">
        <v>448.68</v>
      </c>
      <c r="F640" t="s">
        <v>26</v>
      </c>
      <c r="G640" t="s">
        <v>30</v>
      </c>
      <c r="H640" s="12">
        <v>0.1</v>
      </c>
      <c r="I640" t="s">
        <v>36</v>
      </c>
      <c r="J640" s="7">
        <f>Table2[[#This Row],[UnitPrice]]*Table2[[#This Row],[Quantity]]*(1-Table2[[#This Row],[Discount]])</f>
        <v>5249.5560000000005</v>
      </c>
      <c r="K640" t="s">
        <v>40</v>
      </c>
      <c r="L640" t="s">
        <v>43</v>
      </c>
      <c r="M640">
        <v>1</v>
      </c>
      <c r="N640" t="s">
        <v>684</v>
      </c>
      <c r="O640" t="s">
        <v>2159</v>
      </c>
      <c r="P640" s="7">
        <v>16.82</v>
      </c>
      <c r="Q640" s="1">
        <v>45329</v>
      </c>
      <c r="R640">
        <f>WEEKNUM(Table2[[#This Row],[OrderDate]])</f>
        <v>6</v>
      </c>
      <c r="S640" s="1">
        <v>45333</v>
      </c>
      <c r="T640" t="s">
        <v>2917</v>
      </c>
    </row>
    <row r="641" spans="1:20" x14ac:dyDescent="0.35">
      <c r="A641" s="1">
        <v>45406</v>
      </c>
      <c r="B641" t="s">
        <v>2931</v>
      </c>
      <c r="C641" t="s">
        <v>24</v>
      </c>
      <c r="D641" s="9">
        <v>19</v>
      </c>
      <c r="E641" s="7">
        <v>36.229999999999997</v>
      </c>
      <c r="F641" t="s">
        <v>26</v>
      </c>
      <c r="G641" t="s">
        <v>30</v>
      </c>
      <c r="H641" s="12">
        <v>0</v>
      </c>
      <c r="I641" t="s">
        <v>36</v>
      </c>
      <c r="J641" s="7">
        <f>Table2[[#This Row],[UnitPrice]]*Table2[[#This Row],[Quantity]]*(1-Table2[[#This Row],[Discount]])</f>
        <v>688.36999999999989</v>
      </c>
      <c r="K641" t="s">
        <v>41</v>
      </c>
      <c r="L641" t="s">
        <v>45</v>
      </c>
      <c r="M641">
        <v>0</v>
      </c>
      <c r="N641" t="s">
        <v>685</v>
      </c>
      <c r="O641" t="s">
        <v>2160</v>
      </c>
      <c r="P641" s="7">
        <v>33.94</v>
      </c>
      <c r="Q641" s="1">
        <v>45406</v>
      </c>
      <c r="R641">
        <f>WEEKNUM(Table2[[#This Row],[OrderDate]])</f>
        <v>17</v>
      </c>
      <c r="S641" s="1">
        <v>45409</v>
      </c>
      <c r="T641" t="s">
        <v>2919</v>
      </c>
    </row>
    <row r="642" spans="1:20" x14ac:dyDescent="0.35">
      <c r="A642" s="1">
        <v>45180</v>
      </c>
      <c r="B642" t="s">
        <v>2933</v>
      </c>
      <c r="C642" t="s">
        <v>22</v>
      </c>
      <c r="D642" s="9">
        <v>14</v>
      </c>
      <c r="E642" s="7">
        <v>113.77</v>
      </c>
      <c r="F642" t="s">
        <v>28</v>
      </c>
      <c r="G642" t="s">
        <v>31</v>
      </c>
      <c r="H642" s="12">
        <v>0</v>
      </c>
      <c r="I642" t="s">
        <v>32</v>
      </c>
      <c r="J642" s="7">
        <f>Table2[[#This Row],[UnitPrice]]*Table2[[#This Row],[Quantity]]*(1-Table2[[#This Row],[Discount]])</f>
        <v>1592.78</v>
      </c>
      <c r="K642" t="s">
        <v>42</v>
      </c>
      <c r="L642" t="s">
        <v>43</v>
      </c>
      <c r="M642">
        <v>0</v>
      </c>
      <c r="N642" t="s">
        <v>686</v>
      </c>
      <c r="O642" t="s">
        <v>1877</v>
      </c>
      <c r="P642" s="7">
        <v>25.35</v>
      </c>
      <c r="Q642" s="1">
        <v>45180</v>
      </c>
      <c r="R642">
        <f>WEEKNUM(Table2[[#This Row],[OrderDate]])</f>
        <v>37</v>
      </c>
      <c r="S642" s="1">
        <v>45185</v>
      </c>
      <c r="T642" t="s">
        <v>2921</v>
      </c>
    </row>
    <row r="643" spans="1:20" x14ac:dyDescent="0.35">
      <c r="A643" s="1">
        <v>45817</v>
      </c>
      <c r="B643" t="s">
        <v>2934</v>
      </c>
      <c r="C643" t="s">
        <v>25</v>
      </c>
      <c r="D643" s="9">
        <v>2</v>
      </c>
      <c r="E643" s="7">
        <v>89.6</v>
      </c>
      <c r="F643" t="s">
        <v>27</v>
      </c>
      <c r="G643" t="s">
        <v>31</v>
      </c>
      <c r="H643" s="12">
        <v>0</v>
      </c>
      <c r="I643" t="s">
        <v>36</v>
      </c>
      <c r="J643" s="7">
        <f>Table2[[#This Row],[UnitPrice]]*Table2[[#This Row],[Quantity]]*(1-Table2[[#This Row],[Discount]])</f>
        <v>179.2</v>
      </c>
      <c r="K643" t="s">
        <v>39</v>
      </c>
      <c r="L643" t="s">
        <v>43</v>
      </c>
      <c r="M643">
        <v>0</v>
      </c>
      <c r="N643" t="s">
        <v>687</v>
      </c>
      <c r="O643" t="s">
        <v>2161</v>
      </c>
      <c r="P643" s="7">
        <v>23.69</v>
      </c>
      <c r="Q643" s="1">
        <v>45817</v>
      </c>
      <c r="R643">
        <f>WEEKNUM(Table2[[#This Row],[OrderDate]])</f>
        <v>24</v>
      </c>
      <c r="S643" s="1">
        <v>45820</v>
      </c>
      <c r="T643" t="s">
        <v>2920</v>
      </c>
    </row>
    <row r="644" spans="1:20" x14ac:dyDescent="0.35">
      <c r="A644" s="1">
        <v>45814</v>
      </c>
      <c r="B644" t="s">
        <v>2930</v>
      </c>
      <c r="C644" t="s">
        <v>21</v>
      </c>
      <c r="D644" s="9">
        <v>3</v>
      </c>
      <c r="E644" s="7">
        <v>391.92</v>
      </c>
      <c r="F644" t="s">
        <v>27</v>
      </c>
      <c r="G644" t="s">
        <v>30</v>
      </c>
      <c r="H644" s="12">
        <v>0.15</v>
      </c>
      <c r="I644" t="s">
        <v>33</v>
      </c>
      <c r="J644" s="7">
        <f>Table2[[#This Row],[UnitPrice]]*Table2[[#This Row],[Quantity]]*(1-Table2[[#This Row],[Discount]])</f>
        <v>999.39599999999996</v>
      </c>
      <c r="K644" t="s">
        <v>41</v>
      </c>
      <c r="L644" t="s">
        <v>44</v>
      </c>
      <c r="M644">
        <v>0</v>
      </c>
      <c r="N644" t="s">
        <v>688</v>
      </c>
      <c r="O644" t="s">
        <v>2162</v>
      </c>
      <c r="P644" s="7">
        <v>9.86</v>
      </c>
      <c r="Q644" s="1">
        <v>45814</v>
      </c>
      <c r="R644">
        <f>WEEKNUM(Table2[[#This Row],[OrderDate]])</f>
        <v>23</v>
      </c>
      <c r="S644" s="1">
        <v>45824</v>
      </c>
      <c r="T644" t="s">
        <v>2917</v>
      </c>
    </row>
    <row r="645" spans="1:20" x14ac:dyDescent="0.35">
      <c r="A645" s="1">
        <v>45649</v>
      </c>
      <c r="B645" t="s">
        <v>2932</v>
      </c>
      <c r="C645" t="s">
        <v>22</v>
      </c>
      <c r="D645" s="9">
        <v>10</v>
      </c>
      <c r="E645" s="7">
        <v>418.93</v>
      </c>
      <c r="F645" t="s">
        <v>28</v>
      </c>
      <c r="G645" t="s">
        <v>30</v>
      </c>
      <c r="H645" s="12">
        <v>0.1</v>
      </c>
      <c r="I645" t="s">
        <v>37</v>
      </c>
      <c r="J645" s="7">
        <f>Table2[[#This Row],[UnitPrice]]*Table2[[#This Row],[Quantity]]*(1-Table2[[#This Row],[Discount]])</f>
        <v>3770.3700000000003</v>
      </c>
      <c r="K645" t="s">
        <v>40</v>
      </c>
      <c r="L645" t="s">
        <v>43</v>
      </c>
      <c r="M645">
        <v>0</v>
      </c>
      <c r="N645" t="s">
        <v>689</v>
      </c>
      <c r="O645" t="s">
        <v>2163</v>
      </c>
      <c r="P645" s="7">
        <v>45.63</v>
      </c>
      <c r="Q645" s="1">
        <v>45649</v>
      </c>
      <c r="R645">
        <f>WEEKNUM(Table2[[#This Row],[OrderDate]])</f>
        <v>52</v>
      </c>
      <c r="S645" s="1">
        <v>45654</v>
      </c>
      <c r="T645" t="s">
        <v>2918</v>
      </c>
    </row>
    <row r="646" spans="1:20" x14ac:dyDescent="0.35">
      <c r="A646" s="1">
        <v>45165</v>
      </c>
      <c r="B646" t="s">
        <v>2930</v>
      </c>
      <c r="C646" t="s">
        <v>23</v>
      </c>
      <c r="D646" s="9">
        <v>12</v>
      </c>
      <c r="E646" s="7">
        <v>303.08999999999997</v>
      </c>
      <c r="F646" t="s">
        <v>26</v>
      </c>
      <c r="G646" t="s">
        <v>30</v>
      </c>
      <c r="H646" s="12">
        <v>0</v>
      </c>
      <c r="I646" t="s">
        <v>33</v>
      </c>
      <c r="J646" s="7">
        <f>Table2[[#This Row],[UnitPrice]]*Table2[[#This Row],[Quantity]]*(1-Table2[[#This Row],[Discount]])</f>
        <v>3637.08</v>
      </c>
      <c r="K646" t="s">
        <v>39</v>
      </c>
      <c r="L646" t="s">
        <v>45</v>
      </c>
      <c r="M646">
        <v>1</v>
      </c>
      <c r="N646" t="s">
        <v>690</v>
      </c>
      <c r="O646" t="s">
        <v>2164</v>
      </c>
      <c r="P646" s="7">
        <v>5.48</v>
      </c>
      <c r="Q646" s="1">
        <v>45165</v>
      </c>
      <c r="R646">
        <f>WEEKNUM(Table2[[#This Row],[OrderDate]])</f>
        <v>35</v>
      </c>
      <c r="S646" s="1">
        <v>45172</v>
      </c>
      <c r="T646" t="s">
        <v>2917</v>
      </c>
    </row>
    <row r="647" spans="1:20" x14ac:dyDescent="0.35">
      <c r="A647" s="1">
        <v>44935</v>
      </c>
      <c r="B647" t="s">
        <v>2930</v>
      </c>
      <c r="C647" t="s">
        <v>23</v>
      </c>
      <c r="D647" s="9">
        <v>10</v>
      </c>
      <c r="E647" s="7">
        <v>209.95</v>
      </c>
      <c r="F647" t="s">
        <v>27</v>
      </c>
      <c r="G647" t="s">
        <v>30</v>
      </c>
      <c r="H647" s="12">
        <v>0.1</v>
      </c>
      <c r="I647" t="s">
        <v>32</v>
      </c>
      <c r="J647" s="7">
        <f>Table2[[#This Row],[UnitPrice]]*Table2[[#This Row],[Quantity]]*(1-Table2[[#This Row],[Discount]])</f>
        <v>1889.55</v>
      </c>
      <c r="K647" t="s">
        <v>42</v>
      </c>
      <c r="L647" t="s">
        <v>45</v>
      </c>
      <c r="M647">
        <v>0</v>
      </c>
      <c r="N647" t="s">
        <v>691</v>
      </c>
      <c r="O647" t="s">
        <v>2165</v>
      </c>
      <c r="P647" s="7">
        <v>10.99</v>
      </c>
      <c r="Q647" s="1">
        <v>44935</v>
      </c>
      <c r="R647">
        <f>WEEKNUM(Table2[[#This Row],[OrderDate]])</f>
        <v>2</v>
      </c>
      <c r="S647" s="1">
        <v>44939</v>
      </c>
      <c r="T647" t="s">
        <v>2917</v>
      </c>
    </row>
    <row r="648" spans="1:20" x14ac:dyDescent="0.35">
      <c r="A648" s="1">
        <v>45769</v>
      </c>
      <c r="B648" t="s">
        <v>2930</v>
      </c>
      <c r="C648" t="s">
        <v>19</v>
      </c>
      <c r="D648" s="9">
        <v>8</v>
      </c>
      <c r="E648" s="7">
        <v>283.63</v>
      </c>
      <c r="F648" t="s">
        <v>28</v>
      </c>
      <c r="G648" t="s">
        <v>30</v>
      </c>
      <c r="H648" s="12">
        <v>0.1</v>
      </c>
      <c r="I648" t="s">
        <v>33</v>
      </c>
      <c r="J648" s="7">
        <f>Table2[[#This Row],[UnitPrice]]*Table2[[#This Row],[Quantity]]*(1-Table2[[#This Row],[Discount]])</f>
        <v>2042.136</v>
      </c>
      <c r="K648" t="s">
        <v>42</v>
      </c>
      <c r="L648" t="s">
        <v>44</v>
      </c>
      <c r="M648">
        <v>0</v>
      </c>
      <c r="N648" t="s">
        <v>692</v>
      </c>
      <c r="O648" t="s">
        <v>2166</v>
      </c>
      <c r="P648" s="7">
        <v>49.91</v>
      </c>
      <c r="Q648" s="1">
        <v>45769</v>
      </c>
      <c r="R648">
        <f>WEEKNUM(Table2[[#This Row],[OrderDate]])</f>
        <v>17</v>
      </c>
      <c r="S648" s="1">
        <v>45772</v>
      </c>
      <c r="T648" t="s">
        <v>2917</v>
      </c>
    </row>
    <row r="649" spans="1:20" x14ac:dyDescent="0.35">
      <c r="A649" s="1">
        <v>45175</v>
      </c>
      <c r="B649" t="s">
        <v>2932</v>
      </c>
      <c r="C649" t="s">
        <v>20</v>
      </c>
      <c r="D649" s="9">
        <v>7</v>
      </c>
      <c r="E649" s="7">
        <v>18.36</v>
      </c>
      <c r="F649" t="s">
        <v>29</v>
      </c>
      <c r="G649" t="s">
        <v>31</v>
      </c>
      <c r="H649" s="12">
        <v>0.1</v>
      </c>
      <c r="I649" t="s">
        <v>33</v>
      </c>
      <c r="J649" s="7">
        <f>Table2[[#This Row],[UnitPrice]]*Table2[[#This Row],[Quantity]]*(1-Table2[[#This Row],[Discount]])</f>
        <v>115.66799999999999</v>
      </c>
      <c r="K649" t="s">
        <v>38</v>
      </c>
      <c r="L649" t="s">
        <v>2937</v>
      </c>
      <c r="M649">
        <v>0</v>
      </c>
      <c r="N649" t="s">
        <v>693</v>
      </c>
      <c r="O649" t="s">
        <v>2167</v>
      </c>
      <c r="P649" s="7">
        <v>48.92</v>
      </c>
      <c r="Q649" s="1">
        <v>45175</v>
      </c>
      <c r="R649">
        <f>WEEKNUM(Table2[[#This Row],[OrderDate]])</f>
        <v>36</v>
      </c>
      <c r="S649" s="1">
        <v>45180</v>
      </c>
      <c r="T649" t="s">
        <v>2918</v>
      </c>
    </row>
    <row r="650" spans="1:20" x14ac:dyDescent="0.35">
      <c r="A650" s="1">
        <v>44947</v>
      </c>
      <c r="B650" t="s">
        <v>2930</v>
      </c>
      <c r="C650" t="s">
        <v>23</v>
      </c>
      <c r="D650" s="9">
        <v>9</v>
      </c>
      <c r="E650" s="7">
        <v>475.38</v>
      </c>
      <c r="F650" t="s">
        <v>27</v>
      </c>
      <c r="G650" t="s">
        <v>30</v>
      </c>
      <c r="H650" s="12">
        <v>0.1</v>
      </c>
      <c r="I650" t="s">
        <v>35</v>
      </c>
      <c r="J650" s="7">
        <f>Table2[[#This Row],[UnitPrice]]*Table2[[#This Row],[Quantity]]*(1-Table2[[#This Row],[Discount]])</f>
        <v>3850.578</v>
      </c>
      <c r="K650" t="s">
        <v>41</v>
      </c>
      <c r="L650" t="s">
        <v>44</v>
      </c>
      <c r="M650">
        <v>0</v>
      </c>
      <c r="N650" t="s">
        <v>694</v>
      </c>
      <c r="O650" t="s">
        <v>2168</v>
      </c>
      <c r="P650" s="7">
        <v>39.979999999999997</v>
      </c>
      <c r="Q650" s="1">
        <v>44947</v>
      </c>
      <c r="R650">
        <f>WEEKNUM(Table2[[#This Row],[OrderDate]])</f>
        <v>3</v>
      </c>
      <c r="S650" s="1">
        <v>44953</v>
      </c>
      <c r="T650" t="s">
        <v>2917</v>
      </c>
    </row>
    <row r="651" spans="1:20" x14ac:dyDescent="0.35">
      <c r="A651" s="1">
        <v>45408</v>
      </c>
      <c r="B651" t="s">
        <v>2934</v>
      </c>
      <c r="C651" t="s">
        <v>22</v>
      </c>
      <c r="D651" s="9">
        <v>12</v>
      </c>
      <c r="E651" s="7">
        <v>591.91999999999996</v>
      </c>
      <c r="F651" t="s">
        <v>29</v>
      </c>
      <c r="G651" t="s">
        <v>31</v>
      </c>
      <c r="H651" s="12">
        <v>0</v>
      </c>
      <c r="I651" t="s">
        <v>32</v>
      </c>
      <c r="J651" s="7">
        <f>Table2[[#This Row],[UnitPrice]]*Table2[[#This Row],[Quantity]]*(1-Table2[[#This Row],[Discount]])</f>
        <v>7103.0399999999991</v>
      </c>
      <c r="K651" t="s">
        <v>41</v>
      </c>
      <c r="L651" t="s">
        <v>44</v>
      </c>
      <c r="M651">
        <v>0</v>
      </c>
      <c r="N651" t="s">
        <v>695</v>
      </c>
      <c r="O651" t="s">
        <v>2169</v>
      </c>
      <c r="P651" s="7">
        <v>25.2</v>
      </c>
      <c r="Q651" s="1">
        <v>45408</v>
      </c>
      <c r="R651">
        <f>WEEKNUM(Table2[[#This Row],[OrderDate]])</f>
        <v>17</v>
      </c>
      <c r="S651" s="1">
        <v>45418</v>
      </c>
      <c r="T651" t="s">
        <v>2920</v>
      </c>
    </row>
    <row r="652" spans="1:20" x14ac:dyDescent="0.35">
      <c r="A652" s="1">
        <v>45104</v>
      </c>
      <c r="B652" t="s">
        <v>2931</v>
      </c>
      <c r="C652" t="s">
        <v>20</v>
      </c>
      <c r="D652" s="9">
        <v>7</v>
      </c>
      <c r="E652" s="7">
        <v>93.23</v>
      </c>
      <c r="F652" t="s">
        <v>26</v>
      </c>
      <c r="G652" t="s">
        <v>31</v>
      </c>
      <c r="H652" s="12">
        <v>0.05</v>
      </c>
      <c r="I652" t="s">
        <v>33</v>
      </c>
      <c r="J652" s="7">
        <f>Table2[[#This Row],[UnitPrice]]*Table2[[#This Row],[Quantity]]*(1-Table2[[#This Row],[Discount]])</f>
        <v>619.97950000000003</v>
      </c>
      <c r="K652" t="s">
        <v>40</v>
      </c>
      <c r="L652" t="s">
        <v>43</v>
      </c>
      <c r="M652">
        <v>1</v>
      </c>
      <c r="N652" t="s">
        <v>696</v>
      </c>
      <c r="O652" t="s">
        <v>2170</v>
      </c>
      <c r="P652" s="7">
        <v>6.47</v>
      </c>
      <c r="Q652" s="1">
        <v>45104</v>
      </c>
      <c r="R652">
        <f>WEEKNUM(Table2[[#This Row],[OrderDate]])</f>
        <v>26</v>
      </c>
      <c r="S652" s="1">
        <v>45107</v>
      </c>
      <c r="T652" t="s">
        <v>2919</v>
      </c>
    </row>
    <row r="653" spans="1:20" x14ac:dyDescent="0.35">
      <c r="A653" s="1">
        <v>44927</v>
      </c>
      <c r="B653" t="s">
        <v>2930</v>
      </c>
      <c r="C653" t="s">
        <v>24</v>
      </c>
      <c r="D653" s="9">
        <v>15</v>
      </c>
      <c r="E653" s="7">
        <v>298.70999999999998</v>
      </c>
      <c r="F653" t="s">
        <v>28</v>
      </c>
      <c r="G653" t="s">
        <v>31</v>
      </c>
      <c r="H653" s="12">
        <v>0</v>
      </c>
      <c r="I653" t="s">
        <v>37</v>
      </c>
      <c r="J653" s="7">
        <f>Table2[[#This Row],[UnitPrice]]*Table2[[#This Row],[Quantity]]*(1-Table2[[#This Row],[Discount]])</f>
        <v>4480.6499999999996</v>
      </c>
      <c r="K653" t="s">
        <v>41</v>
      </c>
      <c r="L653" t="s">
        <v>44</v>
      </c>
      <c r="M653">
        <v>0</v>
      </c>
      <c r="N653" t="s">
        <v>697</v>
      </c>
      <c r="O653" t="s">
        <v>2171</v>
      </c>
      <c r="P653" s="7">
        <v>11.38</v>
      </c>
      <c r="Q653" s="1">
        <v>44927</v>
      </c>
      <c r="R653">
        <f>WEEKNUM(Table2[[#This Row],[OrderDate]])</f>
        <v>1</v>
      </c>
      <c r="S653" s="1">
        <v>44934</v>
      </c>
      <c r="T653" t="s">
        <v>2917</v>
      </c>
    </row>
    <row r="654" spans="1:20" x14ac:dyDescent="0.35">
      <c r="A654" s="1">
        <v>45290</v>
      </c>
      <c r="B654" t="s">
        <v>2933</v>
      </c>
      <c r="C654" t="s">
        <v>24</v>
      </c>
      <c r="D654" s="9">
        <v>15</v>
      </c>
      <c r="E654" s="7">
        <v>52.37</v>
      </c>
      <c r="F654" t="s">
        <v>27</v>
      </c>
      <c r="G654" t="s">
        <v>31</v>
      </c>
      <c r="H654" s="12">
        <v>0.15</v>
      </c>
      <c r="I654" t="s">
        <v>36</v>
      </c>
      <c r="J654" s="7">
        <f>Table2[[#This Row],[UnitPrice]]*Table2[[#This Row],[Quantity]]*(1-Table2[[#This Row],[Discount]])</f>
        <v>667.71749999999997</v>
      </c>
      <c r="K654" t="s">
        <v>38</v>
      </c>
      <c r="L654" t="s">
        <v>44</v>
      </c>
      <c r="M654">
        <v>0</v>
      </c>
      <c r="N654" t="s">
        <v>698</v>
      </c>
      <c r="O654" t="s">
        <v>2172</v>
      </c>
      <c r="P654" s="7">
        <v>8.93</v>
      </c>
      <c r="Q654" s="1">
        <v>45290</v>
      </c>
      <c r="R654">
        <f>WEEKNUM(Table2[[#This Row],[OrderDate]])</f>
        <v>52</v>
      </c>
      <c r="S654" s="1">
        <v>45293</v>
      </c>
      <c r="T654" t="s">
        <v>2921</v>
      </c>
    </row>
    <row r="655" spans="1:20" x14ac:dyDescent="0.35">
      <c r="A655" s="1">
        <v>44948</v>
      </c>
      <c r="B655" t="s">
        <v>2934</v>
      </c>
      <c r="C655" t="s">
        <v>20</v>
      </c>
      <c r="D655" s="9">
        <v>6</v>
      </c>
      <c r="E655" s="7">
        <v>104.19</v>
      </c>
      <c r="F655" t="s">
        <v>28</v>
      </c>
      <c r="G655" t="s">
        <v>31</v>
      </c>
      <c r="H655" s="12">
        <v>0.1</v>
      </c>
      <c r="I655" t="s">
        <v>36</v>
      </c>
      <c r="J655" s="7">
        <f>Table2[[#This Row],[UnitPrice]]*Table2[[#This Row],[Quantity]]*(1-Table2[[#This Row],[Discount]])</f>
        <v>562.62599999999998</v>
      </c>
      <c r="K655" t="s">
        <v>38</v>
      </c>
      <c r="L655" t="s">
        <v>2937</v>
      </c>
      <c r="M655">
        <v>0</v>
      </c>
      <c r="N655" t="s">
        <v>699</v>
      </c>
      <c r="O655" t="s">
        <v>2173</v>
      </c>
      <c r="P655" s="7">
        <v>8.6199999999999992</v>
      </c>
      <c r="Q655" s="1">
        <v>44948</v>
      </c>
      <c r="R655">
        <f>WEEKNUM(Table2[[#This Row],[OrderDate]])</f>
        <v>4</v>
      </c>
      <c r="S655" s="1">
        <v>44950</v>
      </c>
      <c r="T655" t="s">
        <v>2920</v>
      </c>
    </row>
    <row r="656" spans="1:20" x14ac:dyDescent="0.35">
      <c r="A656" s="1">
        <v>45500</v>
      </c>
      <c r="B656" t="s">
        <v>2932</v>
      </c>
      <c r="C656" t="s">
        <v>19</v>
      </c>
      <c r="D656" s="9">
        <v>8</v>
      </c>
      <c r="E656" s="7">
        <v>493.09</v>
      </c>
      <c r="F656" t="s">
        <v>27</v>
      </c>
      <c r="G656" t="s">
        <v>31</v>
      </c>
      <c r="H656" s="12">
        <v>0.05</v>
      </c>
      <c r="I656" t="s">
        <v>36</v>
      </c>
      <c r="J656" s="7">
        <f>Table2[[#This Row],[UnitPrice]]*Table2[[#This Row],[Quantity]]*(1-Table2[[#This Row],[Discount]])</f>
        <v>3747.4839999999995</v>
      </c>
      <c r="K656" t="s">
        <v>40</v>
      </c>
      <c r="L656" t="s">
        <v>43</v>
      </c>
      <c r="M656">
        <v>0</v>
      </c>
      <c r="N656" t="s">
        <v>700</v>
      </c>
      <c r="O656" t="s">
        <v>2174</v>
      </c>
      <c r="P656" s="7">
        <v>11.49</v>
      </c>
      <c r="Q656" s="1">
        <v>45500</v>
      </c>
      <c r="R656">
        <f>WEEKNUM(Table2[[#This Row],[OrderDate]])</f>
        <v>30</v>
      </c>
      <c r="S656" s="1">
        <v>45509</v>
      </c>
      <c r="T656" t="s">
        <v>2918</v>
      </c>
    </row>
    <row r="657" spans="1:20" x14ac:dyDescent="0.35">
      <c r="A657" s="1">
        <v>45306</v>
      </c>
      <c r="B657" t="s">
        <v>2932</v>
      </c>
      <c r="C657" t="s">
        <v>22</v>
      </c>
      <c r="D657" s="9">
        <v>6</v>
      </c>
      <c r="E657" s="7">
        <v>291.58</v>
      </c>
      <c r="F657" t="s">
        <v>26</v>
      </c>
      <c r="G657" t="s">
        <v>30</v>
      </c>
      <c r="H657" s="12">
        <v>0</v>
      </c>
      <c r="I657" t="s">
        <v>34</v>
      </c>
      <c r="J657" s="7">
        <f>Table2[[#This Row],[UnitPrice]]*Table2[[#This Row],[Quantity]]*(1-Table2[[#This Row],[Discount]])</f>
        <v>1749.48</v>
      </c>
      <c r="K657" t="s">
        <v>40</v>
      </c>
      <c r="L657" t="s">
        <v>43</v>
      </c>
      <c r="M657">
        <v>0</v>
      </c>
      <c r="N657" t="s">
        <v>701</v>
      </c>
      <c r="O657" t="s">
        <v>2175</v>
      </c>
      <c r="P657" s="7">
        <v>30.25</v>
      </c>
      <c r="Q657" s="1">
        <v>45306</v>
      </c>
      <c r="R657">
        <f>WEEKNUM(Table2[[#This Row],[OrderDate]])</f>
        <v>3</v>
      </c>
      <c r="S657" s="1">
        <v>45308</v>
      </c>
      <c r="T657" t="s">
        <v>2918</v>
      </c>
    </row>
    <row r="658" spans="1:20" x14ac:dyDescent="0.35">
      <c r="A658" s="1">
        <v>45295</v>
      </c>
      <c r="B658" t="s">
        <v>2933</v>
      </c>
      <c r="C658" t="s">
        <v>24</v>
      </c>
      <c r="D658" s="9">
        <v>1</v>
      </c>
      <c r="E658" s="7">
        <v>103.13</v>
      </c>
      <c r="F658" t="s">
        <v>26</v>
      </c>
      <c r="G658" t="s">
        <v>30</v>
      </c>
      <c r="H658" s="12">
        <v>0</v>
      </c>
      <c r="I658" t="s">
        <v>37</v>
      </c>
      <c r="J658" s="7">
        <f>Table2[[#This Row],[UnitPrice]]*Table2[[#This Row],[Quantity]]*(1-Table2[[#This Row],[Discount]])</f>
        <v>103.13</v>
      </c>
      <c r="K658" t="s">
        <v>38</v>
      </c>
      <c r="L658" t="s">
        <v>43</v>
      </c>
      <c r="M658">
        <v>0</v>
      </c>
      <c r="N658" t="s">
        <v>702</v>
      </c>
      <c r="O658" t="s">
        <v>2176</v>
      </c>
      <c r="P658" s="7">
        <v>42.38</v>
      </c>
      <c r="Q658" s="1">
        <v>45295</v>
      </c>
      <c r="R658">
        <f>WEEKNUM(Table2[[#This Row],[OrderDate]])</f>
        <v>1</v>
      </c>
      <c r="S658" s="1">
        <v>45305</v>
      </c>
      <c r="T658" t="s">
        <v>2921</v>
      </c>
    </row>
    <row r="659" spans="1:20" x14ac:dyDescent="0.35">
      <c r="A659" s="1">
        <v>44966</v>
      </c>
      <c r="B659" t="s">
        <v>2930</v>
      </c>
      <c r="C659" t="s">
        <v>23</v>
      </c>
      <c r="D659" s="9">
        <v>1</v>
      </c>
      <c r="E659" s="7">
        <v>541.9</v>
      </c>
      <c r="F659" t="s">
        <v>27</v>
      </c>
      <c r="G659" t="s">
        <v>31</v>
      </c>
      <c r="H659" s="12">
        <v>0.05</v>
      </c>
      <c r="I659" t="s">
        <v>32</v>
      </c>
      <c r="J659" s="7">
        <f>Table2[[#This Row],[UnitPrice]]*Table2[[#This Row],[Quantity]]*(1-Table2[[#This Row],[Discount]])</f>
        <v>514.80499999999995</v>
      </c>
      <c r="K659" t="s">
        <v>42</v>
      </c>
      <c r="L659" t="s">
        <v>45</v>
      </c>
      <c r="M659">
        <v>0</v>
      </c>
      <c r="N659" t="s">
        <v>703</v>
      </c>
      <c r="O659" t="s">
        <v>1899</v>
      </c>
      <c r="P659" s="7">
        <v>40.35</v>
      </c>
      <c r="Q659" s="1">
        <v>44966</v>
      </c>
      <c r="R659">
        <f>WEEKNUM(Table2[[#This Row],[OrderDate]])</f>
        <v>6</v>
      </c>
      <c r="S659" s="1">
        <v>44976</v>
      </c>
      <c r="T659" t="s">
        <v>2917</v>
      </c>
    </row>
    <row r="660" spans="1:20" x14ac:dyDescent="0.35">
      <c r="A660" s="1">
        <v>45463</v>
      </c>
      <c r="B660" t="s">
        <v>2931</v>
      </c>
      <c r="C660" t="s">
        <v>20</v>
      </c>
      <c r="D660" s="9">
        <v>11</v>
      </c>
      <c r="E660" s="7">
        <v>303.08999999999997</v>
      </c>
      <c r="F660" t="s">
        <v>29</v>
      </c>
      <c r="G660" t="s">
        <v>30</v>
      </c>
      <c r="H660" s="12">
        <v>0.1</v>
      </c>
      <c r="I660" t="s">
        <v>36</v>
      </c>
      <c r="J660" s="7">
        <f>Table2[[#This Row],[UnitPrice]]*Table2[[#This Row],[Quantity]]*(1-Table2[[#This Row],[Discount]])</f>
        <v>3000.5909999999999</v>
      </c>
      <c r="K660" t="s">
        <v>38</v>
      </c>
      <c r="L660" t="s">
        <v>44</v>
      </c>
      <c r="M660">
        <v>0</v>
      </c>
      <c r="N660" t="s">
        <v>704</v>
      </c>
      <c r="O660" t="s">
        <v>2177</v>
      </c>
      <c r="P660" s="7">
        <v>21.88</v>
      </c>
      <c r="Q660" s="1">
        <v>45463</v>
      </c>
      <c r="R660">
        <f>WEEKNUM(Table2[[#This Row],[OrderDate]])</f>
        <v>25</v>
      </c>
      <c r="S660" s="1">
        <v>45467</v>
      </c>
      <c r="T660" t="s">
        <v>2919</v>
      </c>
    </row>
    <row r="661" spans="1:20" x14ac:dyDescent="0.35">
      <c r="A661" s="1">
        <v>44978</v>
      </c>
      <c r="B661" t="s">
        <v>2934</v>
      </c>
      <c r="C661" t="s">
        <v>21</v>
      </c>
      <c r="D661" s="9">
        <v>11</v>
      </c>
      <c r="E661" s="7">
        <v>61.81</v>
      </c>
      <c r="F661" t="s">
        <v>28</v>
      </c>
      <c r="G661" t="s">
        <v>31</v>
      </c>
      <c r="H661" s="12">
        <v>0.05</v>
      </c>
      <c r="I661" t="s">
        <v>37</v>
      </c>
      <c r="J661" s="7">
        <f>Table2[[#This Row],[UnitPrice]]*Table2[[#This Row],[Quantity]]*(1-Table2[[#This Row],[Discount]])</f>
        <v>645.91450000000009</v>
      </c>
      <c r="K661" t="s">
        <v>39</v>
      </c>
      <c r="L661" t="s">
        <v>45</v>
      </c>
      <c r="M661">
        <v>0</v>
      </c>
      <c r="N661" t="s">
        <v>705</v>
      </c>
      <c r="O661" t="s">
        <v>2178</v>
      </c>
      <c r="P661" s="7">
        <v>47.95</v>
      </c>
      <c r="Q661" s="1">
        <v>44978</v>
      </c>
      <c r="R661">
        <f>WEEKNUM(Table2[[#This Row],[OrderDate]])</f>
        <v>8</v>
      </c>
      <c r="S661" s="1">
        <v>44988</v>
      </c>
      <c r="T661" t="s">
        <v>2920</v>
      </c>
    </row>
    <row r="662" spans="1:20" x14ac:dyDescent="0.35">
      <c r="A662" s="1">
        <v>45154</v>
      </c>
      <c r="B662" t="s">
        <v>2934</v>
      </c>
      <c r="C662" t="s">
        <v>21</v>
      </c>
      <c r="D662" s="9">
        <v>8</v>
      </c>
      <c r="E662" s="7">
        <v>355.15</v>
      </c>
      <c r="F662" t="s">
        <v>26</v>
      </c>
      <c r="G662" t="s">
        <v>31</v>
      </c>
      <c r="H662" s="12">
        <v>0.1</v>
      </c>
      <c r="I662" t="s">
        <v>35</v>
      </c>
      <c r="J662" s="7">
        <f>Table2[[#This Row],[UnitPrice]]*Table2[[#This Row],[Quantity]]*(1-Table2[[#This Row],[Discount]])</f>
        <v>2557.08</v>
      </c>
      <c r="K662" t="s">
        <v>38</v>
      </c>
      <c r="L662" t="s">
        <v>2937</v>
      </c>
      <c r="M662">
        <v>1</v>
      </c>
      <c r="N662" t="s">
        <v>706</v>
      </c>
      <c r="O662" t="s">
        <v>2179</v>
      </c>
      <c r="P662" s="7">
        <v>38.590000000000003</v>
      </c>
      <c r="Q662" s="1">
        <v>45154</v>
      </c>
      <c r="R662">
        <f>WEEKNUM(Table2[[#This Row],[OrderDate]])</f>
        <v>33</v>
      </c>
      <c r="S662" s="1">
        <v>45162</v>
      </c>
      <c r="T662" t="s">
        <v>2920</v>
      </c>
    </row>
    <row r="663" spans="1:20" x14ac:dyDescent="0.35">
      <c r="A663" s="1">
        <v>45233</v>
      </c>
      <c r="B663" t="s">
        <v>2933</v>
      </c>
      <c r="C663" t="s">
        <v>23</v>
      </c>
      <c r="D663" s="9">
        <v>11</v>
      </c>
      <c r="E663" s="7">
        <v>119.84</v>
      </c>
      <c r="F663" t="s">
        <v>29</v>
      </c>
      <c r="G663" t="s">
        <v>30</v>
      </c>
      <c r="H663" s="12">
        <v>0.1</v>
      </c>
      <c r="I663" t="s">
        <v>32</v>
      </c>
      <c r="J663" s="7">
        <f>Table2[[#This Row],[UnitPrice]]*Table2[[#This Row],[Quantity]]*(1-Table2[[#This Row],[Discount]])</f>
        <v>1186.4159999999999</v>
      </c>
      <c r="K663" t="s">
        <v>38</v>
      </c>
      <c r="L663" t="s">
        <v>44</v>
      </c>
      <c r="M663">
        <v>0</v>
      </c>
      <c r="N663" t="s">
        <v>707</v>
      </c>
      <c r="O663" t="s">
        <v>2180</v>
      </c>
      <c r="P663" s="7">
        <v>16.64</v>
      </c>
      <c r="Q663" s="1">
        <v>45233</v>
      </c>
      <c r="R663">
        <f>WEEKNUM(Table2[[#This Row],[OrderDate]])</f>
        <v>44</v>
      </c>
      <c r="S663" s="1">
        <v>45241</v>
      </c>
      <c r="T663" t="s">
        <v>2921</v>
      </c>
    </row>
    <row r="664" spans="1:20" x14ac:dyDescent="0.35">
      <c r="A664" s="1">
        <v>45408</v>
      </c>
      <c r="B664" t="s">
        <v>2932</v>
      </c>
      <c r="C664" t="s">
        <v>19</v>
      </c>
      <c r="D664" s="9">
        <v>16</v>
      </c>
      <c r="E664" s="7">
        <v>318.32</v>
      </c>
      <c r="F664" t="s">
        <v>28</v>
      </c>
      <c r="G664" t="s">
        <v>30</v>
      </c>
      <c r="H664" s="12">
        <v>0.05</v>
      </c>
      <c r="I664" t="s">
        <v>36</v>
      </c>
      <c r="J664" s="7">
        <f>Table2[[#This Row],[UnitPrice]]*Table2[[#This Row],[Quantity]]*(1-Table2[[#This Row],[Discount]])</f>
        <v>4838.4639999999999</v>
      </c>
      <c r="K664" t="s">
        <v>40</v>
      </c>
      <c r="L664" t="s">
        <v>43</v>
      </c>
      <c r="M664">
        <v>0</v>
      </c>
      <c r="N664" t="s">
        <v>708</v>
      </c>
      <c r="O664" t="s">
        <v>2181</v>
      </c>
      <c r="P664" s="7">
        <v>40.78</v>
      </c>
      <c r="Q664" s="1">
        <v>45408</v>
      </c>
      <c r="R664">
        <f>WEEKNUM(Table2[[#This Row],[OrderDate]])</f>
        <v>17</v>
      </c>
      <c r="S664" s="1">
        <v>45413</v>
      </c>
      <c r="T664" t="s">
        <v>2918</v>
      </c>
    </row>
    <row r="665" spans="1:20" x14ac:dyDescent="0.35">
      <c r="A665" s="1">
        <v>45573</v>
      </c>
      <c r="B665" t="s">
        <v>2932</v>
      </c>
      <c r="C665" t="s">
        <v>21</v>
      </c>
      <c r="D665" s="9">
        <v>9</v>
      </c>
      <c r="E665" s="7">
        <v>446.49</v>
      </c>
      <c r="F665" t="s">
        <v>29</v>
      </c>
      <c r="G665" t="s">
        <v>30</v>
      </c>
      <c r="H665" s="12">
        <v>0.15</v>
      </c>
      <c r="I665" t="s">
        <v>35</v>
      </c>
      <c r="J665" s="7">
        <f>Table2[[#This Row],[UnitPrice]]*Table2[[#This Row],[Quantity]]*(1-Table2[[#This Row],[Discount]])</f>
        <v>3415.6484999999998</v>
      </c>
      <c r="K665" t="s">
        <v>42</v>
      </c>
      <c r="L665" t="s">
        <v>43</v>
      </c>
      <c r="M665">
        <v>0</v>
      </c>
      <c r="N665" t="s">
        <v>709</v>
      </c>
      <c r="O665" t="s">
        <v>2182</v>
      </c>
      <c r="P665" s="7">
        <v>5.77</v>
      </c>
      <c r="Q665" s="1">
        <v>45573</v>
      </c>
      <c r="R665">
        <f>WEEKNUM(Table2[[#This Row],[OrderDate]])</f>
        <v>41</v>
      </c>
      <c r="S665" s="1">
        <v>45582</v>
      </c>
      <c r="T665" t="s">
        <v>2918</v>
      </c>
    </row>
    <row r="666" spans="1:20" x14ac:dyDescent="0.35">
      <c r="A666" s="1">
        <v>44935</v>
      </c>
      <c r="B666" t="s">
        <v>2932</v>
      </c>
      <c r="C666" t="s">
        <v>21</v>
      </c>
      <c r="D666" s="9">
        <v>16</v>
      </c>
      <c r="E666" s="7">
        <v>258.82</v>
      </c>
      <c r="F666" t="s">
        <v>29</v>
      </c>
      <c r="G666" t="s">
        <v>31</v>
      </c>
      <c r="H666" s="12">
        <v>0.1</v>
      </c>
      <c r="I666" t="s">
        <v>36</v>
      </c>
      <c r="J666" s="7">
        <f>Table2[[#This Row],[UnitPrice]]*Table2[[#This Row],[Quantity]]*(1-Table2[[#This Row],[Discount]])</f>
        <v>3727.0079999999998</v>
      </c>
      <c r="K666" t="s">
        <v>38</v>
      </c>
      <c r="L666" t="s">
        <v>44</v>
      </c>
      <c r="M666">
        <v>0</v>
      </c>
      <c r="N666" t="s">
        <v>710</v>
      </c>
      <c r="O666" t="s">
        <v>2183</v>
      </c>
      <c r="P666" s="7">
        <v>46.93</v>
      </c>
      <c r="Q666" s="1">
        <v>44935</v>
      </c>
      <c r="R666">
        <f>WEEKNUM(Table2[[#This Row],[OrderDate]])</f>
        <v>2</v>
      </c>
      <c r="S666" s="1">
        <v>44943</v>
      </c>
      <c r="T666" t="s">
        <v>2918</v>
      </c>
    </row>
    <row r="667" spans="1:20" x14ac:dyDescent="0.35">
      <c r="A667" s="1">
        <v>45285</v>
      </c>
      <c r="B667" t="s">
        <v>2931</v>
      </c>
      <c r="C667" t="s">
        <v>25</v>
      </c>
      <c r="D667" s="9">
        <v>9</v>
      </c>
      <c r="E667" s="7">
        <v>272.68</v>
      </c>
      <c r="F667" t="s">
        <v>29</v>
      </c>
      <c r="G667" t="s">
        <v>30</v>
      </c>
      <c r="H667" s="12">
        <v>0.05</v>
      </c>
      <c r="I667" t="s">
        <v>32</v>
      </c>
      <c r="J667" s="7">
        <f>Table2[[#This Row],[UnitPrice]]*Table2[[#This Row],[Quantity]]*(1-Table2[[#This Row],[Discount]])</f>
        <v>2331.4139999999998</v>
      </c>
      <c r="K667" t="s">
        <v>38</v>
      </c>
      <c r="L667" t="s">
        <v>44</v>
      </c>
      <c r="M667">
        <v>0</v>
      </c>
      <c r="N667" t="s">
        <v>711</v>
      </c>
      <c r="O667" t="s">
        <v>2184</v>
      </c>
      <c r="P667" s="7">
        <v>16.43</v>
      </c>
      <c r="Q667" s="1">
        <v>45285</v>
      </c>
      <c r="R667">
        <f>WEEKNUM(Table2[[#This Row],[OrderDate]])</f>
        <v>52</v>
      </c>
      <c r="S667" s="1">
        <v>45293</v>
      </c>
      <c r="T667" t="s">
        <v>2919</v>
      </c>
    </row>
    <row r="668" spans="1:20" x14ac:dyDescent="0.35">
      <c r="A668" s="1">
        <v>45423</v>
      </c>
      <c r="B668" t="s">
        <v>2934</v>
      </c>
      <c r="C668" t="s">
        <v>23</v>
      </c>
      <c r="D668" s="9">
        <v>12</v>
      </c>
      <c r="E668" s="7">
        <v>438.77</v>
      </c>
      <c r="F668" t="s">
        <v>28</v>
      </c>
      <c r="G668" t="s">
        <v>31</v>
      </c>
      <c r="H668" s="12">
        <v>0</v>
      </c>
      <c r="I668" t="s">
        <v>32</v>
      </c>
      <c r="J668" s="7">
        <f>Table2[[#This Row],[UnitPrice]]*Table2[[#This Row],[Quantity]]*(1-Table2[[#This Row],[Discount]])</f>
        <v>5265.24</v>
      </c>
      <c r="K668" t="s">
        <v>41</v>
      </c>
      <c r="L668" t="s">
        <v>44</v>
      </c>
      <c r="M668">
        <v>0</v>
      </c>
      <c r="N668" t="s">
        <v>712</v>
      </c>
      <c r="O668" t="s">
        <v>2185</v>
      </c>
      <c r="P668" s="7">
        <v>9.31</v>
      </c>
      <c r="Q668" s="1">
        <v>45423</v>
      </c>
      <c r="R668">
        <f>WEEKNUM(Table2[[#This Row],[OrderDate]])</f>
        <v>19</v>
      </c>
      <c r="S668" s="1">
        <v>45432</v>
      </c>
      <c r="T668" t="s">
        <v>2920</v>
      </c>
    </row>
    <row r="669" spans="1:20" x14ac:dyDescent="0.35">
      <c r="A669" s="1">
        <v>45253</v>
      </c>
      <c r="B669" t="s">
        <v>2933</v>
      </c>
      <c r="C669" t="s">
        <v>24</v>
      </c>
      <c r="D669" s="9">
        <v>18</v>
      </c>
      <c r="E669" s="7">
        <v>267.63</v>
      </c>
      <c r="F669" t="s">
        <v>26</v>
      </c>
      <c r="G669" t="s">
        <v>31</v>
      </c>
      <c r="H669" s="12">
        <v>0</v>
      </c>
      <c r="I669" t="s">
        <v>35</v>
      </c>
      <c r="J669" s="7">
        <f>Table2[[#This Row],[UnitPrice]]*Table2[[#This Row],[Quantity]]*(1-Table2[[#This Row],[Discount]])</f>
        <v>4817.34</v>
      </c>
      <c r="K669" t="s">
        <v>39</v>
      </c>
      <c r="L669" t="s">
        <v>44</v>
      </c>
      <c r="M669">
        <v>0</v>
      </c>
      <c r="N669" t="s">
        <v>713</v>
      </c>
      <c r="O669" t="s">
        <v>2186</v>
      </c>
      <c r="P669" s="7">
        <v>44.48</v>
      </c>
      <c r="Q669" s="1">
        <v>45253</v>
      </c>
      <c r="R669">
        <f>WEEKNUM(Table2[[#This Row],[OrderDate]])</f>
        <v>47</v>
      </c>
      <c r="S669" s="1">
        <v>45256</v>
      </c>
      <c r="T669" t="s">
        <v>2921</v>
      </c>
    </row>
    <row r="670" spans="1:20" x14ac:dyDescent="0.35">
      <c r="A670" s="1">
        <v>45270</v>
      </c>
      <c r="B670" t="s">
        <v>2934</v>
      </c>
      <c r="C670" t="s">
        <v>25</v>
      </c>
      <c r="D670" s="9">
        <v>6</v>
      </c>
      <c r="E670" s="7">
        <v>115.94</v>
      </c>
      <c r="F670" t="s">
        <v>27</v>
      </c>
      <c r="G670" t="s">
        <v>30</v>
      </c>
      <c r="H670" s="12">
        <v>0.05</v>
      </c>
      <c r="I670" t="s">
        <v>35</v>
      </c>
      <c r="J670" s="7">
        <f>Table2[[#This Row],[UnitPrice]]*Table2[[#This Row],[Quantity]]*(1-Table2[[#This Row],[Discount]])</f>
        <v>660.85799999999995</v>
      </c>
      <c r="K670" t="s">
        <v>40</v>
      </c>
      <c r="L670" t="s">
        <v>44</v>
      </c>
      <c r="M670">
        <v>0</v>
      </c>
      <c r="N670" t="s">
        <v>714</v>
      </c>
      <c r="O670" t="s">
        <v>2187</v>
      </c>
      <c r="P670" s="7">
        <v>23.91</v>
      </c>
      <c r="Q670" s="1">
        <v>45270</v>
      </c>
      <c r="R670">
        <f>WEEKNUM(Table2[[#This Row],[OrderDate]])</f>
        <v>50</v>
      </c>
      <c r="S670" s="1">
        <v>45272</v>
      </c>
      <c r="T670" t="s">
        <v>2920</v>
      </c>
    </row>
    <row r="671" spans="1:20" x14ac:dyDescent="0.35">
      <c r="A671" s="1">
        <v>45325</v>
      </c>
      <c r="B671" t="s">
        <v>2931</v>
      </c>
      <c r="C671" t="s">
        <v>25</v>
      </c>
      <c r="D671" s="9">
        <v>19</v>
      </c>
      <c r="E671" s="7">
        <v>275.77999999999997</v>
      </c>
      <c r="F671" t="s">
        <v>28</v>
      </c>
      <c r="G671" t="s">
        <v>31</v>
      </c>
      <c r="H671" s="12">
        <v>0</v>
      </c>
      <c r="I671" t="s">
        <v>34</v>
      </c>
      <c r="J671" s="7">
        <f>Table2[[#This Row],[UnitPrice]]*Table2[[#This Row],[Quantity]]*(1-Table2[[#This Row],[Discount]])</f>
        <v>5239.82</v>
      </c>
      <c r="K671" t="s">
        <v>42</v>
      </c>
      <c r="L671" t="s">
        <v>44</v>
      </c>
      <c r="M671">
        <v>0</v>
      </c>
      <c r="N671" t="s">
        <v>715</v>
      </c>
      <c r="O671" t="s">
        <v>2188</v>
      </c>
      <c r="P671" s="7">
        <v>47</v>
      </c>
      <c r="Q671" s="1">
        <v>45325</v>
      </c>
      <c r="R671">
        <f>WEEKNUM(Table2[[#This Row],[OrderDate]])</f>
        <v>5</v>
      </c>
      <c r="S671" s="1">
        <v>45327</v>
      </c>
      <c r="T671" t="s">
        <v>2919</v>
      </c>
    </row>
    <row r="672" spans="1:20" x14ac:dyDescent="0.35">
      <c r="A672" s="1">
        <v>45620</v>
      </c>
      <c r="B672" t="s">
        <v>2934</v>
      </c>
      <c r="C672" t="s">
        <v>22</v>
      </c>
      <c r="D672" s="9">
        <v>12</v>
      </c>
      <c r="E672" s="7">
        <v>255.93</v>
      </c>
      <c r="F672" t="s">
        <v>26</v>
      </c>
      <c r="G672" t="s">
        <v>31</v>
      </c>
      <c r="H672" s="12">
        <v>0</v>
      </c>
      <c r="I672" t="s">
        <v>32</v>
      </c>
      <c r="J672" s="7">
        <f>Table2[[#This Row],[UnitPrice]]*Table2[[#This Row],[Quantity]]*(1-Table2[[#This Row],[Discount]])</f>
        <v>3071.16</v>
      </c>
      <c r="K672" t="s">
        <v>42</v>
      </c>
      <c r="L672" t="s">
        <v>45</v>
      </c>
      <c r="M672">
        <v>0</v>
      </c>
      <c r="N672" t="s">
        <v>716</v>
      </c>
      <c r="O672" t="s">
        <v>2189</v>
      </c>
      <c r="P672" s="7">
        <v>23.74</v>
      </c>
      <c r="Q672" s="1">
        <v>45620</v>
      </c>
      <c r="R672">
        <f>WEEKNUM(Table2[[#This Row],[OrderDate]])</f>
        <v>48</v>
      </c>
      <c r="S672" s="1">
        <v>45630</v>
      </c>
      <c r="T672" t="s">
        <v>2920</v>
      </c>
    </row>
    <row r="673" spans="1:20" x14ac:dyDescent="0.35">
      <c r="A673" s="1">
        <v>45357</v>
      </c>
      <c r="B673" t="s">
        <v>2933</v>
      </c>
      <c r="C673" t="s">
        <v>20</v>
      </c>
      <c r="D673" s="9">
        <v>1</v>
      </c>
      <c r="E673" s="7">
        <v>381.21</v>
      </c>
      <c r="F673" t="s">
        <v>29</v>
      </c>
      <c r="G673" t="s">
        <v>30</v>
      </c>
      <c r="H673" s="12">
        <v>0.15</v>
      </c>
      <c r="I673" t="s">
        <v>37</v>
      </c>
      <c r="J673" s="7">
        <f>Table2[[#This Row],[UnitPrice]]*Table2[[#This Row],[Quantity]]*(1-Table2[[#This Row],[Discount]])</f>
        <v>324.02849999999995</v>
      </c>
      <c r="K673" t="s">
        <v>38</v>
      </c>
      <c r="L673" t="s">
        <v>2937</v>
      </c>
      <c r="M673">
        <v>0</v>
      </c>
      <c r="N673" t="s">
        <v>717</v>
      </c>
      <c r="O673" t="s">
        <v>2190</v>
      </c>
      <c r="P673" s="7">
        <v>9.9499999999999993</v>
      </c>
      <c r="Q673" s="1">
        <v>45357</v>
      </c>
      <c r="R673">
        <f>WEEKNUM(Table2[[#This Row],[OrderDate]])</f>
        <v>10</v>
      </c>
      <c r="S673" s="1">
        <v>45362</v>
      </c>
      <c r="T673" t="s">
        <v>2921</v>
      </c>
    </row>
    <row r="674" spans="1:20" x14ac:dyDescent="0.35">
      <c r="A674" s="1">
        <v>45689</v>
      </c>
      <c r="B674" t="s">
        <v>2932</v>
      </c>
      <c r="C674" t="s">
        <v>21</v>
      </c>
      <c r="D674" s="9">
        <v>5</v>
      </c>
      <c r="E674" s="7">
        <v>38.229999999999997</v>
      </c>
      <c r="F674" t="s">
        <v>28</v>
      </c>
      <c r="G674" t="s">
        <v>30</v>
      </c>
      <c r="H674" s="12">
        <v>0.15</v>
      </c>
      <c r="I674" t="s">
        <v>37</v>
      </c>
      <c r="J674" s="7">
        <f>Table2[[#This Row],[UnitPrice]]*Table2[[#This Row],[Quantity]]*(1-Table2[[#This Row],[Discount]])</f>
        <v>162.47749999999996</v>
      </c>
      <c r="K674" t="s">
        <v>41</v>
      </c>
      <c r="L674" t="s">
        <v>2937</v>
      </c>
      <c r="M674">
        <v>0</v>
      </c>
      <c r="N674" t="s">
        <v>718</v>
      </c>
      <c r="O674" t="s">
        <v>2191</v>
      </c>
      <c r="P674" s="7">
        <v>21.06</v>
      </c>
      <c r="Q674" s="1">
        <v>45689</v>
      </c>
      <c r="R674">
        <f>WEEKNUM(Table2[[#This Row],[OrderDate]])</f>
        <v>5</v>
      </c>
      <c r="S674" s="1">
        <v>45699</v>
      </c>
      <c r="T674" t="s">
        <v>2918</v>
      </c>
    </row>
    <row r="675" spans="1:20" x14ac:dyDescent="0.35">
      <c r="A675" s="1">
        <v>45447</v>
      </c>
      <c r="B675" t="s">
        <v>2934</v>
      </c>
      <c r="C675" t="s">
        <v>19</v>
      </c>
      <c r="D675" s="9">
        <v>7</v>
      </c>
      <c r="E675" s="7">
        <v>225.86</v>
      </c>
      <c r="F675" t="s">
        <v>26</v>
      </c>
      <c r="G675" t="s">
        <v>30</v>
      </c>
      <c r="H675" s="12">
        <v>0</v>
      </c>
      <c r="I675" t="s">
        <v>35</v>
      </c>
      <c r="J675" s="7">
        <f>Table2[[#This Row],[UnitPrice]]*Table2[[#This Row],[Quantity]]*(1-Table2[[#This Row],[Discount]])</f>
        <v>1581.02</v>
      </c>
      <c r="K675" t="s">
        <v>41</v>
      </c>
      <c r="L675" t="s">
        <v>2937</v>
      </c>
      <c r="M675">
        <v>0</v>
      </c>
      <c r="N675" t="s">
        <v>719</v>
      </c>
      <c r="O675" t="s">
        <v>2192</v>
      </c>
      <c r="P675" s="7">
        <v>24.48</v>
      </c>
      <c r="Q675" s="1">
        <v>45447</v>
      </c>
      <c r="R675">
        <f>WEEKNUM(Table2[[#This Row],[OrderDate]])</f>
        <v>23</v>
      </c>
      <c r="S675" s="1">
        <v>45452</v>
      </c>
      <c r="T675" t="s">
        <v>2920</v>
      </c>
    </row>
    <row r="676" spans="1:20" x14ac:dyDescent="0.35">
      <c r="A676" s="1">
        <v>45144</v>
      </c>
      <c r="B676" t="s">
        <v>2934</v>
      </c>
      <c r="C676" t="s">
        <v>21</v>
      </c>
      <c r="D676" s="9">
        <v>8</v>
      </c>
      <c r="E676" s="7">
        <v>548.02</v>
      </c>
      <c r="F676" t="s">
        <v>29</v>
      </c>
      <c r="G676" t="s">
        <v>31</v>
      </c>
      <c r="H676" s="12">
        <v>0.05</v>
      </c>
      <c r="I676" t="s">
        <v>32</v>
      </c>
      <c r="J676" s="7">
        <f>Table2[[#This Row],[UnitPrice]]*Table2[[#This Row],[Quantity]]*(1-Table2[[#This Row],[Discount]])</f>
        <v>4164.9519999999993</v>
      </c>
      <c r="K676" t="s">
        <v>38</v>
      </c>
      <c r="L676" t="s">
        <v>2937</v>
      </c>
      <c r="M676">
        <v>0</v>
      </c>
      <c r="N676" t="s">
        <v>720</v>
      </c>
      <c r="O676" t="s">
        <v>2193</v>
      </c>
      <c r="P676" s="7">
        <v>33.4</v>
      </c>
      <c r="Q676" s="1">
        <v>45144</v>
      </c>
      <c r="R676">
        <f>WEEKNUM(Table2[[#This Row],[OrderDate]])</f>
        <v>32</v>
      </c>
      <c r="S676" s="1">
        <v>45151</v>
      </c>
      <c r="T676" t="s">
        <v>2920</v>
      </c>
    </row>
    <row r="677" spans="1:20" x14ac:dyDescent="0.35">
      <c r="A677" s="1">
        <v>45107</v>
      </c>
      <c r="B677" t="s">
        <v>2933</v>
      </c>
      <c r="C677" t="s">
        <v>25</v>
      </c>
      <c r="D677" s="9">
        <v>18</v>
      </c>
      <c r="E677" s="7">
        <v>485.3</v>
      </c>
      <c r="F677" t="s">
        <v>29</v>
      </c>
      <c r="G677" t="s">
        <v>30</v>
      </c>
      <c r="H677" s="12">
        <v>0.05</v>
      </c>
      <c r="I677" t="s">
        <v>37</v>
      </c>
      <c r="J677" s="7">
        <f>Table2[[#This Row],[UnitPrice]]*Table2[[#This Row],[Quantity]]*(1-Table2[[#This Row],[Discount]])</f>
        <v>8298.6299999999992</v>
      </c>
      <c r="K677" t="s">
        <v>41</v>
      </c>
      <c r="L677" t="s">
        <v>43</v>
      </c>
      <c r="M677">
        <v>1</v>
      </c>
      <c r="N677" t="s">
        <v>721</v>
      </c>
      <c r="O677" t="s">
        <v>2194</v>
      </c>
      <c r="P677" s="7">
        <v>47.77</v>
      </c>
      <c r="Q677" s="1">
        <v>45107</v>
      </c>
      <c r="R677">
        <f>WEEKNUM(Table2[[#This Row],[OrderDate]])</f>
        <v>26</v>
      </c>
      <c r="S677" s="1">
        <v>45112</v>
      </c>
      <c r="T677" t="s">
        <v>2921</v>
      </c>
    </row>
    <row r="678" spans="1:20" x14ac:dyDescent="0.35">
      <c r="A678" s="1">
        <v>44972</v>
      </c>
      <c r="B678" t="s">
        <v>2933</v>
      </c>
      <c r="C678" t="s">
        <v>25</v>
      </c>
      <c r="D678" s="9">
        <v>19</v>
      </c>
      <c r="E678" s="7">
        <v>414.31</v>
      </c>
      <c r="F678" t="s">
        <v>27</v>
      </c>
      <c r="G678" t="s">
        <v>31</v>
      </c>
      <c r="H678" s="12">
        <v>0.1</v>
      </c>
      <c r="I678" t="s">
        <v>32</v>
      </c>
      <c r="J678" s="7">
        <f>Table2[[#This Row],[UnitPrice]]*Table2[[#This Row],[Quantity]]*(1-Table2[[#This Row],[Discount]])</f>
        <v>7084.701</v>
      </c>
      <c r="K678" t="s">
        <v>40</v>
      </c>
      <c r="L678" t="s">
        <v>44</v>
      </c>
      <c r="M678">
        <v>0</v>
      </c>
      <c r="N678" t="s">
        <v>722</v>
      </c>
      <c r="O678" t="s">
        <v>2195</v>
      </c>
      <c r="P678" s="7">
        <v>17.43</v>
      </c>
      <c r="Q678" s="1">
        <v>44972</v>
      </c>
      <c r="R678">
        <f>WEEKNUM(Table2[[#This Row],[OrderDate]])</f>
        <v>7</v>
      </c>
      <c r="S678" s="1">
        <v>44976</v>
      </c>
      <c r="T678" t="s">
        <v>2921</v>
      </c>
    </row>
    <row r="679" spans="1:20" x14ac:dyDescent="0.35">
      <c r="A679" s="1">
        <v>45314</v>
      </c>
      <c r="B679" t="s">
        <v>2931</v>
      </c>
      <c r="C679" t="s">
        <v>25</v>
      </c>
      <c r="D679" s="9">
        <v>8</v>
      </c>
      <c r="E679" s="7">
        <v>50.72</v>
      </c>
      <c r="F679" t="s">
        <v>27</v>
      </c>
      <c r="G679" t="s">
        <v>30</v>
      </c>
      <c r="H679" s="12">
        <v>0.05</v>
      </c>
      <c r="I679" t="s">
        <v>35</v>
      </c>
      <c r="J679" s="7">
        <f>Table2[[#This Row],[UnitPrice]]*Table2[[#This Row],[Quantity]]*(1-Table2[[#This Row],[Discount]])</f>
        <v>385.47199999999998</v>
      </c>
      <c r="K679" t="s">
        <v>41</v>
      </c>
      <c r="L679" t="s">
        <v>2937</v>
      </c>
      <c r="M679">
        <v>0</v>
      </c>
      <c r="N679" t="s">
        <v>723</v>
      </c>
      <c r="O679" t="s">
        <v>2196</v>
      </c>
      <c r="P679" s="7">
        <v>12.35</v>
      </c>
      <c r="Q679" s="1">
        <v>45314</v>
      </c>
      <c r="R679">
        <f>WEEKNUM(Table2[[#This Row],[OrderDate]])</f>
        <v>4</v>
      </c>
      <c r="S679" s="1">
        <v>45321</v>
      </c>
      <c r="T679" t="s">
        <v>2919</v>
      </c>
    </row>
    <row r="680" spans="1:20" x14ac:dyDescent="0.35">
      <c r="A680" s="1">
        <v>45596</v>
      </c>
      <c r="B680" t="s">
        <v>2931</v>
      </c>
      <c r="C680" t="s">
        <v>24</v>
      </c>
      <c r="D680" s="9">
        <v>17</v>
      </c>
      <c r="E680" s="7">
        <v>83.26</v>
      </c>
      <c r="F680" t="s">
        <v>27</v>
      </c>
      <c r="G680" t="s">
        <v>30</v>
      </c>
      <c r="H680" s="12">
        <v>0.15</v>
      </c>
      <c r="I680" t="s">
        <v>32</v>
      </c>
      <c r="J680" s="7">
        <f>Table2[[#This Row],[UnitPrice]]*Table2[[#This Row],[Quantity]]*(1-Table2[[#This Row],[Discount]])</f>
        <v>1203.107</v>
      </c>
      <c r="K680" t="s">
        <v>42</v>
      </c>
      <c r="L680" t="s">
        <v>44</v>
      </c>
      <c r="M680">
        <v>0</v>
      </c>
      <c r="N680" t="s">
        <v>724</v>
      </c>
      <c r="O680" t="s">
        <v>2197</v>
      </c>
      <c r="P680" s="7">
        <v>42.68</v>
      </c>
      <c r="Q680" s="1">
        <v>45596</v>
      </c>
      <c r="R680">
        <f>WEEKNUM(Table2[[#This Row],[OrderDate]])</f>
        <v>44</v>
      </c>
      <c r="S680" s="1">
        <v>45602</v>
      </c>
      <c r="T680" t="s">
        <v>2919</v>
      </c>
    </row>
    <row r="681" spans="1:20" x14ac:dyDescent="0.35">
      <c r="A681" s="1">
        <v>45279</v>
      </c>
      <c r="B681" t="s">
        <v>2934</v>
      </c>
      <c r="C681" t="s">
        <v>21</v>
      </c>
      <c r="D681" s="9">
        <v>20</v>
      </c>
      <c r="E681" s="7">
        <v>51.85</v>
      </c>
      <c r="F681" t="s">
        <v>28</v>
      </c>
      <c r="G681" t="s">
        <v>30</v>
      </c>
      <c r="H681" s="12">
        <v>0.15</v>
      </c>
      <c r="I681" t="s">
        <v>35</v>
      </c>
      <c r="J681" s="7">
        <f>Table2[[#This Row],[UnitPrice]]*Table2[[#This Row],[Quantity]]*(1-Table2[[#This Row],[Discount]])</f>
        <v>881.44999999999993</v>
      </c>
      <c r="K681" t="s">
        <v>42</v>
      </c>
      <c r="L681" t="s">
        <v>2937</v>
      </c>
      <c r="M681">
        <v>0</v>
      </c>
      <c r="N681" t="s">
        <v>725</v>
      </c>
      <c r="O681" t="s">
        <v>2198</v>
      </c>
      <c r="P681" s="7">
        <v>33.159999999999997</v>
      </c>
      <c r="Q681" s="1">
        <v>45279</v>
      </c>
      <c r="R681">
        <f>WEEKNUM(Table2[[#This Row],[OrderDate]])</f>
        <v>51</v>
      </c>
      <c r="S681" s="1">
        <v>45281</v>
      </c>
      <c r="T681" t="s">
        <v>2920</v>
      </c>
    </row>
    <row r="682" spans="1:20" x14ac:dyDescent="0.35">
      <c r="A682" s="1">
        <v>45111</v>
      </c>
      <c r="B682" t="s">
        <v>2932</v>
      </c>
      <c r="C682" t="s">
        <v>24</v>
      </c>
      <c r="D682" s="9">
        <v>12</v>
      </c>
      <c r="E682" s="7">
        <v>122.51</v>
      </c>
      <c r="F682" t="s">
        <v>26</v>
      </c>
      <c r="G682" t="s">
        <v>30</v>
      </c>
      <c r="H682" s="12">
        <v>0.05</v>
      </c>
      <c r="I682" t="s">
        <v>36</v>
      </c>
      <c r="J682" s="7">
        <f>Table2[[#This Row],[UnitPrice]]*Table2[[#This Row],[Quantity]]*(1-Table2[[#This Row],[Discount]])</f>
        <v>1396.614</v>
      </c>
      <c r="K682" t="s">
        <v>39</v>
      </c>
      <c r="L682" t="s">
        <v>45</v>
      </c>
      <c r="M682">
        <v>0</v>
      </c>
      <c r="N682" t="s">
        <v>726</v>
      </c>
      <c r="O682" t="s">
        <v>1827</v>
      </c>
      <c r="P682" s="7">
        <v>43.47</v>
      </c>
      <c r="Q682" s="1">
        <v>45111</v>
      </c>
      <c r="R682">
        <f>WEEKNUM(Table2[[#This Row],[OrderDate]])</f>
        <v>27</v>
      </c>
      <c r="S682" s="1">
        <v>45113</v>
      </c>
      <c r="T682" t="s">
        <v>2918</v>
      </c>
    </row>
    <row r="683" spans="1:20" x14ac:dyDescent="0.35">
      <c r="A683" s="1">
        <v>45428</v>
      </c>
      <c r="B683" t="s">
        <v>2930</v>
      </c>
      <c r="C683" t="s">
        <v>19</v>
      </c>
      <c r="D683" s="9">
        <v>11</v>
      </c>
      <c r="E683" s="7">
        <v>222.13</v>
      </c>
      <c r="F683" t="s">
        <v>29</v>
      </c>
      <c r="G683" t="s">
        <v>30</v>
      </c>
      <c r="H683" s="12">
        <v>0.15</v>
      </c>
      <c r="I683" t="s">
        <v>32</v>
      </c>
      <c r="J683" s="7">
        <f>Table2[[#This Row],[UnitPrice]]*Table2[[#This Row],[Quantity]]*(1-Table2[[#This Row],[Discount]])</f>
        <v>2076.9154999999996</v>
      </c>
      <c r="K683" t="s">
        <v>42</v>
      </c>
      <c r="L683" t="s">
        <v>45</v>
      </c>
      <c r="M683">
        <v>1</v>
      </c>
      <c r="N683" t="s">
        <v>727</v>
      </c>
      <c r="O683" t="s">
        <v>2199</v>
      </c>
      <c r="P683" s="7">
        <v>9.8800000000000008</v>
      </c>
      <c r="Q683" s="1">
        <v>45428</v>
      </c>
      <c r="R683">
        <f>WEEKNUM(Table2[[#This Row],[OrderDate]])</f>
        <v>20</v>
      </c>
      <c r="S683" s="1">
        <v>45430</v>
      </c>
      <c r="T683" t="s">
        <v>2917</v>
      </c>
    </row>
    <row r="684" spans="1:20" x14ac:dyDescent="0.35">
      <c r="A684" s="1">
        <v>45185</v>
      </c>
      <c r="B684" t="s">
        <v>2931</v>
      </c>
      <c r="C684" t="s">
        <v>23</v>
      </c>
      <c r="D684" s="9">
        <v>8</v>
      </c>
      <c r="E684" s="7">
        <v>204.84</v>
      </c>
      <c r="F684" t="s">
        <v>28</v>
      </c>
      <c r="G684" t="s">
        <v>31</v>
      </c>
      <c r="H684" s="12">
        <v>0</v>
      </c>
      <c r="I684" t="s">
        <v>37</v>
      </c>
      <c r="J684" s="7">
        <f>Table2[[#This Row],[UnitPrice]]*Table2[[#This Row],[Quantity]]*(1-Table2[[#This Row],[Discount]])</f>
        <v>1638.72</v>
      </c>
      <c r="K684" t="s">
        <v>42</v>
      </c>
      <c r="L684" t="s">
        <v>2937</v>
      </c>
      <c r="M684">
        <v>0</v>
      </c>
      <c r="N684" t="s">
        <v>728</v>
      </c>
      <c r="O684" t="s">
        <v>2200</v>
      </c>
      <c r="P684" s="7">
        <v>43.4</v>
      </c>
      <c r="Q684" s="1">
        <v>45185</v>
      </c>
      <c r="R684">
        <f>WEEKNUM(Table2[[#This Row],[OrderDate]])</f>
        <v>37</v>
      </c>
      <c r="S684" s="1">
        <v>45190</v>
      </c>
      <c r="T684" t="s">
        <v>2919</v>
      </c>
    </row>
    <row r="685" spans="1:20" x14ac:dyDescent="0.35">
      <c r="A685" s="1">
        <v>45618</v>
      </c>
      <c r="B685" t="s">
        <v>2930</v>
      </c>
      <c r="C685" t="s">
        <v>22</v>
      </c>
      <c r="D685" s="9">
        <v>3</v>
      </c>
      <c r="E685" s="7">
        <v>536.97</v>
      </c>
      <c r="F685" t="s">
        <v>28</v>
      </c>
      <c r="G685" t="s">
        <v>30</v>
      </c>
      <c r="H685" s="12">
        <v>0</v>
      </c>
      <c r="I685" t="s">
        <v>35</v>
      </c>
      <c r="J685" s="7">
        <f>Table2[[#This Row],[UnitPrice]]*Table2[[#This Row],[Quantity]]*(1-Table2[[#This Row],[Discount]])</f>
        <v>1610.91</v>
      </c>
      <c r="K685" t="s">
        <v>41</v>
      </c>
      <c r="L685" t="s">
        <v>2937</v>
      </c>
      <c r="M685">
        <v>0</v>
      </c>
      <c r="N685" t="s">
        <v>729</v>
      </c>
      <c r="O685" t="s">
        <v>2201</v>
      </c>
      <c r="P685" s="7">
        <v>13.86</v>
      </c>
      <c r="Q685" s="1">
        <v>45618</v>
      </c>
      <c r="R685">
        <f>WEEKNUM(Table2[[#This Row],[OrderDate]])</f>
        <v>47</v>
      </c>
      <c r="S685" s="1">
        <v>45627</v>
      </c>
      <c r="T685" t="s">
        <v>2917</v>
      </c>
    </row>
    <row r="686" spans="1:20" x14ac:dyDescent="0.35">
      <c r="A686" s="1">
        <v>45395</v>
      </c>
      <c r="B686" t="s">
        <v>2933</v>
      </c>
      <c r="C686" t="s">
        <v>22</v>
      </c>
      <c r="D686" s="9">
        <v>15</v>
      </c>
      <c r="E686" s="7">
        <v>553.01</v>
      </c>
      <c r="F686" t="s">
        <v>27</v>
      </c>
      <c r="G686" t="s">
        <v>31</v>
      </c>
      <c r="H686" s="12">
        <v>0.1</v>
      </c>
      <c r="I686" t="s">
        <v>35</v>
      </c>
      <c r="J686" s="7">
        <f>Table2[[#This Row],[UnitPrice]]*Table2[[#This Row],[Quantity]]*(1-Table2[[#This Row],[Discount]])</f>
        <v>7465.6350000000002</v>
      </c>
      <c r="K686" t="s">
        <v>40</v>
      </c>
      <c r="L686" t="s">
        <v>44</v>
      </c>
      <c r="M686">
        <v>1</v>
      </c>
      <c r="N686" t="s">
        <v>730</v>
      </c>
      <c r="O686" t="s">
        <v>2202</v>
      </c>
      <c r="P686" s="7">
        <v>23.3</v>
      </c>
      <c r="Q686" s="1">
        <v>45395</v>
      </c>
      <c r="R686">
        <f>WEEKNUM(Table2[[#This Row],[OrderDate]])</f>
        <v>15</v>
      </c>
      <c r="S686" s="1">
        <v>45403</v>
      </c>
      <c r="T686" t="s">
        <v>2921</v>
      </c>
    </row>
    <row r="687" spans="1:20" x14ac:dyDescent="0.35">
      <c r="A687" s="1">
        <v>45473</v>
      </c>
      <c r="B687" t="s">
        <v>2932</v>
      </c>
      <c r="C687" t="s">
        <v>22</v>
      </c>
      <c r="D687" s="9">
        <v>20</v>
      </c>
      <c r="E687" s="7">
        <v>284.82</v>
      </c>
      <c r="F687" t="s">
        <v>29</v>
      </c>
      <c r="G687" t="s">
        <v>31</v>
      </c>
      <c r="H687" s="12">
        <v>0.1</v>
      </c>
      <c r="I687" t="s">
        <v>33</v>
      </c>
      <c r="J687" s="7">
        <f>Table2[[#This Row],[UnitPrice]]*Table2[[#This Row],[Quantity]]*(1-Table2[[#This Row],[Discount]])</f>
        <v>5126.76</v>
      </c>
      <c r="K687" t="s">
        <v>40</v>
      </c>
      <c r="L687" t="s">
        <v>45</v>
      </c>
      <c r="M687">
        <v>1</v>
      </c>
      <c r="N687" t="s">
        <v>731</v>
      </c>
      <c r="O687" t="s">
        <v>2203</v>
      </c>
      <c r="P687" s="7">
        <v>27</v>
      </c>
      <c r="Q687" s="1">
        <v>45473</v>
      </c>
      <c r="R687">
        <f>WEEKNUM(Table2[[#This Row],[OrderDate]])</f>
        <v>27</v>
      </c>
      <c r="S687" s="1">
        <v>45479</v>
      </c>
      <c r="T687" t="s">
        <v>2918</v>
      </c>
    </row>
    <row r="688" spans="1:20" x14ac:dyDescent="0.35">
      <c r="A688" s="1">
        <v>45533</v>
      </c>
      <c r="B688" t="s">
        <v>2931</v>
      </c>
      <c r="C688" t="s">
        <v>21</v>
      </c>
      <c r="D688" s="9">
        <v>18</v>
      </c>
      <c r="E688" s="7">
        <v>523.87</v>
      </c>
      <c r="F688" t="s">
        <v>28</v>
      </c>
      <c r="G688" t="s">
        <v>31</v>
      </c>
      <c r="H688" s="12">
        <v>0.15</v>
      </c>
      <c r="I688" t="s">
        <v>36</v>
      </c>
      <c r="J688" s="7">
        <f>Table2[[#This Row],[UnitPrice]]*Table2[[#This Row],[Quantity]]*(1-Table2[[#This Row],[Discount]])</f>
        <v>8015.2109999999993</v>
      </c>
      <c r="K688" t="s">
        <v>39</v>
      </c>
      <c r="L688" t="s">
        <v>45</v>
      </c>
      <c r="M688">
        <v>0</v>
      </c>
      <c r="N688" t="s">
        <v>732</v>
      </c>
      <c r="O688" t="s">
        <v>2204</v>
      </c>
      <c r="P688" s="7">
        <v>42.63</v>
      </c>
      <c r="Q688" s="1">
        <v>45533</v>
      </c>
      <c r="R688">
        <f>WEEKNUM(Table2[[#This Row],[OrderDate]])</f>
        <v>35</v>
      </c>
      <c r="S688" s="1">
        <v>45537</v>
      </c>
      <c r="T688" t="s">
        <v>2919</v>
      </c>
    </row>
    <row r="689" spans="1:20" x14ac:dyDescent="0.35">
      <c r="A689" s="1">
        <v>45286</v>
      </c>
      <c r="B689" t="s">
        <v>2934</v>
      </c>
      <c r="C689" t="s">
        <v>21</v>
      </c>
      <c r="D689" s="9">
        <v>3</v>
      </c>
      <c r="E689" s="7">
        <v>232.13</v>
      </c>
      <c r="F689" t="s">
        <v>26</v>
      </c>
      <c r="G689" t="s">
        <v>31</v>
      </c>
      <c r="H689" s="12">
        <v>0.1</v>
      </c>
      <c r="I689" t="s">
        <v>36</v>
      </c>
      <c r="J689" s="7">
        <f>Table2[[#This Row],[UnitPrice]]*Table2[[#This Row],[Quantity]]*(1-Table2[[#This Row],[Discount]])</f>
        <v>626.75099999999998</v>
      </c>
      <c r="K689" t="s">
        <v>42</v>
      </c>
      <c r="L689" t="s">
        <v>2937</v>
      </c>
      <c r="M689">
        <v>1</v>
      </c>
      <c r="N689" t="s">
        <v>733</v>
      </c>
      <c r="O689" t="s">
        <v>2205</v>
      </c>
      <c r="P689" s="7">
        <v>46.65</v>
      </c>
      <c r="Q689" s="1">
        <v>45286</v>
      </c>
      <c r="R689">
        <f>WEEKNUM(Table2[[#This Row],[OrderDate]])</f>
        <v>52</v>
      </c>
      <c r="S689" s="1">
        <v>45291</v>
      </c>
      <c r="T689" t="s">
        <v>2920</v>
      </c>
    </row>
    <row r="690" spans="1:20" x14ac:dyDescent="0.35">
      <c r="A690" s="1">
        <v>45687</v>
      </c>
      <c r="B690" t="s">
        <v>2931</v>
      </c>
      <c r="C690" t="s">
        <v>20</v>
      </c>
      <c r="D690" s="9">
        <v>17</v>
      </c>
      <c r="E690" s="7">
        <v>179.32</v>
      </c>
      <c r="F690" t="s">
        <v>27</v>
      </c>
      <c r="G690" t="s">
        <v>31</v>
      </c>
      <c r="H690" s="12">
        <v>0.1</v>
      </c>
      <c r="I690" t="s">
        <v>37</v>
      </c>
      <c r="J690" s="7">
        <f>Table2[[#This Row],[UnitPrice]]*Table2[[#This Row],[Quantity]]*(1-Table2[[#This Row],[Discount]])</f>
        <v>2743.596</v>
      </c>
      <c r="K690" t="s">
        <v>41</v>
      </c>
      <c r="L690" t="s">
        <v>44</v>
      </c>
      <c r="M690">
        <v>1</v>
      </c>
      <c r="N690" t="s">
        <v>734</v>
      </c>
      <c r="O690" t="s">
        <v>2206</v>
      </c>
      <c r="P690" s="7">
        <v>26.74</v>
      </c>
      <c r="Q690" s="1">
        <v>45687</v>
      </c>
      <c r="R690">
        <f>WEEKNUM(Table2[[#This Row],[OrderDate]])</f>
        <v>5</v>
      </c>
      <c r="S690" s="1">
        <v>45694</v>
      </c>
      <c r="T690" t="s">
        <v>2919</v>
      </c>
    </row>
    <row r="691" spans="1:20" x14ac:dyDescent="0.35">
      <c r="A691" s="1">
        <v>45063</v>
      </c>
      <c r="B691" t="s">
        <v>2932</v>
      </c>
      <c r="C691" t="s">
        <v>22</v>
      </c>
      <c r="D691" s="9">
        <v>1</v>
      </c>
      <c r="E691" s="7">
        <v>396.35</v>
      </c>
      <c r="F691" t="s">
        <v>26</v>
      </c>
      <c r="G691" t="s">
        <v>31</v>
      </c>
      <c r="H691" s="12">
        <v>0.15</v>
      </c>
      <c r="I691" t="s">
        <v>34</v>
      </c>
      <c r="J691" s="7">
        <f>Table2[[#This Row],[UnitPrice]]*Table2[[#This Row],[Quantity]]*(1-Table2[[#This Row],[Discount]])</f>
        <v>336.89750000000004</v>
      </c>
      <c r="K691" t="s">
        <v>41</v>
      </c>
      <c r="L691" t="s">
        <v>44</v>
      </c>
      <c r="M691">
        <v>1</v>
      </c>
      <c r="N691" t="s">
        <v>735</v>
      </c>
      <c r="O691" t="s">
        <v>2207</v>
      </c>
      <c r="P691" s="7">
        <v>19.89</v>
      </c>
      <c r="Q691" s="1">
        <v>45063</v>
      </c>
      <c r="R691">
        <f>WEEKNUM(Table2[[#This Row],[OrderDate]])</f>
        <v>20</v>
      </c>
      <c r="S691" s="1">
        <v>45071</v>
      </c>
      <c r="T691" t="s">
        <v>2918</v>
      </c>
    </row>
    <row r="692" spans="1:20" x14ac:dyDescent="0.35">
      <c r="A692" s="1">
        <v>45318</v>
      </c>
      <c r="B692" t="s">
        <v>2934</v>
      </c>
      <c r="C692" t="s">
        <v>21</v>
      </c>
      <c r="D692" s="9">
        <v>17</v>
      </c>
      <c r="E692" s="7">
        <v>108.48</v>
      </c>
      <c r="F692" t="s">
        <v>27</v>
      </c>
      <c r="G692" t="s">
        <v>30</v>
      </c>
      <c r="H692" s="12">
        <v>0.1</v>
      </c>
      <c r="I692" t="s">
        <v>35</v>
      </c>
      <c r="J692" s="7">
        <f>Table2[[#This Row],[UnitPrice]]*Table2[[#This Row],[Quantity]]*(1-Table2[[#This Row],[Discount]])</f>
        <v>1659.7440000000001</v>
      </c>
      <c r="K692" t="s">
        <v>38</v>
      </c>
      <c r="L692" t="s">
        <v>2937</v>
      </c>
      <c r="M692">
        <v>1</v>
      </c>
      <c r="N692" t="s">
        <v>736</v>
      </c>
      <c r="O692" t="s">
        <v>2208</v>
      </c>
      <c r="P692" s="7">
        <v>48.9</v>
      </c>
      <c r="Q692" s="1">
        <v>45318</v>
      </c>
      <c r="R692">
        <f>WEEKNUM(Table2[[#This Row],[OrderDate]])</f>
        <v>4</v>
      </c>
      <c r="S692" s="1">
        <v>45327</v>
      </c>
      <c r="T692" t="s">
        <v>2920</v>
      </c>
    </row>
    <row r="693" spans="1:20" x14ac:dyDescent="0.35">
      <c r="A693" s="1">
        <v>45803</v>
      </c>
      <c r="B693" t="s">
        <v>2930</v>
      </c>
      <c r="C693" t="s">
        <v>25</v>
      </c>
      <c r="D693" s="9">
        <v>10</v>
      </c>
      <c r="E693" s="7">
        <v>149.66999999999999</v>
      </c>
      <c r="F693" t="s">
        <v>29</v>
      </c>
      <c r="G693" t="s">
        <v>31</v>
      </c>
      <c r="H693" s="12">
        <v>0.1</v>
      </c>
      <c r="I693" t="s">
        <v>35</v>
      </c>
      <c r="J693" s="7">
        <f>Table2[[#This Row],[UnitPrice]]*Table2[[#This Row],[Quantity]]*(1-Table2[[#This Row],[Discount]])</f>
        <v>1347.03</v>
      </c>
      <c r="K693" t="s">
        <v>42</v>
      </c>
      <c r="L693" t="s">
        <v>43</v>
      </c>
      <c r="M693">
        <v>1</v>
      </c>
      <c r="N693" t="s">
        <v>737</v>
      </c>
      <c r="O693" t="s">
        <v>2209</v>
      </c>
      <c r="P693" s="7">
        <v>49.67</v>
      </c>
      <c r="Q693" s="1">
        <v>45803</v>
      </c>
      <c r="R693">
        <f>WEEKNUM(Table2[[#This Row],[OrderDate]])</f>
        <v>22</v>
      </c>
      <c r="S693" s="1">
        <v>45810</v>
      </c>
      <c r="T693" t="s">
        <v>2917</v>
      </c>
    </row>
    <row r="694" spans="1:20" x14ac:dyDescent="0.35">
      <c r="A694" s="1">
        <v>45725</v>
      </c>
      <c r="B694" t="s">
        <v>2931</v>
      </c>
      <c r="C694" t="s">
        <v>20</v>
      </c>
      <c r="D694" s="9">
        <v>1</v>
      </c>
      <c r="E694" s="7">
        <v>506.41</v>
      </c>
      <c r="F694" t="s">
        <v>29</v>
      </c>
      <c r="G694" t="s">
        <v>30</v>
      </c>
      <c r="H694" s="12">
        <v>0</v>
      </c>
      <c r="I694" t="s">
        <v>37</v>
      </c>
      <c r="J694" s="7">
        <f>Table2[[#This Row],[UnitPrice]]*Table2[[#This Row],[Quantity]]*(1-Table2[[#This Row],[Discount]])</f>
        <v>506.41</v>
      </c>
      <c r="K694" t="s">
        <v>42</v>
      </c>
      <c r="L694" t="s">
        <v>2937</v>
      </c>
      <c r="M694">
        <v>0</v>
      </c>
      <c r="N694" t="s">
        <v>738</v>
      </c>
      <c r="O694" t="s">
        <v>2210</v>
      </c>
      <c r="P694" s="7">
        <v>17.899999999999999</v>
      </c>
      <c r="Q694" s="1">
        <v>45725</v>
      </c>
      <c r="R694">
        <f>WEEKNUM(Table2[[#This Row],[OrderDate]])</f>
        <v>11</v>
      </c>
      <c r="S694" s="1">
        <v>45733</v>
      </c>
      <c r="T694" t="s">
        <v>2919</v>
      </c>
    </row>
    <row r="695" spans="1:20" x14ac:dyDescent="0.35">
      <c r="A695" s="1">
        <v>45344</v>
      </c>
      <c r="B695" t="s">
        <v>2933</v>
      </c>
      <c r="C695" t="s">
        <v>24</v>
      </c>
      <c r="D695" s="9">
        <v>6</v>
      </c>
      <c r="E695" s="7">
        <v>345.9</v>
      </c>
      <c r="F695" t="s">
        <v>26</v>
      </c>
      <c r="G695" t="s">
        <v>31</v>
      </c>
      <c r="H695" s="12">
        <v>0.15</v>
      </c>
      <c r="I695" t="s">
        <v>34</v>
      </c>
      <c r="J695" s="7">
        <f>Table2[[#This Row],[UnitPrice]]*Table2[[#This Row],[Quantity]]*(1-Table2[[#This Row],[Discount]])</f>
        <v>1764.0899999999997</v>
      </c>
      <c r="K695" t="s">
        <v>40</v>
      </c>
      <c r="L695" t="s">
        <v>45</v>
      </c>
      <c r="M695">
        <v>0</v>
      </c>
      <c r="N695" t="s">
        <v>739</v>
      </c>
      <c r="O695" t="s">
        <v>2211</v>
      </c>
      <c r="P695" s="7">
        <v>30.58</v>
      </c>
      <c r="Q695" s="1">
        <v>45344</v>
      </c>
      <c r="R695">
        <f>WEEKNUM(Table2[[#This Row],[OrderDate]])</f>
        <v>8</v>
      </c>
      <c r="S695" s="1">
        <v>45354</v>
      </c>
      <c r="T695" t="s">
        <v>2921</v>
      </c>
    </row>
    <row r="696" spans="1:20" x14ac:dyDescent="0.35">
      <c r="A696" s="1">
        <v>45691</v>
      </c>
      <c r="B696" t="s">
        <v>2930</v>
      </c>
      <c r="C696" t="s">
        <v>24</v>
      </c>
      <c r="D696" s="9">
        <v>15</v>
      </c>
      <c r="E696" s="7">
        <v>342.04</v>
      </c>
      <c r="F696" t="s">
        <v>28</v>
      </c>
      <c r="G696" t="s">
        <v>31</v>
      </c>
      <c r="H696" s="12">
        <v>0.15</v>
      </c>
      <c r="I696" t="s">
        <v>36</v>
      </c>
      <c r="J696" s="7">
        <f>Table2[[#This Row],[UnitPrice]]*Table2[[#This Row],[Quantity]]*(1-Table2[[#This Row],[Discount]])</f>
        <v>4361.01</v>
      </c>
      <c r="K696" t="s">
        <v>39</v>
      </c>
      <c r="L696" t="s">
        <v>45</v>
      </c>
      <c r="M696">
        <v>0</v>
      </c>
      <c r="N696" t="s">
        <v>740</v>
      </c>
      <c r="O696" t="s">
        <v>2212</v>
      </c>
      <c r="P696" s="7">
        <v>44.91</v>
      </c>
      <c r="Q696" s="1">
        <v>45691</v>
      </c>
      <c r="R696">
        <f>WEEKNUM(Table2[[#This Row],[OrderDate]])</f>
        <v>6</v>
      </c>
      <c r="S696" s="1">
        <v>45696</v>
      </c>
      <c r="T696" t="s">
        <v>2917</v>
      </c>
    </row>
    <row r="697" spans="1:20" x14ac:dyDescent="0.35">
      <c r="A697" s="1">
        <v>45300</v>
      </c>
      <c r="B697" t="s">
        <v>2934</v>
      </c>
      <c r="C697" t="s">
        <v>25</v>
      </c>
      <c r="D697" s="9">
        <v>11</v>
      </c>
      <c r="E697" s="7">
        <v>404.88</v>
      </c>
      <c r="F697" t="s">
        <v>27</v>
      </c>
      <c r="G697" t="s">
        <v>30</v>
      </c>
      <c r="H697" s="12">
        <v>0.05</v>
      </c>
      <c r="I697" t="s">
        <v>33</v>
      </c>
      <c r="J697" s="7">
        <f>Table2[[#This Row],[UnitPrice]]*Table2[[#This Row],[Quantity]]*(1-Table2[[#This Row],[Discount]])</f>
        <v>4230.9960000000001</v>
      </c>
      <c r="K697" t="s">
        <v>39</v>
      </c>
      <c r="L697" t="s">
        <v>44</v>
      </c>
      <c r="M697">
        <v>0</v>
      </c>
      <c r="N697" t="s">
        <v>741</v>
      </c>
      <c r="O697" t="s">
        <v>2213</v>
      </c>
      <c r="P697" s="7">
        <v>18.920000000000002</v>
      </c>
      <c r="Q697" s="1">
        <v>45300</v>
      </c>
      <c r="R697">
        <f>WEEKNUM(Table2[[#This Row],[OrderDate]])</f>
        <v>2</v>
      </c>
      <c r="S697" s="1">
        <v>45307</v>
      </c>
      <c r="T697" t="s">
        <v>2920</v>
      </c>
    </row>
    <row r="698" spans="1:20" x14ac:dyDescent="0.35">
      <c r="A698" s="1">
        <v>45782</v>
      </c>
      <c r="B698" t="s">
        <v>2931</v>
      </c>
      <c r="C698" t="s">
        <v>21</v>
      </c>
      <c r="D698" s="9">
        <v>9</v>
      </c>
      <c r="E698" s="7">
        <v>292.45999999999998</v>
      </c>
      <c r="F698" t="s">
        <v>27</v>
      </c>
      <c r="G698" t="s">
        <v>30</v>
      </c>
      <c r="H698" s="12">
        <v>0.05</v>
      </c>
      <c r="I698" t="s">
        <v>35</v>
      </c>
      <c r="J698" s="7">
        <f>Table2[[#This Row],[UnitPrice]]*Table2[[#This Row],[Quantity]]*(1-Table2[[#This Row],[Discount]])</f>
        <v>2500.5329999999999</v>
      </c>
      <c r="K698" t="s">
        <v>40</v>
      </c>
      <c r="L698" t="s">
        <v>2937</v>
      </c>
      <c r="M698">
        <v>0</v>
      </c>
      <c r="N698" t="s">
        <v>742</v>
      </c>
      <c r="O698" t="s">
        <v>2214</v>
      </c>
      <c r="P698" s="7">
        <v>34.26</v>
      </c>
      <c r="Q698" s="1">
        <v>45782</v>
      </c>
      <c r="R698">
        <f>WEEKNUM(Table2[[#This Row],[OrderDate]])</f>
        <v>19</v>
      </c>
      <c r="S698" s="1">
        <v>45791</v>
      </c>
      <c r="T698" t="s">
        <v>2919</v>
      </c>
    </row>
    <row r="699" spans="1:20" x14ac:dyDescent="0.35">
      <c r="A699" s="1">
        <v>45033</v>
      </c>
      <c r="B699" t="s">
        <v>2934</v>
      </c>
      <c r="C699" t="s">
        <v>21</v>
      </c>
      <c r="D699" s="9">
        <v>5</v>
      </c>
      <c r="E699" s="7">
        <v>547.53</v>
      </c>
      <c r="F699" t="s">
        <v>27</v>
      </c>
      <c r="G699" t="s">
        <v>31</v>
      </c>
      <c r="H699" s="12">
        <v>0.1</v>
      </c>
      <c r="I699" t="s">
        <v>32</v>
      </c>
      <c r="J699" s="7">
        <f>Table2[[#This Row],[UnitPrice]]*Table2[[#This Row],[Quantity]]*(1-Table2[[#This Row],[Discount]])</f>
        <v>2463.8849999999998</v>
      </c>
      <c r="K699" t="s">
        <v>41</v>
      </c>
      <c r="L699" t="s">
        <v>2937</v>
      </c>
      <c r="M699">
        <v>0</v>
      </c>
      <c r="N699" t="s">
        <v>743</v>
      </c>
      <c r="O699" t="s">
        <v>2215</v>
      </c>
      <c r="P699" s="7">
        <v>24.68</v>
      </c>
      <c r="Q699" s="1">
        <v>45033</v>
      </c>
      <c r="R699">
        <f>WEEKNUM(Table2[[#This Row],[OrderDate]])</f>
        <v>16</v>
      </c>
      <c r="S699" s="1">
        <v>45037</v>
      </c>
      <c r="T699" t="s">
        <v>2920</v>
      </c>
    </row>
    <row r="700" spans="1:20" x14ac:dyDescent="0.35">
      <c r="A700" s="1">
        <v>45459</v>
      </c>
      <c r="B700" t="s">
        <v>2932</v>
      </c>
      <c r="C700" t="s">
        <v>21</v>
      </c>
      <c r="D700" s="9">
        <v>12</v>
      </c>
      <c r="E700" s="7">
        <v>348.88</v>
      </c>
      <c r="F700" t="s">
        <v>28</v>
      </c>
      <c r="G700" t="s">
        <v>30</v>
      </c>
      <c r="H700" s="12">
        <v>0</v>
      </c>
      <c r="I700" t="s">
        <v>33</v>
      </c>
      <c r="J700" s="7">
        <f>Table2[[#This Row],[UnitPrice]]*Table2[[#This Row],[Quantity]]*(1-Table2[[#This Row],[Discount]])</f>
        <v>4186.5599999999995</v>
      </c>
      <c r="K700" t="s">
        <v>40</v>
      </c>
      <c r="L700" t="s">
        <v>44</v>
      </c>
      <c r="M700">
        <v>0</v>
      </c>
      <c r="N700" t="s">
        <v>744</v>
      </c>
      <c r="O700" t="s">
        <v>2216</v>
      </c>
      <c r="P700" s="7">
        <v>31.28</v>
      </c>
      <c r="Q700" s="1">
        <v>45459</v>
      </c>
      <c r="R700">
        <f>WEEKNUM(Table2[[#This Row],[OrderDate]])</f>
        <v>25</v>
      </c>
      <c r="S700" s="1">
        <v>45464</v>
      </c>
      <c r="T700" t="s">
        <v>2918</v>
      </c>
    </row>
    <row r="701" spans="1:20" x14ac:dyDescent="0.35">
      <c r="A701" s="1">
        <v>45597</v>
      </c>
      <c r="B701" t="s">
        <v>2932</v>
      </c>
      <c r="C701" t="s">
        <v>20</v>
      </c>
      <c r="D701" s="9">
        <v>15</v>
      </c>
      <c r="E701" s="7">
        <v>486.03</v>
      </c>
      <c r="F701" t="s">
        <v>28</v>
      </c>
      <c r="G701" t="s">
        <v>30</v>
      </c>
      <c r="H701" s="12">
        <v>0</v>
      </c>
      <c r="I701" t="s">
        <v>33</v>
      </c>
      <c r="J701" s="7">
        <f>Table2[[#This Row],[UnitPrice]]*Table2[[#This Row],[Quantity]]*(1-Table2[[#This Row],[Discount]])</f>
        <v>7290.45</v>
      </c>
      <c r="K701" t="s">
        <v>41</v>
      </c>
      <c r="L701" t="s">
        <v>45</v>
      </c>
      <c r="M701">
        <v>0</v>
      </c>
      <c r="N701" t="s">
        <v>745</v>
      </c>
      <c r="O701" t="s">
        <v>2217</v>
      </c>
      <c r="P701" s="7">
        <v>14.9</v>
      </c>
      <c r="Q701" s="1">
        <v>45597</v>
      </c>
      <c r="R701">
        <f>WEEKNUM(Table2[[#This Row],[OrderDate]])</f>
        <v>44</v>
      </c>
      <c r="S701" s="1">
        <v>45600</v>
      </c>
      <c r="T701" t="s">
        <v>2918</v>
      </c>
    </row>
    <row r="702" spans="1:20" x14ac:dyDescent="0.35">
      <c r="A702" s="1">
        <v>45695</v>
      </c>
      <c r="B702" t="s">
        <v>2930</v>
      </c>
      <c r="C702" t="s">
        <v>24</v>
      </c>
      <c r="D702" s="9">
        <v>14</v>
      </c>
      <c r="E702" s="7">
        <v>159.09</v>
      </c>
      <c r="F702" t="s">
        <v>28</v>
      </c>
      <c r="G702" t="s">
        <v>31</v>
      </c>
      <c r="H702" s="12">
        <v>0.15</v>
      </c>
      <c r="I702" t="s">
        <v>37</v>
      </c>
      <c r="J702" s="7">
        <f>Table2[[#This Row],[UnitPrice]]*Table2[[#This Row],[Quantity]]*(1-Table2[[#This Row],[Discount]])</f>
        <v>1893.171</v>
      </c>
      <c r="K702" t="s">
        <v>41</v>
      </c>
      <c r="L702" t="s">
        <v>43</v>
      </c>
      <c r="M702">
        <v>0</v>
      </c>
      <c r="N702" t="s">
        <v>746</v>
      </c>
      <c r="O702" t="s">
        <v>2218</v>
      </c>
      <c r="P702" s="7">
        <v>27.05</v>
      </c>
      <c r="Q702" s="1">
        <v>45695</v>
      </c>
      <c r="R702">
        <f>WEEKNUM(Table2[[#This Row],[OrderDate]])</f>
        <v>6</v>
      </c>
      <c r="S702" s="1">
        <v>45698</v>
      </c>
      <c r="T702" t="s">
        <v>2917</v>
      </c>
    </row>
    <row r="703" spans="1:20" x14ac:dyDescent="0.35">
      <c r="A703" s="1">
        <v>45620</v>
      </c>
      <c r="B703" t="s">
        <v>2932</v>
      </c>
      <c r="C703" t="s">
        <v>23</v>
      </c>
      <c r="D703" s="9">
        <v>12</v>
      </c>
      <c r="E703" s="7">
        <v>173.79</v>
      </c>
      <c r="F703" t="s">
        <v>29</v>
      </c>
      <c r="G703" t="s">
        <v>31</v>
      </c>
      <c r="H703" s="12">
        <v>0.15</v>
      </c>
      <c r="I703" t="s">
        <v>32</v>
      </c>
      <c r="J703" s="7">
        <f>Table2[[#This Row],[UnitPrice]]*Table2[[#This Row],[Quantity]]*(1-Table2[[#This Row],[Discount]])</f>
        <v>1772.6579999999999</v>
      </c>
      <c r="K703" t="s">
        <v>40</v>
      </c>
      <c r="L703" t="s">
        <v>2937</v>
      </c>
      <c r="M703">
        <v>0</v>
      </c>
      <c r="N703" t="s">
        <v>747</v>
      </c>
      <c r="O703" t="s">
        <v>2219</v>
      </c>
      <c r="P703" s="7">
        <v>21.23</v>
      </c>
      <c r="Q703" s="1">
        <v>45620</v>
      </c>
      <c r="R703">
        <f>WEEKNUM(Table2[[#This Row],[OrderDate]])</f>
        <v>48</v>
      </c>
      <c r="S703" s="1">
        <v>45630</v>
      </c>
      <c r="T703" t="s">
        <v>2918</v>
      </c>
    </row>
    <row r="704" spans="1:20" x14ac:dyDescent="0.35">
      <c r="A704" s="1">
        <v>45405</v>
      </c>
      <c r="B704" t="s">
        <v>2934</v>
      </c>
      <c r="C704" t="s">
        <v>23</v>
      </c>
      <c r="D704" s="9">
        <v>13</v>
      </c>
      <c r="E704" s="7">
        <v>439.75</v>
      </c>
      <c r="F704" t="s">
        <v>27</v>
      </c>
      <c r="G704" t="s">
        <v>30</v>
      </c>
      <c r="H704" s="12">
        <v>0</v>
      </c>
      <c r="I704" t="s">
        <v>34</v>
      </c>
      <c r="J704" s="7">
        <f>Table2[[#This Row],[UnitPrice]]*Table2[[#This Row],[Quantity]]*(1-Table2[[#This Row],[Discount]])</f>
        <v>5716.75</v>
      </c>
      <c r="K704" t="s">
        <v>38</v>
      </c>
      <c r="L704" t="s">
        <v>2937</v>
      </c>
      <c r="M704">
        <v>1</v>
      </c>
      <c r="N704" t="s">
        <v>748</v>
      </c>
      <c r="O704" t="s">
        <v>1843</v>
      </c>
      <c r="P704" s="7">
        <v>12.23</v>
      </c>
      <c r="Q704" s="1">
        <v>45405</v>
      </c>
      <c r="R704">
        <f>WEEKNUM(Table2[[#This Row],[OrderDate]])</f>
        <v>17</v>
      </c>
      <c r="S704" s="1">
        <v>45414</v>
      </c>
      <c r="T704" t="s">
        <v>2920</v>
      </c>
    </row>
    <row r="705" spans="1:20" x14ac:dyDescent="0.35">
      <c r="A705" s="1">
        <v>45467</v>
      </c>
      <c r="B705" t="s">
        <v>2930</v>
      </c>
      <c r="C705" t="s">
        <v>19</v>
      </c>
      <c r="D705" s="9">
        <v>9</v>
      </c>
      <c r="E705" s="7">
        <v>265.43</v>
      </c>
      <c r="F705" t="s">
        <v>29</v>
      </c>
      <c r="G705" t="s">
        <v>30</v>
      </c>
      <c r="H705" s="12">
        <v>0.05</v>
      </c>
      <c r="I705" t="s">
        <v>32</v>
      </c>
      <c r="J705" s="7">
        <f>Table2[[#This Row],[UnitPrice]]*Table2[[#This Row],[Quantity]]*(1-Table2[[#This Row],[Discount]])</f>
        <v>2269.4264999999996</v>
      </c>
      <c r="K705" t="s">
        <v>40</v>
      </c>
      <c r="L705" t="s">
        <v>43</v>
      </c>
      <c r="M705">
        <v>0</v>
      </c>
      <c r="N705" t="s">
        <v>749</v>
      </c>
      <c r="O705" t="s">
        <v>2220</v>
      </c>
      <c r="P705" s="7">
        <v>40.18</v>
      </c>
      <c r="Q705" s="1">
        <v>45467</v>
      </c>
      <c r="R705">
        <f>WEEKNUM(Table2[[#This Row],[OrderDate]])</f>
        <v>26</v>
      </c>
      <c r="S705" s="1">
        <v>45470</v>
      </c>
      <c r="T705" t="s">
        <v>2917</v>
      </c>
    </row>
    <row r="706" spans="1:20" x14ac:dyDescent="0.35">
      <c r="A706" s="1">
        <v>45809</v>
      </c>
      <c r="B706" t="s">
        <v>2933</v>
      </c>
      <c r="C706" t="s">
        <v>23</v>
      </c>
      <c r="D706" s="9">
        <v>12</v>
      </c>
      <c r="E706" s="7">
        <v>290.27999999999997</v>
      </c>
      <c r="F706" t="s">
        <v>26</v>
      </c>
      <c r="G706" t="s">
        <v>31</v>
      </c>
      <c r="H706" s="12">
        <v>0.1</v>
      </c>
      <c r="I706" t="s">
        <v>35</v>
      </c>
      <c r="J706" s="7">
        <f>Table2[[#This Row],[UnitPrice]]*Table2[[#This Row],[Quantity]]*(1-Table2[[#This Row],[Discount]])</f>
        <v>3135.0239999999999</v>
      </c>
      <c r="K706" t="s">
        <v>42</v>
      </c>
      <c r="L706" t="s">
        <v>43</v>
      </c>
      <c r="M706">
        <v>1</v>
      </c>
      <c r="N706" t="s">
        <v>750</v>
      </c>
      <c r="O706" t="s">
        <v>2221</v>
      </c>
      <c r="P706" s="7">
        <v>5.55</v>
      </c>
      <c r="Q706" s="1">
        <v>45809</v>
      </c>
      <c r="R706">
        <f>WEEKNUM(Table2[[#This Row],[OrderDate]])</f>
        <v>23</v>
      </c>
      <c r="S706" s="1">
        <v>45815</v>
      </c>
      <c r="T706" t="s">
        <v>2921</v>
      </c>
    </row>
    <row r="707" spans="1:20" x14ac:dyDescent="0.35">
      <c r="A707" s="1">
        <v>44997</v>
      </c>
      <c r="B707" t="s">
        <v>2933</v>
      </c>
      <c r="C707" t="s">
        <v>24</v>
      </c>
      <c r="D707" s="9">
        <v>6</v>
      </c>
      <c r="E707" s="7">
        <v>88.7</v>
      </c>
      <c r="F707" t="s">
        <v>26</v>
      </c>
      <c r="G707" t="s">
        <v>30</v>
      </c>
      <c r="H707" s="12">
        <v>0</v>
      </c>
      <c r="I707" t="s">
        <v>35</v>
      </c>
      <c r="J707" s="7">
        <f>Table2[[#This Row],[UnitPrice]]*Table2[[#This Row],[Quantity]]*(1-Table2[[#This Row],[Discount]])</f>
        <v>532.20000000000005</v>
      </c>
      <c r="K707" t="s">
        <v>39</v>
      </c>
      <c r="L707" t="s">
        <v>2937</v>
      </c>
      <c r="M707">
        <v>0</v>
      </c>
      <c r="N707" t="s">
        <v>751</v>
      </c>
      <c r="O707" t="s">
        <v>2222</v>
      </c>
      <c r="P707" s="7">
        <v>16.98</v>
      </c>
      <c r="Q707" s="1">
        <v>44997</v>
      </c>
      <c r="R707">
        <f>WEEKNUM(Table2[[#This Row],[OrderDate]])</f>
        <v>11</v>
      </c>
      <c r="S707" s="1">
        <v>44999</v>
      </c>
      <c r="T707" t="s">
        <v>2921</v>
      </c>
    </row>
    <row r="708" spans="1:20" x14ac:dyDescent="0.35">
      <c r="A708" s="1">
        <v>45607</v>
      </c>
      <c r="B708" t="s">
        <v>2934</v>
      </c>
      <c r="C708" t="s">
        <v>21</v>
      </c>
      <c r="D708" s="9">
        <v>2</v>
      </c>
      <c r="E708" s="7">
        <v>239.69</v>
      </c>
      <c r="F708" t="s">
        <v>28</v>
      </c>
      <c r="G708" t="s">
        <v>31</v>
      </c>
      <c r="H708" s="12">
        <v>0</v>
      </c>
      <c r="I708" t="s">
        <v>36</v>
      </c>
      <c r="J708" s="7">
        <f>Table2[[#This Row],[UnitPrice]]*Table2[[#This Row],[Quantity]]*(1-Table2[[#This Row],[Discount]])</f>
        <v>479.38</v>
      </c>
      <c r="K708" t="s">
        <v>40</v>
      </c>
      <c r="L708" t="s">
        <v>45</v>
      </c>
      <c r="M708">
        <v>0</v>
      </c>
      <c r="N708" t="s">
        <v>752</v>
      </c>
      <c r="O708" t="s">
        <v>2223</v>
      </c>
      <c r="P708" s="7">
        <v>28.96</v>
      </c>
      <c r="Q708" s="1">
        <v>45607</v>
      </c>
      <c r="R708">
        <f>WEEKNUM(Table2[[#This Row],[OrderDate]])</f>
        <v>46</v>
      </c>
      <c r="S708" s="1">
        <v>45615</v>
      </c>
      <c r="T708" t="s">
        <v>2920</v>
      </c>
    </row>
    <row r="709" spans="1:20" x14ac:dyDescent="0.35">
      <c r="A709" s="1">
        <v>45582</v>
      </c>
      <c r="B709" t="s">
        <v>2934</v>
      </c>
      <c r="C709" t="s">
        <v>24</v>
      </c>
      <c r="D709" s="9">
        <v>8</v>
      </c>
      <c r="E709" s="7">
        <v>39.79</v>
      </c>
      <c r="F709" t="s">
        <v>28</v>
      </c>
      <c r="G709" t="s">
        <v>31</v>
      </c>
      <c r="H709" s="12">
        <v>0.1</v>
      </c>
      <c r="I709" t="s">
        <v>37</v>
      </c>
      <c r="J709" s="7">
        <f>Table2[[#This Row],[UnitPrice]]*Table2[[#This Row],[Quantity]]*(1-Table2[[#This Row],[Discount]])</f>
        <v>286.488</v>
      </c>
      <c r="K709" t="s">
        <v>40</v>
      </c>
      <c r="L709" t="s">
        <v>44</v>
      </c>
      <c r="M709">
        <v>0</v>
      </c>
      <c r="N709" t="s">
        <v>753</v>
      </c>
      <c r="O709" t="s">
        <v>2224</v>
      </c>
      <c r="P709" s="7">
        <v>46.16</v>
      </c>
      <c r="Q709" s="1">
        <v>45582</v>
      </c>
      <c r="R709">
        <f>WEEKNUM(Table2[[#This Row],[OrderDate]])</f>
        <v>42</v>
      </c>
      <c r="S709" s="1">
        <v>45591</v>
      </c>
      <c r="T709" t="s">
        <v>2920</v>
      </c>
    </row>
    <row r="710" spans="1:20" x14ac:dyDescent="0.35">
      <c r="A710" s="1">
        <v>45056</v>
      </c>
      <c r="B710" t="s">
        <v>2930</v>
      </c>
      <c r="C710" t="s">
        <v>25</v>
      </c>
      <c r="D710" s="9">
        <v>18</v>
      </c>
      <c r="E710" s="7">
        <v>206.8</v>
      </c>
      <c r="F710" t="s">
        <v>27</v>
      </c>
      <c r="G710" t="s">
        <v>31</v>
      </c>
      <c r="H710" s="12">
        <v>0.05</v>
      </c>
      <c r="I710" t="s">
        <v>34</v>
      </c>
      <c r="J710" s="7">
        <f>Table2[[#This Row],[UnitPrice]]*Table2[[#This Row],[Quantity]]*(1-Table2[[#This Row],[Discount]])</f>
        <v>3536.2799999999997</v>
      </c>
      <c r="K710" t="s">
        <v>41</v>
      </c>
      <c r="L710" t="s">
        <v>43</v>
      </c>
      <c r="M710">
        <v>1</v>
      </c>
      <c r="N710" t="s">
        <v>754</v>
      </c>
      <c r="O710" t="s">
        <v>2225</v>
      </c>
      <c r="P710" s="7">
        <v>39.25</v>
      </c>
      <c r="Q710" s="1">
        <v>45056</v>
      </c>
      <c r="R710">
        <f>WEEKNUM(Table2[[#This Row],[OrderDate]])</f>
        <v>19</v>
      </c>
      <c r="S710" s="1">
        <v>45059</v>
      </c>
      <c r="T710" t="s">
        <v>2917</v>
      </c>
    </row>
    <row r="711" spans="1:20" x14ac:dyDescent="0.35">
      <c r="A711" s="1">
        <v>45136</v>
      </c>
      <c r="B711" t="s">
        <v>2930</v>
      </c>
      <c r="C711" t="s">
        <v>19</v>
      </c>
      <c r="D711" s="9">
        <v>18</v>
      </c>
      <c r="E711" s="7">
        <v>175.81</v>
      </c>
      <c r="F711" t="s">
        <v>28</v>
      </c>
      <c r="G711" t="s">
        <v>31</v>
      </c>
      <c r="H711" s="12">
        <v>0</v>
      </c>
      <c r="I711" t="s">
        <v>32</v>
      </c>
      <c r="J711" s="7">
        <f>Table2[[#This Row],[UnitPrice]]*Table2[[#This Row],[Quantity]]*(1-Table2[[#This Row],[Discount]])</f>
        <v>3164.58</v>
      </c>
      <c r="K711" t="s">
        <v>39</v>
      </c>
      <c r="L711" t="s">
        <v>45</v>
      </c>
      <c r="M711">
        <v>1</v>
      </c>
      <c r="N711" t="s">
        <v>755</v>
      </c>
      <c r="O711" t="s">
        <v>2226</v>
      </c>
      <c r="P711" s="7">
        <v>26.97</v>
      </c>
      <c r="Q711" s="1">
        <v>45136</v>
      </c>
      <c r="R711">
        <f>WEEKNUM(Table2[[#This Row],[OrderDate]])</f>
        <v>30</v>
      </c>
      <c r="S711" s="1">
        <v>45145</v>
      </c>
      <c r="T711" t="s">
        <v>2917</v>
      </c>
    </row>
    <row r="712" spans="1:20" x14ac:dyDescent="0.35">
      <c r="A712" s="1">
        <v>45164</v>
      </c>
      <c r="B712" t="s">
        <v>2934</v>
      </c>
      <c r="C712" t="s">
        <v>20</v>
      </c>
      <c r="D712" s="9">
        <v>14</v>
      </c>
      <c r="E712" s="7">
        <v>547.36</v>
      </c>
      <c r="F712" t="s">
        <v>28</v>
      </c>
      <c r="G712" t="s">
        <v>31</v>
      </c>
      <c r="H712" s="12">
        <v>0.15</v>
      </c>
      <c r="I712" t="s">
        <v>36</v>
      </c>
      <c r="J712" s="7">
        <f>Table2[[#This Row],[UnitPrice]]*Table2[[#This Row],[Quantity]]*(1-Table2[[#This Row],[Discount]])</f>
        <v>6513.5839999999998</v>
      </c>
      <c r="K712" t="s">
        <v>38</v>
      </c>
      <c r="L712" t="s">
        <v>43</v>
      </c>
      <c r="M712">
        <v>0</v>
      </c>
      <c r="N712" t="s">
        <v>756</v>
      </c>
      <c r="O712" t="s">
        <v>2227</v>
      </c>
      <c r="P712" s="7">
        <v>25.24</v>
      </c>
      <c r="Q712" s="1">
        <v>45164</v>
      </c>
      <c r="R712">
        <f>WEEKNUM(Table2[[#This Row],[OrderDate]])</f>
        <v>34</v>
      </c>
      <c r="S712" s="1">
        <v>45167</v>
      </c>
      <c r="T712" t="s">
        <v>2920</v>
      </c>
    </row>
    <row r="713" spans="1:20" x14ac:dyDescent="0.35">
      <c r="A713" s="1">
        <v>45288</v>
      </c>
      <c r="B713" t="s">
        <v>2930</v>
      </c>
      <c r="C713" t="s">
        <v>19</v>
      </c>
      <c r="D713" s="9">
        <v>19</v>
      </c>
      <c r="E713" s="7">
        <v>374.8</v>
      </c>
      <c r="F713" t="s">
        <v>27</v>
      </c>
      <c r="G713" t="s">
        <v>31</v>
      </c>
      <c r="H713" s="12">
        <v>0.05</v>
      </c>
      <c r="I713" t="s">
        <v>35</v>
      </c>
      <c r="J713" s="7">
        <f>Table2[[#This Row],[UnitPrice]]*Table2[[#This Row],[Quantity]]*(1-Table2[[#This Row],[Discount]])</f>
        <v>6765.1399999999994</v>
      </c>
      <c r="K713" t="s">
        <v>38</v>
      </c>
      <c r="L713" t="s">
        <v>45</v>
      </c>
      <c r="M713">
        <v>0</v>
      </c>
      <c r="N713" t="s">
        <v>757</v>
      </c>
      <c r="O713" t="s">
        <v>2228</v>
      </c>
      <c r="P713" s="7">
        <v>41.67</v>
      </c>
      <c r="Q713" s="1">
        <v>45288</v>
      </c>
      <c r="R713">
        <f>WEEKNUM(Table2[[#This Row],[OrderDate]])</f>
        <v>52</v>
      </c>
      <c r="S713" s="1">
        <v>45294</v>
      </c>
      <c r="T713" t="s">
        <v>2917</v>
      </c>
    </row>
    <row r="714" spans="1:20" x14ac:dyDescent="0.35">
      <c r="A714" s="1">
        <v>45726</v>
      </c>
      <c r="B714" t="s">
        <v>2931</v>
      </c>
      <c r="C714" t="s">
        <v>24</v>
      </c>
      <c r="D714" s="9">
        <v>9</v>
      </c>
      <c r="E714" s="7">
        <v>507.74</v>
      </c>
      <c r="F714" t="s">
        <v>29</v>
      </c>
      <c r="G714" t="s">
        <v>31</v>
      </c>
      <c r="H714" s="12">
        <v>0.15</v>
      </c>
      <c r="I714" t="s">
        <v>37</v>
      </c>
      <c r="J714" s="7">
        <f>Table2[[#This Row],[UnitPrice]]*Table2[[#This Row],[Quantity]]*(1-Table2[[#This Row],[Discount]])</f>
        <v>3884.2109999999998</v>
      </c>
      <c r="K714" t="s">
        <v>42</v>
      </c>
      <c r="L714" t="s">
        <v>43</v>
      </c>
      <c r="M714">
        <v>1</v>
      </c>
      <c r="N714" t="s">
        <v>758</v>
      </c>
      <c r="O714" t="s">
        <v>2229</v>
      </c>
      <c r="P714" s="7">
        <v>22.08</v>
      </c>
      <c r="Q714" s="1">
        <v>45726</v>
      </c>
      <c r="R714">
        <f>WEEKNUM(Table2[[#This Row],[OrderDate]])</f>
        <v>11</v>
      </c>
      <c r="S714" s="1">
        <v>45733</v>
      </c>
      <c r="T714" t="s">
        <v>2919</v>
      </c>
    </row>
    <row r="715" spans="1:20" x14ac:dyDescent="0.35">
      <c r="A715" s="1">
        <v>45178</v>
      </c>
      <c r="B715" t="s">
        <v>2934</v>
      </c>
      <c r="C715" t="s">
        <v>21</v>
      </c>
      <c r="D715" s="9">
        <v>1</v>
      </c>
      <c r="E715" s="7">
        <v>223.56</v>
      </c>
      <c r="F715" t="s">
        <v>26</v>
      </c>
      <c r="G715" t="s">
        <v>30</v>
      </c>
      <c r="H715" s="12">
        <v>0.15</v>
      </c>
      <c r="I715" t="s">
        <v>37</v>
      </c>
      <c r="J715" s="7">
        <f>Table2[[#This Row],[UnitPrice]]*Table2[[#This Row],[Quantity]]*(1-Table2[[#This Row],[Discount]])</f>
        <v>190.02600000000001</v>
      </c>
      <c r="K715" t="s">
        <v>40</v>
      </c>
      <c r="L715" t="s">
        <v>45</v>
      </c>
      <c r="M715">
        <v>0</v>
      </c>
      <c r="N715" t="s">
        <v>759</v>
      </c>
      <c r="O715" t="s">
        <v>2230</v>
      </c>
      <c r="P715" s="7">
        <v>37.840000000000003</v>
      </c>
      <c r="Q715" s="1">
        <v>45178</v>
      </c>
      <c r="R715">
        <f>WEEKNUM(Table2[[#This Row],[OrderDate]])</f>
        <v>36</v>
      </c>
      <c r="S715" s="1">
        <v>45183</v>
      </c>
      <c r="T715" t="s">
        <v>2920</v>
      </c>
    </row>
    <row r="716" spans="1:20" x14ac:dyDescent="0.35">
      <c r="A716" s="1">
        <v>45074</v>
      </c>
      <c r="B716" t="s">
        <v>2931</v>
      </c>
      <c r="C716" t="s">
        <v>24</v>
      </c>
      <c r="D716" s="9">
        <v>2</v>
      </c>
      <c r="E716" s="7">
        <v>294.27</v>
      </c>
      <c r="F716" t="s">
        <v>28</v>
      </c>
      <c r="G716" t="s">
        <v>31</v>
      </c>
      <c r="H716" s="12">
        <v>0.1</v>
      </c>
      <c r="I716" t="s">
        <v>36</v>
      </c>
      <c r="J716" s="7">
        <f>Table2[[#This Row],[UnitPrice]]*Table2[[#This Row],[Quantity]]*(1-Table2[[#This Row],[Discount]])</f>
        <v>529.68600000000004</v>
      </c>
      <c r="K716" t="s">
        <v>39</v>
      </c>
      <c r="L716" t="s">
        <v>2937</v>
      </c>
      <c r="M716">
        <v>0</v>
      </c>
      <c r="N716" t="s">
        <v>760</v>
      </c>
      <c r="O716" t="s">
        <v>2231</v>
      </c>
      <c r="P716" s="7">
        <v>9.0500000000000007</v>
      </c>
      <c r="Q716" s="1">
        <v>45074</v>
      </c>
      <c r="R716">
        <f>WEEKNUM(Table2[[#This Row],[OrderDate]])</f>
        <v>22</v>
      </c>
      <c r="S716" s="1">
        <v>45078</v>
      </c>
      <c r="T716" t="s">
        <v>2919</v>
      </c>
    </row>
    <row r="717" spans="1:20" x14ac:dyDescent="0.35">
      <c r="A717" s="1">
        <v>45798</v>
      </c>
      <c r="B717" t="s">
        <v>2933</v>
      </c>
      <c r="C717" t="s">
        <v>23</v>
      </c>
      <c r="D717" s="9">
        <v>1</v>
      </c>
      <c r="E717" s="7">
        <v>319.49</v>
      </c>
      <c r="F717" t="s">
        <v>28</v>
      </c>
      <c r="G717" t="s">
        <v>30</v>
      </c>
      <c r="H717" s="12">
        <v>0.15</v>
      </c>
      <c r="I717" t="s">
        <v>36</v>
      </c>
      <c r="J717" s="7">
        <f>Table2[[#This Row],[UnitPrice]]*Table2[[#This Row],[Quantity]]*(1-Table2[[#This Row],[Discount]])</f>
        <v>271.56650000000002</v>
      </c>
      <c r="K717" t="s">
        <v>38</v>
      </c>
      <c r="L717" t="s">
        <v>43</v>
      </c>
      <c r="M717">
        <v>1</v>
      </c>
      <c r="N717" t="s">
        <v>761</v>
      </c>
      <c r="O717" t="s">
        <v>2232</v>
      </c>
      <c r="P717" s="7">
        <v>18.100000000000001</v>
      </c>
      <c r="Q717" s="1">
        <v>45798</v>
      </c>
      <c r="R717">
        <f>WEEKNUM(Table2[[#This Row],[OrderDate]])</f>
        <v>21</v>
      </c>
      <c r="S717" s="1">
        <v>45808</v>
      </c>
      <c r="T717" t="s">
        <v>2921</v>
      </c>
    </row>
    <row r="718" spans="1:20" x14ac:dyDescent="0.35">
      <c r="A718" s="1">
        <v>45199</v>
      </c>
      <c r="B718" t="s">
        <v>2930</v>
      </c>
      <c r="C718" t="s">
        <v>19</v>
      </c>
      <c r="D718" s="9">
        <v>14</v>
      </c>
      <c r="E718" s="7">
        <v>243.96</v>
      </c>
      <c r="F718" t="s">
        <v>29</v>
      </c>
      <c r="G718" t="s">
        <v>30</v>
      </c>
      <c r="H718" s="12">
        <v>0.05</v>
      </c>
      <c r="I718" t="s">
        <v>36</v>
      </c>
      <c r="J718" s="7">
        <f>Table2[[#This Row],[UnitPrice]]*Table2[[#This Row],[Quantity]]*(1-Table2[[#This Row],[Discount]])</f>
        <v>3244.6680000000001</v>
      </c>
      <c r="K718" t="s">
        <v>38</v>
      </c>
      <c r="L718" t="s">
        <v>2937</v>
      </c>
      <c r="M718">
        <v>1</v>
      </c>
      <c r="N718" t="s">
        <v>762</v>
      </c>
      <c r="O718" t="s">
        <v>2233</v>
      </c>
      <c r="P718" s="7">
        <v>13.24</v>
      </c>
      <c r="Q718" s="1">
        <v>45199</v>
      </c>
      <c r="R718">
        <f>WEEKNUM(Table2[[#This Row],[OrderDate]])</f>
        <v>39</v>
      </c>
      <c r="S718" s="1">
        <v>45203</v>
      </c>
      <c r="T718" t="s">
        <v>2917</v>
      </c>
    </row>
    <row r="719" spans="1:20" x14ac:dyDescent="0.35">
      <c r="A719" s="1">
        <v>45573</v>
      </c>
      <c r="B719" t="s">
        <v>2932</v>
      </c>
      <c r="C719" t="s">
        <v>19</v>
      </c>
      <c r="D719" s="9">
        <v>6</v>
      </c>
      <c r="E719" s="7">
        <v>48.48</v>
      </c>
      <c r="F719" t="s">
        <v>29</v>
      </c>
      <c r="G719" t="s">
        <v>31</v>
      </c>
      <c r="H719" s="12">
        <v>0.1</v>
      </c>
      <c r="I719" t="s">
        <v>36</v>
      </c>
      <c r="J719" s="7">
        <f>Table2[[#This Row],[UnitPrice]]*Table2[[#This Row],[Quantity]]*(1-Table2[[#This Row],[Discount]])</f>
        <v>261.79200000000003</v>
      </c>
      <c r="K719" t="s">
        <v>38</v>
      </c>
      <c r="L719" t="s">
        <v>2937</v>
      </c>
      <c r="M719">
        <v>0</v>
      </c>
      <c r="N719" t="s">
        <v>763</v>
      </c>
      <c r="O719" t="s">
        <v>2234</v>
      </c>
      <c r="P719" s="7">
        <v>6.11</v>
      </c>
      <c r="Q719" s="1">
        <v>45573</v>
      </c>
      <c r="R719">
        <f>WEEKNUM(Table2[[#This Row],[OrderDate]])</f>
        <v>41</v>
      </c>
      <c r="S719" s="1">
        <v>45578</v>
      </c>
      <c r="T719" t="s">
        <v>2918</v>
      </c>
    </row>
    <row r="720" spans="1:20" x14ac:dyDescent="0.35">
      <c r="A720" s="1">
        <v>45030</v>
      </c>
      <c r="B720" t="s">
        <v>2930</v>
      </c>
      <c r="C720" t="s">
        <v>19</v>
      </c>
      <c r="D720" s="9">
        <v>20</v>
      </c>
      <c r="E720" s="7">
        <v>87.47</v>
      </c>
      <c r="F720" t="s">
        <v>26</v>
      </c>
      <c r="G720" t="s">
        <v>31</v>
      </c>
      <c r="H720" s="12">
        <v>0</v>
      </c>
      <c r="I720" t="s">
        <v>35</v>
      </c>
      <c r="J720" s="7">
        <f>Table2[[#This Row],[UnitPrice]]*Table2[[#This Row],[Quantity]]*(1-Table2[[#This Row],[Discount]])</f>
        <v>1749.4</v>
      </c>
      <c r="K720" t="s">
        <v>38</v>
      </c>
      <c r="L720" t="s">
        <v>45</v>
      </c>
      <c r="M720">
        <v>0</v>
      </c>
      <c r="N720" t="s">
        <v>764</v>
      </c>
      <c r="O720" t="s">
        <v>2235</v>
      </c>
      <c r="P720" s="7">
        <v>48.48</v>
      </c>
      <c r="Q720" s="1">
        <v>45030</v>
      </c>
      <c r="R720">
        <f>WEEKNUM(Table2[[#This Row],[OrderDate]])</f>
        <v>15</v>
      </c>
      <c r="S720" s="1">
        <v>45039</v>
      </c>
      <c r="T720" t="s">
        <v>2917</v>
      </c>
    </row>
    <row r="721" spans="1:20" x14ac:dyDescent="0.35">
      <c r="A721" s="1">
        <v>44990</v>
      </c>
      <c r="B721" t="s">
        <v>2932</v>
      </c>
      <c r="C721" t="s">
        <v>23</v>
      </c>
      <c r="D721" s="9">
        <v>17</v>
      </c>
      <c r="E721" s="7">
        <v>465.6</v>
      </c>
      <c r="F721" t="s">
        <v>28</v>
      </c>
      <c r="G721" t="s">
        <v>31</v>
      </c>
      <c r="H721" s="12">
        <v>0.1</v>
      </c>
      <c r="I721" t="s">
        <v>37</v>
      </c>
      <c r="J721" s="7">
        <f>Table2[[#This Row],[UnitPrice]]*Table2[[#This Row],[Quantity]]*(1-Table2[[#This Row],[Discount]])</f>
        <v>7123.6800000000012</v>
      </c>
      <c r="K721" t="s">
        <v>41</v>
      </c>
      <c r="L721" t="s">
        <v>44</v>
      </c>
      <c r="M721">
        <v>0</v>
      </c>
      <c r="N721" t="s">
        <v>765</v>
      </c>
      <c r="O721" t="s">
        <v>2236</v>
      </c>
      <c r="P721" s="7">
        <v>7.76</v>
      </c>
      <c r="Q721" s="1">
        <v>44990</v>
      </c>
      <c r="R721">
        <f>WEEKNUM(Table2[[#This Row],[OrderDate]])</f>
        <v>10</v>
      </c>
      <c r="S721" s="1">
        <v>44995</v>
      </c>
      <c r="T721" t="s">
        <v>2918</v>
      </c>
    </row>
    <row r="722" spans="1:20" x14ac:dyDescent="0.35">
      <c r="A722" s="1">
        <v>45490</v>
      </c>
      <c r="B722" t="s">
        <v>2931</v>
      </c>
      <c r="C722" t="s">
        <v>21</v>
      </c>
      <c r="D722" s="9">
        <v>17</v>
      </c>
      <c r="E722" s="7">
        <v>279.38</v>
      </c>
      <c r="F722" t="s">
        <v>26</v>
      </c>
      <c r="G722" t="s">
        <v>30</v>
      </c>
      <c r="H722" s="12">
        <v>0.05</v>
      </c>
      <c r="I722" t="s">
        <v>34</v>
      </c>
      <c r="J722" s="7">
        <f>Table2[[#This Row],[UnitPrice]]*Table2[[#This Row],[Quantity]]*(1-Table2[[#This Row],[Discount]])</f>
        <v>4511.9870000000001</v>
      </c>
      <c r="K722" t="s">
        <v>40</v>
      </c>
      <c r="L722" t="s">
        <v>45</v>
      </c>
      <c r="M722">
        <v>0</v>
      </c>
      <c r="N722" t="s">
        <v>766</v>
      </c>
      <c r="O722" t="s">
        <v>2237</v>
      </c>
      <c r="P722" s="7">
        <v>30.3</v>
      </c>
      <c r="Q722" s="1">
        <v>45490</v>
      </c>
      <c r="R722">
        <f>WEEKNUM(Table2[[#This Row],[OrderDate]])</f>
        <v>29</v>
      </c>
      <c r="S722" s="1">
        <v>45493</v>
      </c>
      <c r="T722" t="s">
        <v>2919</v>
      </c>
    </row>
    <row r="723" spans="1:20" x14ac:dyDescent="0.35">
      <c r="A723" s="1">
        <v>45432</v>
      </c>
      <c r="B723" t="s">
        <v>2931</v>
      </c>
      <c r="C723" t="s">
        <v>24</v>
      </c>
      <c r="D723" s="9">
        <v>16</v>
      </c>
      <c r="E723" s="7">
        <v>427.68</v>
      </c>
      <c r="F723" t="s">
        <v>27</v>
      </c>
      <c r="G723" t="s">
        <v>31</v>
      </c>
      <c r="H723" s="12">
        <v>0.1</v>
      </c>
      <c r="I723" t="s">
        <v>35</v>
      </c>
      <c r="J723" s="7">
        <f>Table2[[#This Row],[UnitPrice]]*Table2[[#This Row],[Quantity]]*(1-Table2[[#This Row],[Discount]])</f>
        <v>6158.5920000000006</v>
      </c>
      <c r="K723" t="s">
        <v>41</v>
      </c>
      <c r="L723" t="s">
        <v>2937</v>
      </c>
      <c r="M723">
        <v>0</v>
      </c>
      <c r="N723" t="s">
        <v>767</v>
      </c>
      <c r="O723" t="s">
        <v>2238</v>
      </c>
      <c r="P723" s="7">
        <v>18.72</v>
      </c>
      <c r="Q723" s="1">
        <v>45432</v>
      </c>
      <c r="R723">
        <f>WEEKNUM(Table2[[#This Row],[OrderDate]])</f>
        <v>21</v>
      </c>
      <c r="S723" s="1">
        <v>45441</v>
      </c>
      <c r="T723" t="s">
        <v>2919</v>
      </c>
    </row>
    <row r="724" spans="1:20" x14ac:dyDescent="0.35">
      <c r="A724" s="1">
        <v>45783</v>
      </c>
      <c r="B724" t="s">
        <v>2931</v>
      </c>
      <c r="C724" t="s">
        <v>19</v>
      </c>
      <c r="D724" s="9">
        <v>15</v>
      </c>
      <c r="E724" s="7">
        <v>281.73</v>
      </c>
      <c r="F724" t="s">
        <v>26</v>
      </c>
      <c r="G724" t="s">
        <v>30</v>
      </c>
      <c r="H724" s="12">
        <v>0.1</v>
      </c>
      <c r="I724" t="s">
        <v>37</v>
      </c>
      <c r="J724" s="7">
        <f>Table2[[#This Row],[UnitPrice]]*Table2[[#This Row],[Quantity]]*(1-Table2[[#This Row],[Discount]])</f>
        <v>3803.3550000000009</v>
      </c>
      <c r="K724" t="s">
        <v>40</v>
      </c>
      <c r="L724" t="s">
        <v>45</v>
      </c>
      <c r="M724">
        <v>0</v>
      </c>
      <c r="N724" t="s">
        <v>768</v>
      </c>
      <c r="O724" t="s">
        <v>2239</v>
      </c>
      <c r="P724" s="7">
        <v>36.869999999999997</v>
      </c>
      <c r="Q724" s="1">
        <v>45783</v>
      </c>
      <c r="R724">
        <f>WEEKNUM(Table2[[#This Row],[OrderDate]])</f>
        <v>19</v>
      </c>
      <c r="S724" s="1">
        <v>45787</v>
      </c>
      <c r="T724" t="s">
        <v>2919</v>
      </c>
    </row>
    <row r="725" spans="1:20" x14ac:dyDescent="0.35">
      <c r="A725" s="1">
        <v>44941</v>
      </c>
      <c r="B725" t="s">
        <v>2931</v>
      </c>
      <c r="C725" t="s">
        <v>21</v>
      </c>
      <c r="D725" s="9">
        <v>15</v>
      </c>
      <c r="E725" s="7">
        <v>185</v>
      </c>
      <c r="F725" t="s">
        <v>26</v>
      </c>
      <c r="G725" t="s">
        <v>30</v>
      </c>
      <c r="H725" s="12">
        <v>0</v>
      </c>
      <c r="I725" t="s">
        <v>33</v>
      </c>
      <c r="J725" s="7">
        <f>Table2[[#This Row],[UnitPrice]]*Table2[[#This Row],[Quantity]]*(1-Table2[[#This Row],[Discount]])</f>
        <v>2775</v>
      </c>
      <c r="K725" t="s">
        <v>42</v>
      </c>
      <c r="L725" t="s">
        <v>43</v>
      </c>
      <c r="M725">
        <v>0</v>
      </c>
      <c r="N725" t="s">
        <v>769</v>
      </c>
      <c r="O725" t="s">
        <v>2240</v>
      </c>
      <c r="P725" s="7">
        <v>29.31</v>
      </c>
      <c r="Q725" s="1">
        <v>44941</v>
      </c>
      <c r="R725">
        <f>WEEKNUM(Table2[[#This Row],[OrderDate]])</f>
        <v>3</v>
      </c>
      <c r="S725" s="1">
        <v>44943</v>
      </c>
      <c r="T725" t="s">
        <v>2919</v>
      </c>
    </row>
    <row r="726" spans="1:20" x14ac:dyDescent="0.35">
      <c r="A726" s="1">
        <v>45300</v>
      </c>
      <c r="B726" t="s">
        <v>2934</v>
      </c>
      <c r="C726" t="s">
        <v>23</v>
      </c>
      <c r="D726" s="9">
        <v>19</v>
      </c>
      <c r="E726" s="7">
        <v>380.82</v>
      </c>
      <c r="F726" t="s">
        <v>29</v>
      </c>
      <c r="G726" t="s">
        <v>30</v>
      </c>
      <c r="H726" s="12">
        <v>0.1</v>
      </c>
      <c r="I726" t="s">
        <v>36</v>
      </c>
      <c r="J726" s="7">
        <f>Table2[[#This Row],[UnitPrice]]*Table2[[#This Row],[Quantity]]*(1-Table2[[#This Row],[Discount]])</f>
        <v>6512.0219999999999</v>
      </c>
      <c r="K726" t="s">
        <v>40</v>
      </c>
      <c r="L726" t="s">
        <v>44</v>
      </c>
      <c r="M726">
        <v>0</v>
      </c>
      <c r="N726" t="s">
        <v>770</v>
      </c>
      <c r="O726" t="s">
        <v>2241</v>
      </c>
      <c r="P726" s="7">
        <v>48.73</v>
      </c>
      <c r="Q726" s="1">
        <v>45300</v>
      </c>
      <c r="R726">
        <f>WEEKNUM(Table2[[#This Row],[OrderDate]])</f>
        <v>2</v>
      </c>
      <c r="S726" s="1">
        <v>45303</v>
      </c>
      <c r="T726" t="s">
        <v>2920</v>
      </c>
    </row>
    <row r="727" spans="1:20" x14ac:dyDescent="0.35">
      <c r="A727" s="1">
        <v>45119</v>
      </c>
      <c r="B727" t="s">
        <v>2932</v>
      </c>
      <c r="C727" t="s">
        <v>22</v>
      </c>
      <c r="D727" s="9">
        <v>4</v>
      </c>
      <c r="E727" s="7">
        <v>444.87</v>
      </c>
      <c r="F727" t="s">
        <v>26</v>
      </c>
      <c r="G727" t="s">
        <v>31</v>
      </c>
      <c r="H727" s="12">
        <v>0.15</v>
      </c>
      <c r="I727" t="s">
        <v>35</v>
      </c>
      <c r="J727" s="7">
        <f>Table2[[#This Row],[UnitPrice]]*Table2[[#This Row],[Quantity]]*(1-Table2[[#This Row],[Discount]])</f>
        <v>1512.558</v>
      </c>
      <c r="K727" t="s">
        <v>38</v>
      </c>
      <c r="L727" t="s">
        <v>43</v>
      </c>
      <c r="M727">
        <v>0</v>
      </c>
      <c r="N727" t="s">
        <v>771</v>
      </c>
      <c r="O727" t="s">
        <v>2242</v>
      </c>
      <c r="P727" s="7">
        <v>47.14</v>
      </c>
      <c r="Q727" s="1">
        <v>45119</v>
      </c>
      <c r="R727">
        <f>WEEKNUM(Table2[[#This Row],[OrderDate]])</f>
        <v>28</v>
      </c>
      <c r="S727" s="1">
        <v>45128</v>
      </c>
      <c r="T727" t="s">
        <v>2918</v>
      </c>
    </row>
    <row r="728" spans="1:20" x14ac:dyDescent="0.35">
      <c r="A728" s="1">
        <v>45829</v>
      </c>
      <c r="B728" t="s">
        <v>2930</v>
      </c>
      <c r="C728" t="s">
        <v>22</v>
      </c>
      <c r="D728" s="9">
        <v>7</v>
      </c>
      <c r="E728" s="7">
        <v>590.79</v>
      </c>
      <c r="F728" t="s">
        <v>26</v>
      </c>
      <c r="G728" t="s">
        <v>31</v>
      </c>
      <c r="H728" s="12">
        <v>0.05</v>
      </c>
      <c r="I728" t="s">
        <v>32</v>
      </c>
      <c r="J728" s="7">
        <f>Table2[[#This Row],[UnitPrice]]*Table2[[#This Row],[Quantity]]*(1-Table2[[#This Row],[Discount]])</f>
        <v>3928.7534999999993</v>
      </c>
      <c r="K728" t="s">
        <v>42</v>
      </c>
      <c r="L728" t="s">
        <v>43</v>
      </c>
      <c r="M728">
        <v>1</v>
      </c>
      <c r="N728" t="s">
        <v>772</v>
      </c>
      <c r="O728" t="s">
        <v>2243</v>
      </c>
      <c r="P728" s="7">
        <v>41.39</v>
      </c>
      <c r="Q728" s="1">
        <v>45829</v>
      </c>
      <c r="R728">
        <f>WEEKNUM(Table2[[#This Row],[OrderDate]])</f>
        <v>25</v>
      </c>
      <c r="S728" s="1">
        <v>45834</v>
      </c>
      <c r="T728" t="s">
        <v>2917</v>
      </c>
    </row>
    <row r="729" spans="1:20" x14ac:dyDescent="0.35">
      <c r="A729" s="1">
        <v>45655</v>
      </c>
      <c r="B729" t="s">
        <v>2931</v>
      </c>
      <c r="C729" t="s">
        <v>25</v>
      </c>
      <c r="D729" s="9">
        <v>5</v>
      </c>
      <c r="E729" s="7">
        <v>34.58</v>
      </c>
      <c r="F729" t="s">
        <v>27</v>
      </c>
      <c r="G729" t="s">
        <v>31</v>
      </c>
      <c r="H729" s="12">
        <v>0.1</v>
      </c>
      <c r="I729" t="s">
        <v>34</v>
      </c>
      <c r="J729" s="7">
        <f>Table2[[#This Row],[UnitPrice]]*Table2[[#This Row],[Quantity]]*(1-Table2[[#This Row],[Discount]])</f>
        <v>155.60999999999999</v>
      </c>
      <c r="K729" t="s">
        <v>39</v>
      </c>
      <c r="L729" t="s">
        <v>45</v>
      </c>
      <c r="M729">
        <v>0</v>
      </c>
      <c r="N729" t="s">
        <v>773</v>
      </c>
      <c r="O729" t="s">
        <v>2244</v>
      </c>
      <c r="P729" s="7">
        <v>27.1</v>
      </c>
      <c r="Q729" s="1">
        <v>45655</v>
      </c>
      <c r="R729">
        <f>WEEKNUM(Table2[[#This Row],[OrderDate]])</f>
        <v>53</v>
      </c>
      <c r="S729" s="1">
        <v>45659</v>
      </c>
      <c r="T729" t="s">
        <v>2919</v>
      </c>
    </row>
    <row r="730" spans="1:20" x14ac:dyDescent="0.35">
      <c r="A730" s="1">
        <v>45069</v>
      </c>
      <c r="B730" t="s">
        <v>2933</v>
      </c>
      <c r="C730" t="s">
        <v>24</v>
      </c>
      <c r="D730" s="9">
        <v>9</v>
      </c>
      <c r="E730" s="7">
        <v>438.22</v>
      </c>
      <c r="F730" t="s">
        <v>29</v>
      </c>
      <c r="G730" t="s">
        <v>31</v>
      </c>
      <c r="H730" s="12">
        <v>0.05</v>
      </c>
      <c r="I730" t="s">
        <v>37</v>
      </c>
      <c r="J730" s="7">
        <f>Table2[[#This Row],[UnitPrice]]*Table2[[#This Row],[Quantity]]*(1-Table2[[#This Row],[Discount]])</f>
        <v>3746.7810000000004</v>
      </c>
      <c r="K730" t="s">
        <v>42</v>
      </c>
      <c r="L730" t="s">
        <v>2937</v>
      </c>
      <c r="M730">
        <v>0</v>
      </c>
      <c r="N730" t="s">
        <v>774</v>
      </c>
      <c r="O730" t="s">
        <v>2245</v>
      </c>
      <c r="P730" s="7">
        <v>22.73</v>
      </c>
      <c r="Q730" s="1">
        <v>45069</v>
      </c>
      <c r="R730">
        <f>WEEKNUM(Table2[[#This Row],[OrderDate]])</f>
        <v>21</v>
      </c>
      <c r="S730" s="1">
        <v>45075</v>
      </c>
      <c r="T730" t="s">
        <v>2921</v>
      </c>
    </row>
    <row r="731" spans="1:20" x14ac:dyDescent="0.35">
      <c r="A731" s="1">
        <v>45385</v>
      </c>
      <c r="B731" t="s">
        <v>2934</v>
      </c>
      <c r="C731" t="s">
        <v>21</v>
      </c>
      <c r="D731" s="9">
        <v>5</v>
      </c>
      <c r="E731" s="7">
        <v>84.91</v>
      </c>
      <c r="F731" t="s">
        <v>27</v>
      </c>
      <c r="G731" t="s">
        <v>31</v>
      </c>
      <c r="H731" s="12">
        <v>0.1</v>
      </c>
      <c r="I731" t="s">
        <v>35</v>
      </c>
      <c r="J731" s="7">
        <f>Table2[[#This Row],[UnitPrice]]*Table2[[#This Row],[Quantity]]*(1-Table2[[#This Row],[Discount]])</f>
        <v>382.09499999999997</v>
      </c>
      <c r="K731" t="s">
        <v>42</v>
      </c>
      <c r="L731" t="s">
        <v>43</v>
      </c>
      <c r="M731">
        <v>1</v>
      </c>
      <c r="N731" t="s">
        <v>775</v>
      </c>
      <c r="O731" t="s">
        <v>2246</v>
      </c>
      <c r="P731" s="7">
        <v>29.06</v>
      </c>
      <c r="Q731" s="1">
        <v>45385</v>
      </c>
      <c r="R731">
        <f>WEEKNUM(Table2[[#This Row],[OrderDate]])</f>
        <v>14</v>
      </c>
      <c r="S731" s="1">
        <v>45391</v>
      </c>
      <c r="T731" t="s">
        <v>2920</v>
      </c>
    </row>
    <row r="732" spans="1:20" x14ac:dyDescent="0.35">
      <c r="A732" s="1">
        <v>45308</v>
      </c>
      <c r="B732" t="s">
        <v>2930</v>
      </c>
      <c r="C732" t="s">
        <v>19</v>
      </c>
      <c r="D732" s="9">
        <v>7</v>
      </c>
      <c r="E732" s="7">
        <v>322.11</v>
      </c>
      <c r="F732" t="s">
        <v>28</v>
      </c>
      <c r="G732" t="s">
        <v>30</v>
      </c>
      <c r="H732" s="12">
        <v>0.1</v>
      </c>
      <c r="I732" t="s">
        <v>36</v>
      </c>
      <c r="J732" s="7">
        <f>Table2[[#This Row],[UnitPrice]]*Table2[[#This Row],[Quantity]]*(1-Table2[[#This Row],[Discount]])</f>
        <v>2029.2930000000001</v>
      </c>
      <c r="K732" t="s">
        <v>41</v>
      </c>
      <c r="L732" t="s">
        <v>44</v>
      </c>
      <c r="M732">
        <v>0</v>
      </c>
      <c r="N732" t="s">
        <v>776</v>
      </c>
      <c r="O732" t="s">
        <v>2247</v>
      </c>
      <c r="P732" s="7">
        <v>19.91</v>
      </c>
      <c r="Q732" s="1">
        <v>45308</v>
      </c>
      <c r="R732">
        <f>WEEKNUM(Table2[[#This Row],[OrderDate]])</f>
        <v>3</v>
      </c>
      <c r="S732" s="1">
        <v>45318</v>
      </c>
      <c r="T732" t="s">
        <v>2917</v>
      </c>
    </row>
    <row r="733" spans="1:20" x14ac:dyDescent="0.35">
      <c r="A733" s="1">
        <v>45752</v>
      </c>
      <c r="B733" t="s">
        <v>2934</v>
      </c>
      <c r="C733" t="s">
        <v>23</v>
      </c>
      <c r="D733" s="9">
        <v>2</v>
      </c>
      <c r="E733" s="7">
        <v>231.96</v>
      </c>
      <c r="F733" t="s">
        <v>26</v>
      </c>
      <c r="G733" t="s">
        <v>31</v>
      </c>
      <c r="H733" s="12">
        <v>0.1</v>
      </c>
      <c r="I733" t="s">
        <v>33</v>
      </c>
      <c r="J733" s="7">
        <f>Table2[[#This Row],[UnitPrice]]*Table2[[#This Row],[Quantity]]*(1-Table2[[#This Row],[Discount]])</f>
        <v>417.52800000000002</v>
      </c>
      <c r="K733" t="s">
        <v>41</v>
      </c>
      <c r="L733" t="s">
        <v>2937</v>
      </c>
      <c r="M733">
        <v>1</v>
      </c>
      <c r="N733" t="s">
        <v>777</v>
      </c>
      <c r="O733" t="s">
        <v>2248</v>
      </c>
      <c r="P733" s="7">
        <v>32.659999999999997</v>
      </c>
      <c r="Q733" s="1">
        <v>45752</v>
      </c>
      <c r="R733">
        <f>WEEKNUM(Table2[[#This Row],[OrderDate]])</f>
        <v>14</v>
      </c>
      <c r="S733" s="1">
        <v>45761</v>
      </c>
      <c r="T733" t="s">
        <v>2920</v>
      </c>
    </row>
    <row r="734" spans="1:20" x14ac:dyDescent="0.35">
      <c r="A734" s="1">
        <v>45764</v>
      </c>
      <c r="B734" t="s">
        <v>2934</v>
      </c>
      <c r="C734" t="s">
        <v>22</v>
      </c>
      <c r="D734" s="9">
        <v>15</v>
      </c>
      <c r="E734" s="7">
        <v>242.07</v>
      </c>
      <c r="F734" t="s">
        <v>27</v>
      </c>
      <c r="G734" t="s">
        <v>30</v>
      </c>
      <c r="H734" s="12">
        <v>0.15</v>
      </c>
      <c r="I734" t="s">
        <v>37</v>
      </c>
      <c r="J734" s="7">
        <f>Table2[[#This Row],[UnitPrice]]*Table2[[#This Row],[Quantity]]*(1-Table2[[#This Row],[Discount]])</f>
        <v>3086.3924999999995</v>
      </c>
      <c r="K734" t="s">
        <v>40</v>
      </c>
      <c r="L734" t="s">
        <v>2937</v>
      </c>
      <c r="M734">
        <v>0</v>
      </c>
      <c r="N734" t="s">
        <v>778</v>
      </c>
      <c r="O734" t="s">
        <v>2249</v>
      </c>
      <c r="P734" s="7">
        <v>19.18</v>
      </c>
      <c r="Q734" s="1">
        <v>45764</v>
      </c>
      <c r="R734">
        <f>WEEKNUM(Table2[[#This Row],[OrderDate]])</f>
        <v>16</v>
      </c>
      <c r="S734" s="1">
        <v>45770</v>
      </c>
      <c r="T734" t="s">
        <v>2920</v>
      </c>
    </row>
    <row r="735" spans="1:20" x14ac:dyDescent="0.35">
      <c r="A735" s="1">
        <v>45577</v>
      </c>
      <c r="B735" t="s">
        <v>2934</v>
      </c>
      <c r="C735" t="s">
        <v>19</v>
      </c>
      <c r="D735" s="9">
        <v>2</v>
      </c>
      <c r="E735" s="7">
        <v>48.02</v>
      </c>
      <c r="F735" t="s">
        <v>28</v>
      </c>
      <c r="G735" t="s">
        <v>31</v>
      </c>
      <c r="H735" s="12">
        <v>0.05</v>
      </c>
      <c r="I735" t="s">
        <v>35</v>
      </c>
      <c r="J735" s="7">
        <f>Table2[[#This Row],[UnitPrice]]*Table2[[#This Row],[Quantity]]*(1-Table2[[#This Row],[Discount]])</f>
        <v>91.238</v>
      </c>
      <c r="K735" t="s">
        <v>41</v>
      </c>
      <c r="L735" t="s">
        <v>43</v>
      </c>
      <c r="M735">
        <v>1</v>
      </c>
      <c r="N735" t="s">
        <v>779</v>
      </c>
      <c r="O735" t="s">
        <v>2250</v>
      </c>
      <c r="P735" s="7">
        <v>25.81</v>
      </c>
      <c r="Q735" s="1">
        <v>45577</v>
      </c>
      <c r="R735">
        <f>WEEKNUM(Table2[[#This Row],[OrderDate]])</f>
        <v>41</v>
      </c>
      <c r="S735" s="1">
        <v>45580</v>
      </c>
      <c r="T735" t="s">
        <v>2920</v>
      </c>
    </row>
    <row r="736" spans="1:20" x14ac:dyDescent="0.35">
      <c r="A736" s="1">
        <v>45500</v>
      </c>
      <c r="B736" t="s">
        <v>2934</v>
      </c>
      <c r="C736" t="s">
        <v>22</v>
      </c>
      <c r="D736" s="9">
        <v>1</v>
      </c>
      <c r="E736" s="7">
        <v>534.28</v>
      </c>
      <c r="F736" t="s">
        <v>29</v>
      </c>
      <c r="G736" t="s">
        <v>30</v>
      </c>
      <c r="H736" s="12">
        <v>0.1</v>
      </c>
      <c r="I736" t="s">
        <v>32</v>
      </c>
      <c r="J736" s="7">
        <f>Table2[[#This Row],[UnitPrice]]*Table2[[#This Row],[Quantity]]*(1-Table2[[#This Row],[Discount]])</f>
        <v>480.85199999999998</v>
      </c>
      <c r="K736" t="s">
        <v>38</v>
      </c>
      <c r="L736" t="s">
        <v>43</v>
      </c>
      <c r="M736">
        <v>0</v>
      </c>
      <c r="N736" t="s">
        <v>780</v>
      </c>
      <c r="O736" t="s">
        <v>2251</v>
      </c>
      <c r="P736" s="7">
        <v>31.3</v>
      </c>
      <c r="Q736" s="1">
        <v>45500</v>
      </c>
      <c r="R736">
        <f>WEEKNUM(Table2[[#This Row],[OrderDate]])</f>
        <v>30</v>
      </c>
      <c r="S736" s="1">
        <v>45505</v>
      </c>
      <c r="T736" t="s">
        <v>2920</v>
      </c>
    </row>
    <row r="737" spans="1:20" x14ac:dyDescent="0.35">
      <c r="A737" s="1">
        <v>45667</v>
      </c>
      <c r="B737" t="s">
        <v>2933</v>
      </c>
      <c r="C737" t="s">
        <v>24</v>
      </c>
      <c r="D737" s="9">
        <v>3</v>
      </c>
      <c r="E737" s="7">
        <v>98.15</v>
      </c>
      <c r="F737" t="s">
        <v>29</v>
      </c>
      <c r="G737" t="s">
        <v>30</v>
      </c>
      <c r="H737" s="12">
        <v>0.15</v>
      </c>
      <c r="I737" t="s">
        <v>36</v>
      </c>
      <c r="J737" s="7">
        <f>Table2[[#This Row],[UnitPrice]]*Table2[[#This Row],[Quantity]]*(1-Table2[[#This Row],[Discount]])</f>
        <v>250.28250000000003</v>
      </c>
      <c r="K737" t="s">
        <v>41</v>
      </c>
      <c r="L737" t="s">
        <v>44</v>
      </c>
      <c r="M737">
        <v>0</v>
      </c>
      <c r="N737" t="s">
        <v>781</v>
      </c>
      <c r="O737" t="s">
        <v>2252</v>
      </c>
      <c r="P737" s="7">
        <v>46.37</v>
      </c>
      <c r="Q737" s="1">
        <v>45667</v>
      </c>
      <c r="R737">
        <f>WEEKNUM(Table2[[#This Row],[OrderDate]])</f>
        <v>2</v>
      </c>
      <c r="S737" s="1">
        <v>45675</v>
      </c>
      <c r="T737" t="s">
        <v>2921</v>
      </c>
    </row>
    <row r="738" spans="1:20" x14ac:dyDescent="0.35">
      <c r="A738" s="1">
        <v>45498</v>
      </c>
      <c r="B738" t="s">
        <v>2932</v>
      </c>
      <c r="C738" t="s">
        <v>22</v>
      </c>
      <c r="D738" s="9">
        <v>12</v>
      </c>
      <c r="E738" s="7">
        <v>61.85</v>
      </c>
      <c r="F738" t="s">
        <v>29</v>
      </c>
      <c r="G738" t="s">
        <v>30</v>
      </c>
      <c r="H738" s="12">
        <v>0.05</v>
      </c>
      <c r="I738" t="s">
        <v>33</v>
      </c>
      <c r="J738" s="7">
        <f>Table2[[#This Row],[UnitPrice]]*Table2[[#This Row],[Quantity]]*(1-Table2[[#This Row],[Discount]])</f>
        <v>705.09</v>
      </c>
      <c r="K738" t="s">
        <v>40</v>
      </c>
      <c r="L738" t="s">
        <v>2937</v>
      </c>
      <c r="M738">
        <v>1</v>
      </c>
      <c r="N738" t="s">
        <v>782</v>
      </c>
      <c r="O738" t="s">
        <v>2253</v>
      </c>
      <c r="P738" s="7">
        <v>24.34</v>
      </c>
      <c r="Q738" s="1">
        <v>45498</v>
      </c>
      <c r="R738">
        <f>WEEKNUM(Table2[[#This Row],[OrderDate]])</f>
        <v>30</v>
      </c>
      <c r="S738" s="1">
        <v>45504</v>
      </c>
      <c r="T738" t="s">
        <v>2918</v>
      </c>
    </row>
    <row r="739" spans="1:20" x14ac:dyDescent="0.35">
      <c r="A739" s="1">
        <v>45434</v>
      </c>
      <c r="B739" t="s">
        <v>2933</v>
      </c>
      <c r="C739" t="s">
        <v>24</v>
      </c>
      <c r="D739" s="9">
        <v>6</v>
      </c>
      <c r="E739" s="7">
        <v>268.33999999999997</v>
      </c>
      <c r="F739" t="s">
        <v>27</v>
      </c>
      <c r="G739" t="s">
        <v>30</v>
      </c>
      <c r="H739" s="12">
        <v>0.1</v>
      </c>
      <c r="I739" t="s">
        <v>36</v>
      </c>
      <c r="J739" s="7">
        <f>Table2[[#This Row],[UnitPrice]]*Table2[[#This Row],[Quantity]]*(1-Table2[[#This Row],[Discount]])</f>
        <v>1449.0360000000001</v>
      </c>
      <c r="K739" t="s">
        <v>41</v>
      </c>
      <c r="L739" t="s">
        <v>45</v>
      </c>
      <c r="M739">
        <v>1</v>
      </c>
      <c r="N739" t="s">
        <v>783</v>
      </c>
      <c r="O739" t="s">
        <v>2254</v>
      </c>
      <c r="P739" s="7">
        <v>35.69</v>
      </c>
      <c r="Q739" s="1">
        <v>45434</v>
      </c>
      <c r="R739">
        <f>WEEKNUM(Table2[[#This Row],[OrderDate]])</f>
        <v>21</v>
      </c>
      <c r="S739" s="1">
        <v>45437</v>
      </c>
      <c r="T739" t="s">
        <v>2921</v>
      </c>
    </row>
    <row r="740" spans="1:20" x14ac:dyDescent="0.35">
      <c r="A740" s="1">
        <v>45514</v>
      </c>
      <c r="B740" t="s">
        <v>2934</v>
      </c>
      <c r="C740" t="s">
        <v>21</v>
      </c>
      <c r="D740" s="9">
        <v>4</v>
      </c>
      <c r="E740" s="7">
        <v>529.03</v>
      </c>
      <c r="F740" t="s">
        <v>26</v>
      </c>
      <c r="G740" t="s">
        <v>30</v>
      </c>
      <c r="H740" s="12">
        <v>0.05</v>
      </c>
      <c r="I740" t="s">
        <v>35</v>
      </c>
      <c r="J740" s="7">
        <f>Table2[[#This Row],[UnitPrice]]*Table2[[#This Row],[Quantity]]*(1-Table2[[#This Row],[Discount]])</f>
        <v>2010.3139999999999</v>
      </c>
      <c r="K740" t="s">
        <v>38</v>
      </c>
      <c r="L740" t="s">
        <v>44</v>
      </c>
      <c r="M740">
        <v>0</v>
      </c>
      <c r="N740" t="s">
        <v>784</v>
      </c>
      <c r="O740" t="s">
        <v>2255</v>
      </c>
      <c r="P740" s="7">
        <v>25.96</v>
      </c>
      <c r="Q740" s="1">
        <v>45514</v>
      </c>
      <c r="R740">
        <f>WEEKNUM(Table2[[#This Row],[OrderDate]])</f>
        <v>32</v>
      </c>
      <c r="S740" s="1">
        <v>45524</v>
      </c>
      <c r="T740" t="s">
        <v>2920</v>
      </c>
    </row>
    <row r="741" spans="1:20" x14ac:dyDescent="0.35">
      <c r="A741" s="1">
        <v>45043</v>
      </c>
      <c r="B741" t="s">
        <v>2933</v>
      </c>
      <c r="C741" t="s">
        <v>24</v>
      </c>
      <c r="D741" s="9">
        <v>2</v>
      </c>
      <c r="E741" s="7">
        <v>107.32</v>
      </c>
      <c r="F741" t="s">
        <v>26</v>
      </c>
      <c r="G741" t="s">
        <v>31</v>
      </c>
      <c r="H741" s="12">
        <v>0.05</v>
      </c>
      <c r="I741" t="s">
        <v>33</v>
      </c>
      <c r="J741" s="7">
        <f>Table2[[#This Row],[UnitPrice]]*Table2[[#This Row],[Quantity]]*(1-Table2[[#This Row],[Discount]])</f>
        <v>203.90799999999999</v>
      </c>
      <c r="K741" t="s">
        <v>40</v>
      </c>
      <c r="L741" t="s">
        <v>2937</v>
      </c>
      <c r="M741">
        <v>0</v>
      </c>
      <c r="N741" t="s">
        <v>785</v>
      </c>
      <c r="O741" t="s">
        <v>2256</v>
      </c>
      <c r="P741" s="7">
        <v>47.33</v>
      </c>
      <c r="Q741" s="1">
        <v>45043</v>
      </c>
      <c r="R741">
        <f>WEEKNUM(Table2[[#This Row],[OrderDate]])</f>
        <v>17</v>
      </c>
      <c r="S741" s="1">
        <v>45045</v>
      </c>
      <c r="T741" t="s">
        <v>2921</v>
      </c>
    </row>
    <row r="742" spans="1:20" x14ac:dyDescent="0.35">
      <c r="A742" s="1">
        <v>45098</v>
      </c>
      <c r="B742" t="s">
        <v>2932</v>
      </c>
      <c r="C742" t="s">
        <v>24</v>
      </c>
      <c r="D742" s="9">
        <v>1</v>
      </c>
      <c r="E742" s="7">
        <v>500.96</v>
      </c>
      <c r="F742" t="s">
        <v>28</v>
      </c>
      <c r="G742" t="s">
        <v>30</v>
      </c>
      <c r="H742" s="12">
        <v>0.05</v>
      </c>
      <c r="I742" t="s">
        <v>34</v>
      </c>
      <c r="J742" s="7">
        <f>Table2[[#This Row],[UnitPrice]]*Table2[[#This Row],[Quantity]]*(1-Table2[[#This Row],[Discount]])</f>
        <v>475.91199999999998</v>
      </c>
      <c r="K742" t="s">
        <v>38</v>
      </c>
      <c r="L742" t="s">
        <v>45</v>
      </c>
      <c r="M742">
        <v>0</v>
      </c>
      <c r="N742" t="s">
        <v>786</v>
      </c>
      <c r="O742" t="s">
        <v>1886</v>
      </c>
      <c r="P742" s="7">
        <v>42.1</v>
      </c>
      <c r="Q742" s="1">
        <v>45098</v>
      </c>
      <c r="R742">
        <f>WEEKNUM(Table2[[#This Row],[OrderDate]])</f>
        <v>25</v>
      </c>
      <c r="S742" s="1">
        <v>45102</v>
      </c>
      <c r="T742" t="s">
        <v>2918</v>
      </c>
    </row>
    <row r="743" spans="1:20" x14ac:dyDescent="0.35">
      <c r="A743" s="1">
        <v>45576</v>
      </c>
      <c r="B743" t="s">
        <v>2933</v>
      </c>
      <c r="C743" t="s">
        <v>25</v>
      </c>
      <c r="D743" s="9">
        <v>17</v>
      </c>
      <c r="E743" s="7">
        <v>549.78</v>
      </c>
      <c r="F743" t="s">
        <v>26</v>
      </c>
      <c r="G743" t="s">
        <v>30</v>
      </c>
      <c r="H743" s="12">
        <v>0.05</v>
      </c>
      <c r="I743" t="s">
        <v>33</v>
      </c>
      <c r="J743" s="7">
        <f>Table2[[#This Row],[UnitPrice]]*Table2[[#This Row],[Quantity]]*(1-Table2[[#This Row],[Discount]])</f>
        <v>8878.9470000000001</v>
      </c>
      <c r="K743" t="s">
        <v>40</v>
      </c>
      <c r="L743" t="s">
        <v>2937</v>
      </c>
      <c r="M743">
        <v>1</v>
      </c>
      <c r="N743" t="s">
        <v>787</v>
      </c>
      <c r="O743" t="s">
        <v>2257</v>
      </c>
      <c r="P743" s="7">
        <v>44.42</v>
      </c>
      <c r="Q743" s="1">
        <v>45576</v>
      </c>
      <c r="R743">
        <f>WEEKNUM(Table2[[#This Row],[OrderDate]])</f>
        <v>41</v>
      </c>
      <c r="S743" s="1">
        <v>45579</v>
      </c>
      <c r="T743" t="s">
        <v>2921</v>
      </c>
    </row>
    <row r="744" spans="1:20" x14ac:dyDescent="0.35">
      <c r="A744" s="1">
        <v>45683</v>
      </c>
      <c r="B744" t="s">
        <v>2931</v>
      </c>
      <c r="C744" t="s">
        <v>19</v>
      </c>
      <c r="D744" s="9">
        <v>3</v>
      </c>
      <c r="E744" s="7">
        <v>58.51</v>
      </c>
      <c r="F744" t="s">
        <v>27</v>
      </c>
      <c r="G744" t="s">
        <v>31</v>
      </c>
      <c r="H744" s="12">
        <v>0.05</v>
      </c>
      <c r="I744" t="s">
        <v>35</v>
      </c>
      <c r="J744" s="7">
        <f>Table2[[#This Row],[UnitPrice]]*Table2[[#This Row],[Quantity]]*(1-Table2[[#This Row],[Discount]])</f>
        <v>166.7535</v>
      </c>
      <c r="K744" t="s">
        <v>42</v>
      </c>
      <c r="L744" t="s">
        <v>45</v>
      </c>
      <c r="M744">
        <v>0</v>
      </c>
      <c r="N744" t="s">
        <v>788</v>
      </c>
      <c r="O744" t="s">
        <v>2258</v>
      </c>
      <c r="P744" s="7">
        <v>23.57</v>
      </c>
      <c r="Q744" s="1">
        <v>45683</v>
      </c>
      <c r="R744">
        <f>WEEKNUM(Table2[[#This Row],[OrderDate]])</f>
        <v>5</v>
      </c>
      <c r="S744" s="1">
        <v>45687</v>
      </c>
      <c r="T744" t="s">
        <v>2919</v>
      </c>
    </row>
    <row r="745" spans="1:20" x14ac:dyDescent="0.35">
      <c r="A745" s="1">
        <v>45461</v>
      </c>
      <c r="B745" t="s">
        <v>2932</v>
      </c>
      <c r="C745" t="s">
        <v>22</v>
      </c>
      <c r="D745" s="9">
        <v>17</v>
      </c>
      <c r="E745" s="7">
        <v>504.08</v>
      </c>
      <c r="F745" t="s">
        <v>27</v>
      </c>
      <c r="G745" t="s">
        <v>30</v>
      </c>
      <c r="H745" s="12">
        <v>0.1</v>
      </c>
      <c r="I745" t="s">
        <v>36</v>
      </c>
      <c r="J745" s="7">
        <f>Table2[[#This Row],[UnitPrice]]*Table2[[#This Row],[Quantity]]*(1-Table2[[#This Row],[Discount]])</f>
        <v>7712.4240000000009</v>
      </c>
      <c r="K745" t="s">
        <v>38</v>
      </c>
      <c r="L745" t="s">
        <v>44</v>
      </c>
      <c r="M745">
        <v>0</v>
      </c>
      <c r="N745" t="s">
        <v>789</v>
      </c>
      <c r="O745" t="s">
        <v>2259</v>
      </c>
      <c r="P745" s="7">
        <v>26.47</v>
      </c>
      <c r="Q745" s="1">
        <v>45461</v>
      </c>
      <c r="R745">
        <f>WEEKNUM(Table2[[#This Row],[OrderDate]])</f>
        <v>25</v>
      </c>
      <c r="S745" s="1">
        <v>45469</v>
      </c>
      <c r="T745" t="s">
        <v>2918</v>
      </c>
    </row>
    <row r="746" spans="1:20" x14ac:dyDescent="0.35">
      <c r="A746" s="1">
        <v>45826</v>
      </c>
      <c r="B746" t="s">
        <v>2930</v>
      </c>
      <c r="C746" t="s">
        <v>23</v>
      </c>
      <c r="D746" s="9">
        <v>17</v>
      </c>
      <c r="E746" s="7">
        <v>419.63</v>
      </c>
      <c r="F746" t="s">
        <v>29</v>
      </c>
      <c r="G746" t="s">
        <v>30</v>
      </c>
      <c r="H746" s="12">
        <v>0</v>
      </c>
      <c r="I746" t="s">
        <v>33</v>
      </c>
      <c r="J746" s="7">
        <f>Table2[[#This Row],[UnitPrice]]*Table2[[#This Row],[Quantity]]*(1-Table2[[#This Row],[Discount]])</f>
        <v>7133.71</v>
      </c>
      <c r="K746" t="s">
        <v>42</v>
      </c>
      <c r="L746" t="s">
        <v>44</v>
      </c>
      <c r="M746">
        <v>0</v>
      </c>
      <c r="N746" t="s">
        <v>790</v>
      </c>
      <c r="O746" t="s">
        <v>2260</v>
      </c>
      <c r="P746" s="7">
        <v>17.399999999999999</v>
      </c>
      <c r="Q746" s="1">
        <v>45826</v>
      </c>
      <c r="R746">
        <f>WEEKNUM(Table2[[#This Row],[OrderDate]])</f>
        <v>25</v>
      </c>
      <c r="S746" s="1">
        <v>45832</v>
      </c>
      <c r="T746" t="s">
        <v>2917</v>
      </c>
    </row>
    <row r="747" spans="1:20" x14ac:dyDescent="0.35">
      <c r="A747" s="1">
        <v>45594</v>
      </c>
      <c r="B747" t="s">
        <v>2932</v>
      </c>
      <c r="C747" t="s">
        <v>19</v>
      </c>
      <c r="D747" s="9">
        <v>2</v>
      </c>
      <c r="E747" s="7">
        <v>267.36</v>
      </c>
      <c r="F747" t="s">
        <v>26</v>
      </c>
      <c r="G747" t="s">
        <v>30</v>
      </c>
      <c r="H747" s="12">
        <v>0.05</v>
      </c>
      <c r="I747" t="s">
        <v>34</v>
      </c>
      <c r="J747" s="7">
        <f>Table2[[#This Row],[UnitPrice]]*Table2[[#This Row],[Quantity]]*(1-Table2[[#This Row],[Discount]])</f>
        <v>507.98399999999998</v>
      </c>
      <c r="K747" t="s">
        <v>38</v>
      </c>
      <c r="L747" t="s">
        <v>2937</v>
      </c>
      <c r="M747">
        <v>0</v>
      </c>
      <c r="N747" t="s">
        <v>791</v>
      </c>
      <c r="O747" t="s">
        <v>2261</v>
      </c>
      <c r="P747" s="7">
        <v>21.36</v>
      </c>
      <c r="Q747" s="1">
        <v>45594</v>
      </c>
      <c r="R747">
        <f>WEEKNUM(Table2[[#This Row],[OrderDate]])</f>
        <v>44</v>
      </c>
      <c r="S747" s="1">
        <v>45603</v>
      </c>
      <c r="T747" t="s">
        <v>2918</v>
      </c>
    </row>
    <row r="748" spans="1:20" x14ac:dyDescent="0.35">
      <c r="A748" s="1">
        <v>45755</v>
      </c>
      <c r="B748" t="s">
        <v>2934</v>
      </c>
      <c r="C748" t="s">
        <v>20</v>
      </c>
      <c r="D748" s="9">
        <v>2</v>
      </c>
      <c r="E748" s="7">
        <v>298.06</v>
      </c>
      <c r="F748" t="s">
        <v>26</v>
      </c>
      <c r="G748" t="s">
        <v>30</v>
      </c>
      <c r="H748" s="12">
        <v>0</v>
      </c>
      <c r="I748" t="s">
        <v>33</v>
      </c>
      <c r="J748" s="7">
        <f>Table2[[#This Row],[UnitPrice]]*Table2[[#This Row],[Quantity]]*(1-Table2[[#This Row],[Discount]])</f>
        <v>596.12</v>
      </c>
      <c r="K748" t="s">
        <v>41</v>
      </c>
      <c r="L748" t="s">
        <v>44</v>
      </c>
      <c r="M748">
        <v>1</v>
      </c>
      <c r="N748" t="s">
        <v>792</v>
      </c>
      <c r="O748" t="s">
        <v>2262</v>
      </c>
      <c r="P748" s="7">
        <v>35.369999999999997</v>
      </c>
      <c r="Q748" s="1">
        <v>45755</v>
      </c>
      <c r="R748">
        <f>WEEKNUM(Table2[[#This Row],[OrderDate]])</f>
        <v>15</v>
      </c>
      <c r="S748" s="1">
        <v>45761</v>
      </c>
      <c r="T748" t="s">
        <v>2920</v>
      </c>
    </row>
    <row r="749" spans="1:20" x14ac:dyDescent="0.35">
      <c r="A749" s="1">
        <v>44957</v>
      </c>
      <c r="B749" t="s">
        <v>2934</v>
      </c>
      <c r="C749" t="s">
        <v>24</v>
      </c>
      <c r="D749" s="9">
        <v>13</v>
      </c>
      <c r="E749" s="7">
        <v>132.97</v>
      </c>
      <c r="F749" t="s">
        <v>26</v>
      </c>
      <c r="G749" t="s">
        <v>30</v>
      </c>
      <c r="H749" s="12">
        <v>0.05</v>
      </c>
      <c r="I749" t="s">
        <v>34</v>
      </c>
      <c r="J749" s="7">
        <f>Table2[[#This Row],[UnitPrice]]*Table2[[#This Row],[Quantity]]*(1-Table2[[#This Row],[Discount]])</f>
        <v>1642.1794999999997</v>
      </c>
      <c r="K749" t="s">
        <v>41</v>
      </c>
      <c r="L749" t="s">
        <v>45</v>
      </c>
      <c r="M749">
        <v>0</v>
      </c>
      <c r="N749" t="s">
        <v>793</v>
      </c>
      <c r="O749" t="s">
        <v>2263</v>
      </c>
      <c r="P749" s="7">
        <v>42.87</v>
      </c>
      <c r="Q749" s="1">
        <v>44957</v>
      </c>
      <c r="R749">
        <f>WEEKNUM(Table2[[#This Row],[OrderDate]])</f>
        <v>5</v>
      </c>
      <c r="S749" s="1">
        <v>44962</v>
      </c>
      <c r="T749" t="s">
        <v>2920</v>
      </c>
    </row>
    <row r="750" spans="1:20" x14ac:dyDescent="0.35">
      <c r="A750" s="1">
        <v>45366</v>
      </c>
      <c r="B750" t="s">
        <v>2933</v>
      </c>
      <c r="C750" t="s">
        <v>22</v>
      </c>
      <c r="D750" s="9">
        <v>14</v>
      </c>
      <c r="E750" s="7">
        <v>476.28</v>
      </c>
      <c r="F750" t="s">
        <v>27</v>
      </c>
      <c r="G750" t="s">
        <v>30</v>
      </c>
      <c r="H750" s="12">
        <v>0.1</v>
      </c>
      <c r="I750" t="s">
        <v>32</v>
      </c>
      <c r="J750" s="7">
        <f>Table2[[#This Row],[UnitPrice]]*Table2[[#This Row],[Quantity]]*(1-Table2[[#This Row],[Discount]])</f>
        <v>6001.1280000000006</v>
      </c>
      <c r="K750" t="s">
        <v>40</v>
      </c>
      <c r="L750" t="s">
        <v>43</v>
      </c>
      <c r="M750">
        <v>0</v>
      </c>
      <c r="N750" t="s">
        <v>794</v>
      </c>
      <c r="O750" t="s">
        <v>2264</v>
      </c>
      <c r="P750" s="7">
        <v>22.11</v>
      </c>
      <c r="Q750" s="1">
        <v>45366</v>
      </c>
      <c r="R750">
        <f>WEEKNUM(Table2[[#This Row],[OrderDate]])</f>
        <v>11</v>
      </c>
      <c r="S750" s="1">
        <v>45371</v>
      </c>
      <c r="T750" t="s">
        <v>2921</v>
      </c>
    </row>
    <row r="751" spans="1:20" x14ac:dyDescent="0.35">
      <c r="A751" s="1">
        <v>45100</v>
      </c>
      <c r="B751" t="s">
        <v>2931</v>
      </c>
      <c r="C751" t="s">
        <v>24</v>
      </c>
      <c r="D751" s="9">
        <v>16</v>
      </c>
      <c r="E751" s="7">
        <v>294.88</v>
      </c>
      <c r="F751" t="s">
        <v>26</v>
      </c>
      <c r="G751" t="s">
        <v>31</v>
      </c>
      <c r="H751" s="12">
        <v>0.05</v>
      </c>
      <c r="I751" t="s">
        <v>34</v>
      </c>
      <c r="J751" s="7">
        <f>Table2[[#This Row],[UnitPrice]]*Table2[[#This Row],[Quantity]]*(1-Table2[[#This Row],[Discount]])</f>
        <v>4482.1759999999995</v>
      </c>
      <c r="K751" t="s">
        <v>42</v>
      </c>
      <c r="L751" t="s">
        <v>2937</v>
      </c>
      <c r="M751">
        <v>1</v>
      </c>
      <c r="N751" t="s">
        <v>795</v>
      </c>
      <c r="O751" t="s">
        <v>2084</v>
      </c>
      <c r="P751" s="7">
        <v>17.190000000000001</v>
      </c>
      <c r="Q751" s="1">
        <v>45100</v>
      </c>
      <c r="R751">
        <f>WEEKNUM(Table2[[#This Row],[OrderDate]])</f>
        <v>25</v>
      </c>
      <c r="S751" s="1">
        <v>45104</v>
      </c>
      <c r="T751" t="s">
        <v>2919</v>
      </c>
    </row>
    <row r="752" spans="1:20" x14ac:dyDescent="0.35">
      <c r="A752" s="1">
        <v>45457</v>
      </c>
      <c r="B752" t="s">
        <v>2931</v>
      </c>
      <c r="C752" t="s">
        <v>23</v>
      </c>
      <c r="D752" s="9">
        <v>19</v>
      </c>
      <c r="E752" s="7">
        <v>596.03</v>
      </c>
      <c r="F752" t="s">
        <v>28</v>
      </c>
      <c r="G752" t="s">
        <v>31</v>
      </c>
      <c r="H752" s="12">
        <v>0.15</v>
      </c>
      <c r="I752" t="s">
        <v>32</v>
      </c>
      <c r="J752" s="7">
        <f>Table2[[#This Row],[UnitPrice]]*Table2[[#This Row],[Quantity]]*(1-Table2[[#This Row],[Discount]])</f>
        <v>9625.8845000000001</v>
      </c>
      <c r="K752" t="s">
        <v>41</v>
      </c>
      <c r="L752" t="s">
        <v>2937</v>
      </c>
      <c r="M752">
        <v>0</v>
      </c>
      <c r="N752" t="s">
        <v>796</v>
      </c>
      <c r="O752" t="s">
        <v>2265</v>
      </c>
      <c r="P752" s="7">
        <v>31.95</v>
      </c>
      <c r="Q752" s="1">
        <v>45457</v>
      </c>
      <c r="R752">
        <f>WEEKNUM(Table2[[#This Row],[OrderDate]])</f>
        <v>24</v>
      </c>
      <c r="S752" s="1">
        <v>45466</v>
      </c>
      <c r="T752" t="s">
        <v>2919</v>
      </c>
    </row>
    <row r="753" spans="1:20" x14ac:dyDescent="0.35">
      <c r="A753" s="1">
        <v>45260</v>
      </c>
      <c r="B753" t="s">
        <v>2933</v>
      </c>
      <c r="C753" t="s">
        <v>21</v>
      </c>
      <c r="D753" s="9">
        <v>6</v>
      </c>
      <c r="E753" s="7">
        <v>182.4</v>
      </c>
      <c r="F753" t="s">
        <v>26</v>
      </c>
      <c r="G753" t="s">
        <v>30</v>
      </c>
      <c r="H753" s="12">
        <v>0</v>
      </c>
      <c r="I753" t="s">
        <v>33</v>
      </c>
      <c r="J753" s="7">
        <f>Table2[[#This Row],[UnitPrice]]*Table2[[#This Row],[Quantity]]*(1-Table2[[#This Row],[Discount]])</f>
        <v>1094.4000000000001</v>
      </c>
      <c r="K753" t="s">
        <v>38</v>
      </c>
      <c r="L753" t="s">
        <v>43</v>
      </c>
      <c r="M753">
        <v>1</v>
      </c>
      <c r="N753" t="s">
        <v>797</v>
      </c>
      <c r="O753" t="s">
        <v>2266</v>
      </c>
      <c r="P753" s="7">
        <v>49.49</v>
      </c>
      <c r="Q753" s="1">
        <v>45260</v>
      </c>
      <c r="R753">
        <f>WEEKNUM(Table2[[#This Row],[OrderDate]])</f>
        <v>48</v>
      </c>
      <c r="S753" s="1">
        <v>45269</v>
      </c>
      <c r="T753" t="s">
        <v>2921</v>
      </c>
    </row>
    <row r="754" spans="1:20" x14ac:dyDescent="0.35">
      <c r="A754" s="1">
        <v>45403</v>
      </c>
      <c r="B754" t="s">
        <v>2931</v>
      </c>
      <c r="C754" t="s">
        <v>19</v>
      </c>
      <c r="D754" s="9">
        <v>10</v>
      </c>
      <c r="E754" s="7">
        <v>400.95</v>
      </c>
      <c r="F754" t="s">
        <v>28</v>
      </c>
      <c r="G754" t="s">
        <v>31</v>
      </c>
      <c r="H754" s="12">
        <v>0.05</v>
      </c>
      <c r="I754" t="s">
        <v>35</v>
      </c>
      <c r="J754" s="7">
        <f>Table2[[#This Row],[UnitPrice]]*Table2[[#This Row],[Quantity]]*(1-Table2[[#This Row],[Discount]])</f>
        <v>3809.0249999999996</v>
      </c>
      <c r="K754" t="s">
        <v>38</v>
      </c>
      <c r="L754" t="s">
        <v>2937</v>
      </c>
      <c r="M754">
        <v>0</v>
      </c>
      <c r="N754" t="s">
        <v>798</v>
      </c>
      <c r="O754" t="s">
        <v>2267</v>
      </c>
      <c r="P754" s="7">
        <v>17.46</v>
      </c>
      <c r="Q754" s="1">
        <v>45403</v>
      </c>
      <c r="R754">
        <f>WEEKNUM(Table2[[#This Row],[OrderDate]])</f>
        <v>17</v>
      </c>
      <c r="S754" s="1">
        <v>45412</v>
      </c>
      <c r="T754" t="s">
        <v>2919</v>
      </c>
    </row>
    <row r="755" spans="1:20" x14ac:dyDescent="0.35">
      <c r="A755" s="1">
        <v>45144</v>
      </c>
      <c r="B755" t="s">
        <v>2930</v>
      </c>
      <c r="C755" t="s">
        <v>21</v>
      </c>
      <c r="D755" s="9">
        <v>7</v>
      </c>
      <c r="E755" s="7">
        <v>373.66</v>
      </c>
      <c r="F755" t="s">
        <v>26</v>
      </c>
      <c r="G755" t="s">
        <v>31</v>
      </c>
      <c r="H755" s="12">
        <v>0.05</v>
      </c>
      <c r="I755" t="s">
        <v>33</v>
      </c>
      <c r="J755" s="7">
        <f>Table2[[#This Row],[UnitPrice]]*Table2[[#This Row],[Quantity]]*(1-Table2[[#This Row],[Discount]])</f>
        <v>2484.8390000000004</v>
      </c>
      <c r="K755" t="s">
        <v>39</v>
      </c>
      <c r="L755" t="s">
        <v>44</v>
      </c>
      <c r="M755">
        <v>0</v>
      </c>
      <c r="N755" t="s">
        <v>799</v>
      </c>
      <c r="O755" t="s">
        <v>2268</v>
      </c>
      <c r="P755" s="7">
        <v>46.33</v>
      </c>
      <c r="Q755" s="1">
        <v>45144</v>
      </c>
      <c r="R755">
        <f>WEEKNUM(Table2[[#This Row],[OrderDate]])</f>
        <v>32</v>
      </c>
      <c r="S755" s="1">
        <v>45150</v>
      </c>
      <c r="T755" t="s">
        <v>2917</v>
      </c>
    </row>
    <row r="756" spans="1:20" x14ac:dyDescent="0.35">
      <c r="A756" s="1">
        <v>45464</v>
      </c>
      <c r="B756" t="s">
        <v>2933</v>
      </c>
      <c r="C756" t="s">
        <v>21</v>
      </c>
      <c r="D756" s="9">
        <v>7</v>
      </c>
      <c r="E756" s="7">
        <v>355.66</v>
      </c>
      <c r="F756" t="s">
        <v>28</v>
      </c>
      <c r="G756" t="s">
        <v>31</v>
      </c>
      <c r="H756" s="12">
        <v>0.15</v>
      </c>
      <c r="I756" t="s">
        <v>35</v>
      </c>
      <c r="J756" s="7">
        <f>Table2[[#This Row],[UnitPrice]]*Table2[[#This Row],[Quantity]]*(1-Table2[[#This Row],[Discount]])</f>
        <v>2116.1770000000001</v>
      </c>
      <c r="K756" t="s">
        <v>39</v>
      </c>
      <c r="L756" t="s">
        <v>43</v>
      </c>
      <c r="M756">
        <v>1</v>
      </c>
      <c r="N756" t="s">
        <v>800</v>
      </c>
      <c r="O756" t="s">
        <v>2269</v>
      </c>
      <c r="P756" s="7">
        <v>28.77</v>
      </c>
      <c r="Q756" s="1">
        <v>45464</v>
      </c>
      <c r="R756">
        <f>WEEKNUM(Table2[[#This Row],[OrderDate]])</f>
        <v>25</v>
      </c>
      <c r="S756" s="1">
        <v>45470</v>
      </c>
      <c r="T756" t="s">
        <v>2921</v>
      </c>
    </row>
    <row r="757" spans="1:20" x14ac:dyDescent="0.35">
      <c r="A757" s="1">
        <v>45732</v>
      </c>
      <c r="B757" t="s">
        <v>2931</v>
      </c>
      <c r="C757" t="s">
        <v>24</v>
      </c>
      <c r="D757" s="9">
        <v>12</v>
      </c>
      <c r="E757" s="7">
        <v>260.31</v>
      </c>
      <c r="F757" t="s">
        <v>28</v>
      </c>
      <c r="G757" t="s">
        <v>31</v>
      </c>
      <c r="H757" s="12">
        <v>0.1</v>
      </c>
      <c r="I757" t="s">
        <v>37</v>
      </c>
      <c r="J757" s="7">
        <f>Table2[[#This Row],[UnitPrice]]*Table2[[#This Row],[Quantity]]*(1-Table2[[#This Row],[Discount]])</f>
        <v>2811.3480000000004</v>
      </c>
      <c r="K757" t="s">
        <v>42</v>
      </c>
      <c r="L757" t="s">
        <v>44</v>
      </c>
      <c r="M757">
        <v>0</v>
      </c>
      <c r="N757" t="s">
        <v>801</v>
      </c>
      <c r="O757" t="s">
        <v>2270</v>
      </c>
      <c r="P757" s="7">
        <v>14.58</v>
      </c>
      <c r="Q757" s="1">
        <v>45732</v>
      </c>
      <c r="R757">
        <f>WEEKNUM(Table2[[#This Row],[OrderDate]])</f>
        <v>12</v>
      </c>
      <c r="S757" s="1">
        <v>45740</v>
      </c>
      <c r="T757" t="s">
        <v>2919</v>
      </c>
    </row>
    <row r="758" spans="1:20" x14ac:dyDescent="0.35">
      <c r="A758" s="1">
        <v>45402</v>
      </c>
      <c r="B758" t="s">
        <v>2933</v>
      </c>
      <c r="C758" t="s">
        <v>24</v>
      </c>
      <c r="D758" s="9">
        <v>10</v>
      </c>
      <c r="E758" s="7">
        <v>370.99</v>
      </c>
      <c r="F758" t="s">
        <v>26</v>
      </c>
      <c r="G758" t="s">
        <v>31</v>
      </c>
      <c r="H758" s="12">
        <v>0.15</v>
      </c>
      <c r="I758" t="s">
        <v>34</v>
      </c>
      <c r="J758" s="7">
        <f>Table2[[#This Row],[UnitPrice]]*Table2[[#This Row],[Quantity]]*(1-Table2[[#This Row],[Discount]])</f>
        <v>3153.415</v>
      </c>
      <c r="K758" t="s">
        <v>38</v>
      </c>
      <c r="L758" t="s">
        <v>44</v>
      </c>
      <c r="M758">
        <v>1</v>
      </c>
      <c r="N758" t="s">
        <v>802</v>
      </c>
      <c r="O758" t="s">
        <v>2271</v>
      </c>
      <c r="P758" s="7">
        <v>11.16</v>
      </c>
      <c r="Q758" s="1">
        <v>45402</v>
      </c>
      <c r="R758">
        <f>WEEKNUM(Table2[[#This Row],[OrderDate]])</f>
        <v>16</v>
      </c>
      <c r="S758" s="1">
        <v>45407</v>
      </c>
      <c r="T758" t="s">
        <v>2921</v>
      </c>
    </row>
    <row r="759" spans="1:20" x14ac:dyDescent="0.35">
      <c r="A759" s="1">
        <v>45646</v>
      </c>
      <c r="B759" t="s">
        <v>2930</v>
      </c>
      <c r="C759" t="s">
        <v>19</v>
      </c>
      <c r="D759" s="9">
        <v>2</v>
      </c>
      <c r="E759" s="7">
        <v>548.72</v>
      </c>
      <c r="F759" t="s">
        <v>27</v>
      </c>
      <c r="G759" t="s">
        <v>30</v>
      </c>
      <c r="H759" s="12">
        <v>0.1</v>
      </c>
      <c r="I759" t="s">
        <v>34</v>
      </c>
      <c r="J759" s="7">
        <f>Table2[[#This Row],[UnitPrice]]*Table2[[#This Row],[Quantity]]*(1-Table2[[#This Row],[Discount]])</f>
        <v>987.69600000000003</v>
      </c>
      <c r="K759" t="s">
        <v>40</v>
      </c>
      <c r="L759" t="s">
        <v>43</v>
      </c>
      <c r="M759">
        <v>1</v>
      </c>
      <c r="N759" t="s">
        <v>803</v>
      </c>
      <c r="O759" t="s">
        <v>2272</v>
      </c>
      <c r="P759" s="7">
        <v>26.35</v>
      </c>
      <c r="Q759" s="1">
        <v>45646</v>
      </c>
      <c r="R759">
        <f>WEEKNUM(Table2[[#This Row],[OrderDate]])</f>
        <v>51</v>
      </c>
      <c r="S759" s="1">
        <v>45655</v>
      </c>
      <c r="T759" t="s">
        <v>2917</v>
      </c>
    </row>
    <row r="760" spans="1:20" x14ac:dyDescent="0.35">
      <c r="A760" s="1">
        <v>45160</v>
      </c>
      <c r="B760" t="s">
        <v>2931</v>
      </c>
      <c r="C760" t="s">
        <v>25</v>
      </c>
      <c r="D760" s="9">
        <v>8</v>
      </c>
      <c r="E760" s="7">
        <v>343.53</v>
      </c>
      <c r="F760" t="s">
        <v>27</v>
      </c>
      <c r="G760" t="s">
        <v>30</v>
      </c>
      <c r="H760" s="12">
        <v>0</v>
      </c>
      <c r="I760" t="s">
        <v>34</v>
      </c>
      <c r="J760" s="7">
        <f>Table2[[#This Row],[UnitPrice]]*Table2[[#This Row],[Quantity]]*(1-Table2[[#This Row],[Discount]])</f>
        <v>2748.24</v>
      </c>
      <c r="K760" t="s">
        <v>42</v>
      </c>
      <c r="L760" t="s">
        <v>2937</v>
      </c>
      <c r="M760">
        <v>0</v>
      </c>
      <c r="N760" t="s">
        <v>804</v>
      </c>
      <c r="O760" t="s">
        <v>2273</v>
      </c>
      <c r="P760" s="7">
        <v>16.100000000000001</v>
      </c>
      <c r="Q760" s="1">
        <v>45160</v>
      </c>
      <c r="R760">
        <f>WEEKNUM(Table2[[#This Row],[OrderDate]])</f>
        <v>34</v>
      </c>
      <c r="S760" s="1">
        <v>45170</v>
      </c>
      <c r="T760" t="s">
        <v>2919</v>
      </c>
    </row>
    <row r="761" spans="1:20" x14ac:dyDescent="0.35">
      <c r="A761" s="1">
        <v>44989</v>
      </c>
      <c r="B761" t="s">
        <v>2931</v>
      </c>
      <c r="C761" t="s">
        <v>24</v>
      </c>
      <c r="D761" s="9">
        <v>13</v>
      </c>
      <c r="E761" s="7">
        <v>494.78</v>
      </c>
      <c r="F761" t="s">
        <v>27</v>
      </c>
      <c r="G761" t="s">
        <v>30</v>
      </c>
      <c r="H761" s="12">
        <v>0.15</v>
      </c>
      <c r="I761" t="s">
        <v>36</v>
      </c>
      <c r="J761" s="7">
        <f>Table2[[#This Row],[UnitPrice]]*Table2[[#This Row],[Quantity]]*(1-Table2[[#This Row],[Discount]])</f>
        <v>5467.3189999999995</v>
      </c>
      <c r="K761" t="s">
        <v>42</v>
      </c>
      <c r="L761" t="s">
        <v>43</v>
      </c>
      <c r="M761">
        <v>0</v>
      </c>
      <c r="N761" t="s">
        <v>805</v>
      </c>
      <c r="O761" t="s">
        <v>2274</v>
      </c>
      <c r="P761" s="7">
        <v>5.85</v>
      </c>
      <c r="Q761" s="1">
        <v>44989</v>
      </c>
      <c r="R761">
        <f>WEEKNUM(Table2[[#This Row],[OrderDate]])</f>
        <v>9</v>
      </c>
      <c r="S761" s="1">
        <v>44998</v>
      </c>
      <c r="T761" t="s">
        <v>2919</v>
      </c>
    </row>
    <row r="762" spans="1:20" x14ac:dyDescent="0.35">
      <c r="A762" s="1">
        <v>45467</v>
      </c>
      <c r="B762" t="s">
        <v>2931</v>
      </c>
      <c r="C762" t="s">
        <v>19</v>
      </c>
      <c r="D762" s="9">
        <v>9</v>
      </c>
      <c r="E762" s="7">
        <v>36.619999999999997</v>
      </c>
      <c r="F762" t="s">
        <v>26</v>
      </c>
      <c r="G762" t="s">
        <v>30</v>
      </c>
      <c r="H762" s="12">
        <v>0.1</v>
      </c>
      <c r="I762" t="s">
        <v>32</v>
      </c>
      <c r="J762" s="7">
        <f>Table2[[#This Row],[UnitPrice]]*Table2[[#This Row],[Quantity]]*(1-Table2[[#This Row],[Discount]])</f>
        <v>296.62200000000001</v>
      </c>
      <c r="K762" t="s">
        <v>41</v>
      </c>
      <c r="L762" t="s">
        <v>43</v>
      </c>
      <c r="M762">
        <v>1</v>
      </c>
      <c r="N762" t="s">
        <v>806</v>
      </c>
      <c r="O762" t="s">
        <v>2275</v>
      </c>
      <c r="P762" s="7">
        <v>29.9</v>
      </c>
      <c r="Q762" s="1">
        <v>45467</v>
      </c>
      <c r="R762">
        <f>WEEKNUM(Table2[[#This Row],[OrderDate]])</f>
        <v>26</v>
      </c>
      <c r="S762" s="1">
        <v>45474</v>
      </c>
      <c r="T762" t="s">
        <v>2919</v>
      </c>
    </row>
    <row r="763" spans="1:20" x14ac:dyDescent="0.35">
      <c r="A763" s="1">
        <v>45635</v>
      </c>
      <c r="B763" t="s">
        <v>2930</v>
      </c>
      <c r="C763" t="s">
        <v>24</v>
      </c>
      <c r="D763" s="9">
        <v>14</v>
      </c>
      <c r="E763" s="7">
        <v>216.2</v>
      </c>
      <c r="F763" t="s">
        <v>28</v>
      </c>
      <c r="G763" t="s">
        <v>30</v>
      </c>
      <c r="H763" s="12">
        <v>0</v>
      </c>
      <c r="I763" t="s">
        <v>36</v>
      </c>
      <c r="J763" s="7">
        <f>Table2[[#This Row],[UnitPrice]]*Table2[[#This Row],[Quantity]]*(1-Table2[[#This Row],[Discount]])</f>
        <v>3026.7999999999997</v>
      </c>
      <c r="K763" t="s">
        <v>38</v>
      </c>
      <c r="L763" t="s">
        <v>45</v>
      </c>
      <c r="M763">
        <v>0</v>
      </c>
      <c r="N763" t="s">
        <v>807</v>
      </c>
      <c r="O763" t="s">
        <v>2276</v>
      </c>
      <c r="P763" s="7">
        <v>14.39</v>
      </c>
      <c r="Q763" s="1">
        <v>45635</v>
      </c>
      <c r="R763">
        <f>WEEKNUM(Table2[[#This Row],[OrderDate]])</f>
        <v>50</v>
      </c>
      <c r="S763" s="1">
        <v>45639</v>
      </c>
      <c r="T763" t="s">
        <v>2917</v>
      </c>
    </row>
    <row r="764" spans="1:20" x14ac:dyDescent="0.35">
      <c r="A764" s="1">
        <v>45477</v>
      </c>
      <c r="B764" t="s">
        <v>2933</v>
      </c>
      <c r="C764" t="s">
        <v>19</v>
      </c>
      <c r="D764" s="9">
        <v>11</v>
      </c>
      <c r="E764" s="7">
        <v>128.99</v>
      </c>
      <c r="F764" t="s">
        <v>27</v>
      </c>
      <c r="G764" t="s">
        <v>31</v>
      </c>
      <c r="H764" s="12">
        <v>0.05</v>
      </c>
      <c r="I764" t="s">
        <v>36</v>
      </c>
      <c r="J764" s="7">
        <f>Table2[[#This Row],[UnitPrice]]*Table2[[#This Row],[Quantity]]*(1-Table2[[#This Row],[Discount]])</f>
        <v>1347.9455</v>
      </c>
      <c r="K764" t="s">
        <v>41</v>
      </c>
      <c r="L764" t="s">
        <v>44</v>
      </c>
      <c r="M764">
        <v>0</v>
      </c>
      <c r="N764" t="s">
        <v>808</v>
      </c>
      <c r="O764" t="s">
        <v>1896</v>
      </c>
      <c r="P764" s="7">
        <v>38.58</v>
      </c>
      <c r="Q764" s="1">
        <v>45477</v>
      </c>
      <c r="R764">
        <f>WEEKNUM(Table2[[#This Row],[OrderDate]])</f>
        <v>27</v>
      </c>
      <c r="S764" s="1">
        <v>45480</v>
      </c>
      <c r="T764" t="s">
        <v>2921</v>
      </c>
    </row>
    <row r="765" spans="1:20" x14ac:dyDescent="0.35">
      <c r="A765" s="1">
        <v>45720</v>
      </c>
      <c r="B765" t="s">
        <v>2930</v>
      </c>
      <c r="C765" t="s">
        <v>20</v>
      </c>
      <c r="D765" s="9">
        <v>11</v>
      </c>
      <c r="E765" s="7">
        <v>183.11</v>
      </c>
      <c r="F765" t="s">
        <v>26</v>
      </c>
      <c r="G765" t="s">
        <v>31</v>
      </c>
      <c r="H765" s="12">
        <v>0.15</v>
      </c>
      <c r="I765" t="s">
        <v>34</v>
      </c>
      <c r="J765" s="7">
        <f>Table2[[#This Row],[UnitPrice]]*Table2[[#This Row],[Quantity]]*(1-Table2[[#This Row],[Discount]])</f>
        <v>1712.0785000000001</v>
      </c>
      <c r="K765" t="s">
        <v>39</v>
      </c>
      <c r="L765" t="s">
        <v>43</v>
      </c>
      <c r="M765">
        <v>0</v>
      </c>
      <c r="N765" t="s">
        <v>809</v>
      </c>
      <c r="O765" t="s">
        <v>2277</v>
      </c>
      <c r="P765" s="7">
        <v>41.83</v>
      </c>
      <c r="Q765" s="1">
        <v>45720</v>
      </c>
      <c r="R765">
        <f>WEEKNUM(Table2[[#This Row],[OrderDate]])</f>
        <v>10</v>
      </c>
      <c r="S765" s="1">
        <v>45722</v>
      </c>
      <c r="T765" t="s">
        <v>2917</v>
      </c>
    </row>
    <row r="766" spans="1:20" x14ac:dyDescent="0.35">
      <c r="A766" s="1">
        <v>45313</v>
      </c>
      <c r="B766" t="s">
        <v>2930</v>
      </c>
      <c r="C766" t="s">
        <v>25</v>
      </c>
      <c r="D766" s="9">
        <v>11</v>
      </c>
      <c r="E766" s="7">
        <v>277.95</v>
      </c>
      <c r="F766" t="s">
        <v>27</v>
      </c>
      <c r="G766" t="s">
        <v>31</v>
      </c>
      <c r="H766" s="12">
        <v>0.05</v>
      </c>
      <c r="I766" t="s">
        <v>34</v>
      </c>
      <c r="J766" s="7">
        <f>Table2[[#This Row],[UnitPrice]]*Table2[[#This Row],[Quantity]]*(1-Table2[[#This Row],[Discount]])</f>
        <v>2904.5774999999999</v>
      </c>
      <c r="K766" t="s">
        <v>39</v>
      </c>
      <c r="L766" t="s">
        <v>45</v>
      </c>
      <c r="M766">
        <v>0</v>
      </c>
      <c r="N766" t="s">
        <v>810</v>
      </c>
      <c r="O766" t="s">
        <v>2278</v>
      </c>
      <c r="P766" s="7">
        <v>44.04</v>
      </c>
      <c r="Q766" s="1">
        <v>45313</v>
      </c>
      <c r="R766">
        <f>WEEKNUM(Table2[[#This Row],[OrderDate]])</f>
        <v>4</v>
      </c>
      <c r="S766" s="1">
        <v>45320</v>
      </c>
      <c r="T766" t="s">
        <v>2917</v>
      </c>
    </row>
    <row r="767" spans="1:20" x14ac:dyDescent="0.35">
      <c r="A767" s="1">
        <v>45728</v>
      </c>
      <c r="B767" t="s">
        <v>2930</v>
      </c>
      <c r="C767" t="s">
        <v>21</v>
      </c>
      <c r="D767" s="9">
        <v>14</v>
      </c>
      <c r="E767" s="7">
        <v>554.08000000000004</v>
      </c>
      <c r="F767" t="s">
        <v>27</v>
      </c>
      <c r="G767" t="s">
        <v>31</v>
      </c>
      <c r="H767" s="12">
        <v>0.05</v>
      </c>
      <c r="I767" t="s">
        <v>36</v>
      </c>
      <c r="J767" s="7">
        <f>Table2[[#This Row],[UnitPrice]]*Table2[[#This Row],[Quantity]]*(1-Table2[[#This Row],[Discount]])</f>
        <v>7369.2640000000001</v>
      </c>
      <c r="K767" t="s">
        <v>42</v>
      </c>
      <c r="L767" t="s">
        <v>2937</v>
      </c>
      <c r="M767">
        <v>0</v>
      </c>
      <c r="N767" t="s">
        <v>811</v>
      </c>
      <c r="O767" t="s">
        <v>2279</v>
      </c>
      <c r="P767" s="7">
        <v>36.72</v>
      </c>
      <c r="Q767" s="1">
        <v>45728</v>
      </c>
      <c r="R767">
        <f>WEEKNUM(Table2[[#This Row],[OrderDate]])</f>
        <v>11</v>
      </c>
      <c r="S767" s="1">
        <v>45737</v>
      </c>
      <c r="T767" t="s">
        <v>2917</v>
      </c>
    </row>
    <row r="768" spans="1:20" x14ac:dyDescent="0.35">
      <c r="A768" s="1">
        <v>45716</v>
      </c>
      <c r="B768" t="s">
        <v>2934</v>
      </c>
      <c r="C768" t="s">
        <v>20</v>
      </c>
      <c r="D768" s="9">
        <v>15</v>
      </c>
      <c r="E768" s="7">
        <v>23.32</v>
      </c>
      <c r="F768" t="s">
        <v>27</v>
      </c>
      <c r="G768" t="s">
        <v>31</v>
      </c>
      <c r="H768" s="12">
        <v>0.05</v>
      </c>
      <c r="I768" t="s">
        <v>35</v>
      </c>
      <c r="J768" s="7">
        <f>Table2[[#This Row],[UnitPrice]]*Table2[[#This Row],[Quantity]]*(1-Table2[[#This Row],[Discount]])</f>
        <v>332.31</v>
      </c>
      <c r="K768" t="s">
        <v>41</v>
      </c>
      <c r="L768" t="s">
        <v>2937</v>
      </c>
      <c r="M768">
        <v>0</v>
      </c>
      <c r="N768" t="s">
        <v>812</v>
      </c>
      <c r="O768" t="s">
        <v>2280</v>
      </c>
      <c r="P768" s="7">
        <v>25.27</v>
      </c>
      <c r="Q768" s="1">
        <v>45716</v>
      </c>
      <c r="R768">
        <f>WEEKNUM(Table2[[#This Row],[OrderDate]])</f>
        <v>9</v>
      </c>
      <c r="S768" s="1">
        <v>45719</v>
      </c>
      <c r="T768" t="s">
        <v>2920</v>
      </c>
    </row>
    <row r="769" spans="1:20" x14ac:dyDescent="0.35">
      <c r="A769" s="1">
        <v>45435</v>
      </c>
      <c r="B769" t="s">
        <v>2930</v>
      </c>
      <c r="C769" t="s">
        <v>21</v>
      </c>
      <c r="D769" s="9">
        <v>4</v>
      </c>
      <c r="E769" s="7">
        <v>20.96</v>
      </c>
      <c r="F769" t="s">
        <v>29</v>
      </c>
      <c r="G769" t="s">
        <v>30</v>
      </c>
      <c r="H769" s="12">
        <v>0.05</v>
      </c>
      <c r="I769" t="s">
        <v>37</v>
      </c>
      <c r="J769" s="7">
        <f>Table2[[#This Row],[UnitPrice]]*Table2[[#This Row],[Quantity]]*(1-Table2[[#This Row],[Discount]])</f>
        <v>79.647999999999996</v>
      </c>
      <c r="K769" t="s">
        <v>38</v>
      </c>
      <c r="L769" t="s">
        <v>43</v>
      </c>
      <c r="M769">
        <v>1</v>
      </c>
      <c r="N769" t="s">
        <v>813</v>
      </c>
      <c r="O769" t="s">
        <v>2281</v>
      </c>
      <c r="P769" s="7">
        <v>33.67</v>
      </c>
      <c r="Q769" s="1">
        <v>45435</v>
      </c>
      <c r="R769">
        <f>WEEKNUM(Table2[[#This Row],[OrderDate]])</f>
        <v>21</v>
      </c>
      <c r="S769" s="1">
        <v>45443</v>
      </c>
      <c r="T769" t="s">
        <v>2917</v>
      </c>
    </row>
    <row r="770" spans="1:20" x14ac:dyDescent="0.35">
      <c r="A770" s="1">
        <v>45186</v>
      </c>
      <c r="B770" t="s">
        <v>2931</v>
      </c>
      <c r="C770" t="s">
        <v>21</v>
      </c>
      <c r="D770" s="9">
        <v>18</v>
      </c>
      <c r="E770" s="7">
        <v>132.29</v>
      </c>
      <c r="F770" t="s">
        <v>27</v>
      </c>
      <c r="G770" t="s">
        <v>30</v>
      </c>
      <c r="H770" s="12">
        <v>0.05</v>
      </c>
      <c r="I770" t="s">
        <v>36</v>
      </c>
      <c r="J770" s="7">
        <f>Table2[[#This Row],[UnitPrice]]*Table2[[#This Row],[Quantity]]*(1-Table2[[#This Row],[Discount]])</f>
        <v>2262.1589999999997</v>
      </c>
      <c r="K770" t="s">
        <v>40</v>
      </c>
      <c r="L770" t="s">
        <v>2937</v>
      </c>
      <c r="M770">
        <v>1</v>
      </c>
      <c r="N770" t="s">
        <v>814</v>
      </c>
      <c r="O770" t="s">
        <v>2282</v>
      </c>
      <c r="P770" s="7">
        <v>24.3</v>
      </c>
      <c r="Q770" s="1">
        <v>45186</v>
      </c>
      <c r="R770">
        <f>WEEKNUM(Table2[[#This Row],[OrderDate]])</f>
        <v>38</v>
      </c>
      <c r="S770" s="1">
        <v>45189</v>
      </c>
      <c r="T770" t="s">
        <v>2919</v>
      </c>
    </row>
    <row r="771" spans="1:20" x14ac:dyDescent="0.35">
      <c r="A771" s="1">
        <v>45090</v>
      </c>
      <c r="B771" t="s">
        <v>2930</v>
      </c>
      <c r="C771" t="s">
        <v>20</v>
      </c>
      <c r="D771" s="9">
        <v>19</v>
      </c>
      <c r="E771" s="7">
        <v>199.65</v>
      </c>
      <c r="F771" t="s">
        <v>27</v>
      </c>
      <c r="G771" t="s">
        <v>31</v>
      </c>
      <c r="H771" s="12">
        <v>0.1</v>
      </c>
      <c r="I771" t="s">
        <v>35</v>
      </c>
      <c r="J771" s="7">
        <f>Table2[[#This Row],[UnitPrice]]*Table2[[#This Row],[Quantity]]*(1-Table2[[#This Row],[Discount]])</f>
        <v>3414.0149999999999</v>
      </c>
      <c r="K771" t="s">
        <v>42</v>
      </c>
      <c r="L771" t="s">
        <v>44</v>
      </c>
      <c r="M771">
        <v>1</v>
      </c>
      <c r="N771" t="s">
        <v>815</v>
      </c>
      <c r="O771" t="s">
        <v>2283</v>
      </c>
      <c r="P771" s="7">
        <v>35.119999999999997</v>
      </c>
      <c r="Q771" s="1">
        <v>45090</v>
      </c>
      <c r="R771">
        <f>WEEKNUM(Table2[[#This Row],[OrderDate]])</f>
        <v>24</v>
      </c>
      <c r="S771" s="1">
        <v>45095</v>
      </c>
      <c r="T771" t="s">
        <v>2917</v>
      </c>
    </row>
    <row r="772" spans="1:20" x14ac:dyDescent="0.35">
      <c r="A772" s="1">
        <v>45808</v>
      </c>
      <c r="B772" t="s">
        <v>2933</v>
      </c>
      <c r="C772" t="s">
        <v>20</v>
      </c>
      <c r="D772" s="9">
        <v>16</v>
      </c>
      <c r="E772" s="7">
        <v>307</v>
      </c>
      <c r="F772" t="s">
        <v>27</v>
      </c>
      <c r="G772" t="s">
        <v>30</v>
      </c>
      <c r="H772" s="12">
        <v>0</v>
      </c>
      <c r="I772" t="s">
        <v>37</v>
      </c>
      <c r="J772" s="7">
        <f>Table2[[#This Row],[UnitPrice]]*Table2[[#This Row],[Quantity]]*(1-Table2[[#This Row],[Discount]])</f>
        <v>4912</v>
      </c>
      <c r="K772" t="s">
        <v>41</v>
      </c>
      <c r="L772" t="s">
        <v>43</v>
      </c>
      <c r="M772">
        <v>0</v>
      </c>
      <c r="N772" t="s">
        <v>816</v>
      </c>
      <c r="O772" t="s">
        <v>2284</v>
      </c>
      <c r="P772" s="7">
        <v>11.99</v>
      </c>
      <c r="Q772" s="1">
        <v>45808</v>
      </c>
      <c r="R772">
        <f>WEEKNUM(Table2[[#This Row],[OrderDate]])</f>
        <v>22</v>
      </c>
      <c r="S772" s="1">
        <v>45810</v>
      </c>
      <c r="T772" t="s">
        <v>2921</v>
      </c>
    </row>
    <row r="773" spans="1:20" x14ac:dyDescent="0.35">
      <c r="A773" s="1">
        <v>45210</v>
      </c>
      <c r="B773" t="s">
        <v>2930</v>
      </c>
      <c r="C773" t="s">
        <v>24</v>
      </c>
      <c r="D773" s="9">
        <v>1</v>
      </c>
      <c r="E773" s="7">
        <v>315.93</v>
      </c>
      <c r="F773" t="s">
        <v>28</v>
      </c>
      <c r="G773" t="s">
        <v>31</v>
      </c>
      <c r="H773" s="12">
        <v>0.15</v>
      </c>
      <c r="I773" t="s">
        <v>33</v>
      </c>
      <c r="J773" s="7">
        <f>Table2[[#This Row],[UnitPrice]]*Table2[[#This Row],[Quantity]]*(1-Table2[[#This Row],[Discount]])</f>
        <v>268.54050000000001</v>
      </c>
      <c r="K773" t="s">
        <v>40</v>
      </c>
      <c r="L773" t="s">
        <v>44</v>
      </c>
      <c r="M773">
        <v>0</v>
      </c>
      <c r="N773" t="s">
        <v>817</v>
      </c>
      <c r="O773" t="s">
        <v>2285</v>
      </c>
      <c r="P773" s="7">
        <v>43.2</v>
      </c>
      <c r="Q773" s="1">
        <v>45210</v>
      </c>
      <c r="R773">
        <f>WEEKNUM(Table2[[#This Row],[OrderDate]])</f>
        <v>41</v>
      </c>
      <c r="S773" s="1">
        <v>45213</v>
      </c>
      <c r="T773" t="s">
        <v>2917</v>
      </c>
    </row>
    <row r="774" spans="1:20" x14ac:dyDescent="0.35">
      <c r="A774" s="1">
        <v>45145</v>
      </c>
      <c r="B774" t="s">
        <v>2933</v>
      </c>
      <c r="C774" t="s">
        <v>25</v>
      </c>
      <c r="D774" s="9">
        <v>5</v>
      </c>
      <c r="E774" s="7">
        <v>596.97</v>
      </c>
      <c r="F774" t="s">
        <v>27</v>
      </c>
      <c r="G774" t="s">
        <v>31</v>
      </c>
      <c r="H774" s="12">
        <v>0</v>
      </c>
      <c r="I774" t="s">
        <v>32</v>
      </c>
      <c r="J774" s="7">
        <f>Table2[[#This Row],[UnitPrice]]*Table2[[#This Row],[Quantity]]*(1-Table2[[#This Row],[Discount]])</f>
        <v>2984.8500000000004</v>
      </c>
      <c r="K774" t="s">
        <v>42</v>
      </c>
      <c r="L774" t="s">
        <v>44</v>
      </c>
      <c r="M774">
        <v>0</v>
      </c>
      <c r="N774" t="s">
        <v>818</v>
      </c>
      <c r="O774" t="s">
        <v>2286</v>
      </c>
      <c r="P774" s="7">
        <v>14.43</v>
      </c>
      <c r="Q774" s="1">
        <v>45145</v>
      </c>
      <c r="R774">
        <f>WEEKNUM(Table2[[#This Row],[OrderDate]])</f>
        <v>32</v>
      </c>
      <c r="S774" s="1">
        <v>45152</v>
      </c>
      <c r="T774" t="s">
        <v>2921</v>
      </c>
    </row>
    <row r="775" spans="1:20" x14ac:dyDescent="0.35">
      <c r="A775" s="1">
        <v>45263</v>
      </c>
      <c r="B775" t="s">
        <v>2931</v>
      </c>
      <c r="C775" t="s">
        <v>19</v>
      </c>
      <c r="D775" s="9">
        <v>17</v>
      </c>
      <c r="E775" s="7">
        <v>376.98</v>
      </c>
      <c r="F775" t="s">
        <v>27</v>
      </c>
      <c r="G775" t="s">
        <v>31</v>
      </c>
      <c r="H775" s="12">
        <v>0.05</v>
      </c>
      <c r="I775" t="s">
        <v>35</v>
      </c>
      <c r="J775" s="7">
        <f>Table2[[#This Row],[UnitPrice]]*Table2[[#This Row],[Quantity]]*(1-Table2[[#This Row],[Discount]])</f>
        <v>6088.2269999999999</v>
      </c>
      <c r="K775" t="s">
        <v>41</v>
      </c>
      <c r="L775" t="s">
        <v>2937</v>
      </c>
      <c r="M775">
        <v>1</v>
      </c>
      <c r="N775" t="s">
        <v>819</v>
      </c>
      <c r="O775" t="s">
        <v>2287</v>
      </c>
      <c r="P775" s="7">
        <v>38.479999999999997</v>
      </c>
      <c r="Q775" s="1">
        <v>45263</v>
      </c>
      <c r="R775">
        <f>WEEKNUM(Table2[[#This Row],[OrderDate]])</f>
        <v>49</v>
      </c>
      <c r="S775" s="1">
        <v>45265</v>
      </c>
      <c r="T775" t="s">
        <v>2919</v>
      </c>
    </row>
    <row r="776" spans="1:20" x14ac:dyDescent="0.35">
      <c r="A776" s="1">
        <v>45505</v>
      </c>
      <c r="B776" t="s">
        <v>2934</v>
      </c>
      <c r="C776" t="s">
        <v>25</v>
      </c>
      <c r="D776" s="9">
        <v>6</v>
      </c>
      <c r="E776" s="7">
        <v>208.64</v>
      </c>
      <c r="F776" t="s">
        <v>29</v>
      </c>
      <c r="G776" t="s">
        <v>31</v>
      </c>
      <c r="H776" s="12">
        <v>0.1</v>
      </c>
      <c r="I776" t="s">
        <v>34</v>
      </c>
      <c r="J776" s="7">
        <f>Table2[[#This Row],[UnitPrice]]*Table2[[#This Row],[Quantity]]*(1-Table2[[#This Row],[Discount]])</f>
        <v>1126.6559999999999</v>
      </c>
      <c r="K776" t="s">
        <v>40</v>
      </c>
      <c r="L776" t="s">
        <v>43</v>
      </c>
      <c r="M776">
        <v>0</v>
      </c>
      <c r="N776" t="s">
        <v>820</v>
      </c>
      <c r="O776" t="s">
        <v>2288</v>
      </c>
      <c r="P776" s="7">
        <v>49.93</v>
      </c>
      <c r="Q776" s="1">
        <v>45505</v>
      </c>
      <c r="R776">
        <f>WEEKNUM(Table2[[#This Row],[OrderDate]])</f>
        <v>31</v>
      </c>
      <c r="S776" s="1">
        <v>45508</v>
      </c>
      <c r="T776" t="s">
        <v>2920</v>
      </c>
    </row>
    <row r="777" spans="1:20" x14ac:dyDescent="0.35">
      <c r="A777" s="1">
        <v>45005</v>
      </c>
      <c r="B777" t="s">
        <v>2930</v>
      </c>
      <c r="C777" t="s">
        <v>22</v>
      </c>
      <c r="D777" s="9">
        <v>7</v>
      </c>
      <c r="E777" s="7">
        <v>307.82</v>
      </c>
      <c r="F777" t="s">
        <v>26</v>
      </c>
      <c r="G777" t="s">
        <v>30</v>
      </c>
      <c r="H777" s="12">
        <v>0</v>
      </c>
      <c r="I777" t="s">
        <v>32</v>
      </c>
      <c r="J777" s="7">
        <f>Table2[[#This Row],[UnitPrice]]*Table2[[#This Row],[Quantity]]*(1-Table2[[#This Row],[Discount]])</f>
        <v>2154.7399999999998</v>
      </c>
      <c r="K777" t="s">
        <v>41</v>
      </c>
      <c r="L777" t="s">
        <v>45</v>
      </c>
      <c r="M777">
        <v>1</v>
      </c>
      <c r="N777" t="s">
        <v>821</v>
      </c>
      <c r="O777" t="s">
        <v>2289</v>
      </c>
      <c r="P777" s="7">
        <v>14</v>
      </c>
      <c r="Q777" s="1">
        <v>45005</v>
      </c>
      <c r="R777">
        <f>WEEKNUM(Table2[[#This Row],[OrderDate]])</f>
        <v>12</v>
      </c>
      <c r="S777" s="1">
        <v>45012</v>
      </c>
      <c r="T777" t="s">
        <v>2917</v>
      </c>
    </row>
    <row r="778" spans="1:20" x14ac:dyDescent="0.35">
      <c r="A778" s="1">
        <v>45838</v>
      </c>
      <c r="B778" t="s">
        <v>2934</v>
      </c>
      <c r="C778" t="s">
        <v>24</v>
      </c>
      <c r="D778" s="9">
        <v>13</v>
      </c>
      <c r="E778" s="7">
        <v>382.48</v>
      </c>
      <c r="F778" t="s">
        <v>29</v>
      </c>
      <c r="G778" t="s">
        <v>31</v>
      </c>
      <c r="H778" s="12">
        <v>0.05</v>
      </c>
      <c r="I778" t="s">
        <v>32</v>
      </c>
      <c r="J778" s="7">
        <f>Table2[[#This Row],[UnitPrice]]*Table2[[#This Row],[Quantity]]*(1-Table2[[#This Row],[Discount]])</f>
        <v>4723.6279999999997</v>
      </c>
      <c r="K778" t="s">
        <v>40</v>
      </c>
      <c r="L778" t="s">
        <v>45</v>
      </c>
      <c r="M778">
        <v>0</v>
      </c>
      <c r="N778" t="s">
        <v>822</v>
      </c>
      <c r="O778" t="s">
        <v>2290</v>
      </c>
      <c r="P778" s="7">
        <v>7.59</v>
      </c>
      <c r="Q778" s="1">
        <v>45838</v>
      </c>
      <c r="R778">
        <f>WEEKNUM(Table2[[#This Row],[OrderDate]])</f>
        <v>27</v>
      </c>
      <c r="S778" s="1">
        <v>45842</v>
      </c>
      <c r="T778" t="s">
        <v>2920</v>
      </c>
    </row>
    <row r="779" spans="1:20" x14ac:dyDescent="0.35">
      <c r="A779" s="1">
        <v>45693</v>
      </c>
      <c r="B779" t="s">
        <v>2932</v>
      </c>
      <c r="C779" t="s">
        <v>21</v>
      </c>
      <c r="D779" s="9">
        <v>9</v>
      </c>
      <c r="E779" s="7">
        <v>188.03</v>
      </c>
      <c r="F779" t="s">
        <v>26</v>
      </c>
      <c r="G779" t="s">
        <v>31</v>
      </c>
      <c r="H779" s="12">
        <v>0</v>
      </c>
      <c r="I779" t="s">
        <v>34</v>
      </c>
      <c r="J779" s="7">
        <f>Table2[[#This Row],[UnitPrice]]*Table2[[#This Row],[Quantity]]*(1-Table2[[#This Row],[Discount]])</f>
        <v>1692.27</v>
      </c>
      <c r="K779" t="s">
        <v>42</v>
      </c>
      <c r="L779" t="s">
        <v>43</v>
      </c>
      <c r="M779">
        <v>0</v>
      </c>
      <c r="N779" t="s">
        <v>823</v>
      </c>
      <c r="O779" t="s">
        <v>2291</v>
      </c>
      <c r="P779" s="7">
        <v>11.44</v>
      </c>
      <c r="Q779" s="1">
        <v>45693</v>
      </c>
      <c r="R779">
        <f>WEEKNUM(Table2[[#This Row],[OrderDate]])</f>
        <v>6</v>
      </c>
      <c r="S779" s="1">
        <v>45695</v>
      </c>
      <c r="T779" t="s">
        <v>2918</v>
      </c>
    </row>
    <row r="780" spans="1:20" x14ac:dyDescent="0.35">
      <c r="A780" s="1">
        <v>45431</v>
      </c>
      <c r="B780" t="s">
        <v>2930</v>
      </c>
      <c r="C780" t="s">
        <v>21</v>
      </c>
      <c r="D780" s="9">
        <v>17</v>
      </c>
      <c r="E780" s="7">
        <v>238.17</v>
      </c>
      <c r="F780" t="s">
        <v>29</v>
      </c>
      <c r="G780" t="s">
        <v>30</v>
      </c>
      <c r="H780" s="12">
        <v>0.15</v>
      </c>
      <c r="I780" t="s">
        <v>34</v>
      </c>
      <c r="J780" s="7">
        <f>Table2[[#This Row],[UnitPrice]]*Table2[[#This Row],[Quantity]]*(1-Table2[[#This Row],[Discount]])</f>
        <v>3441.5564999999997</v>
      </c>
      <c r="K780" t="s">
        <v>42</v>
      </c>
      <c r="L780" t="s">
        <v>43</v>
      </c>
      <c r="M780">
        <v>0</v>
      </c>
      <c r="N780" t="s">
        <v>824</v>
      </c>
      <c r="O780" t="s">
        <v>2292</v>
      </c>
      <c r="P780" s="7">
        <v>21.64</v>
      </c>
      <c r="Q780" s="1">
        <v>45431</v>
      </c>
      <c r="R780">
        <f>WEEKNUM(Table2[[#This Row],[OrderDate]])</f>
        <v>21</v>
      </c>
      <c r="S780" s="1">
        <v>45441</v>
      </c>
      <c r="T780" t="s">
        <v>2917</v>
      </c>
    </row>
    <row r="781" spans="1:20" x14ac:dyDescent="0.35">
      <c r="A781" s="1">
        <v>44989</v>
      </c>
      <c r="B781" t="s">
        <v>2931</v>
      </c>
      <c r="C781" t="s">
        <v>25</v>
      </c>
      <c r="D781" s="9">
        <v>10</v>
      </c>
      <c r="E781" s="7">
        <v>450.71</v>
      </c>
      <c r="F781" t="s">
        <v>26</v>
      </c>
      <c r="G781" t="s">
        <v>31</v>
      </c>
      <c r="H781" s="12">
        <v>0.1</v>
      </c>
      <c r="I781" t="s">
        <v>37</v>
      </c>
      <c r="J781" s="7">
        <f>Table2[[#This Row],[UnitPrice]]*Table2[[#This Row],[Quantity]]*(1-Table2[[#This Row],[Discount]])</f>
        <v>4056.3899999999994</v>
      </c>
      <c r="K781" t="s">
        <v>39</v>
      </c>
      <c r="L781" t="s">
        <v>44</v>
      </c>
      <c r="M781">
        <v>0</v>
      </c>
      <c r="N781" t="s">
        <v>825</v>
      </c>
      <c r="O781" t="s">
        <v>2293</v>
      </c>
      <c r="P781" s="7">
        <v>21.31</v>
      </c>
      <c r="Q781" s="1">
        <v>44989</v>
      </c>
      <c r="R781">
        <f>WEEKNUM(Table2[[#This Row],[OrderDate]])</f>
        <v>9</v>
      </c>
      <c r="S781" s="1">
        <v>44997</v>
      </c>
      <c r="T781" t="s">
        <v>2919</v>
      </c>
    </row>
    <row r="782" spans="1:20" x14ac:dyDescent="0.35">
      <c r="A782" s="1">
        <v>44948</v>
      </c>
      <c r="B782" t="s">
        <v>2934</v>
      </c>
      <c r="C782" t="s">
        <v>23</v>
      </c>
      <c r="D782" s="9">
        <v>2</v>
      </c>
      <c r="E782" s="7">
        <v>413.36</v>
      </c>
      <c r="F782" t="s">
        <v>29</v>
      </c>
      <c r="G782" t="s">
        <v>31</v>
      </c>
      <c r="H782" s="12">
        <v>0.1</v>
      </c>
      <c r="I782" t="s">
        <v>33</v>
      </c>
      <c r="J782" s="7">
        <f>Table2[[#This Row],[UnitPrice]]*Table2[[#This Row],[Quantity]]*(1-Table2[[#This Row],[Discount]])</f>
        <v>744.048</v>
      </c>
      <c r="K782" t="s">
        <v>38</v>
      </c>
      <c r="L782" t="s">
        <v>44</v>
      </c>
      <c r="M782">
        <v>1</v>
      </c>
      <c r="N782" t="s">
        <v>826</v>
      </c>
      <c r="O782" t="s">
        <v>1984</v>
      </c>
      <c r="P782" s="7">
        <v>41.69</v>
      </c>
      <c r="Q782" s="1">
        <v>44948</v>
      </c>
      <c r="R782">
        <f>WEEKNUM(Table2[[#This Row],[OrderDate]])</f>
        <v>4</v>
      </c>
      <c r="S782" s="1">
        <v>44950</v>
      </c>
      <c r="T782" t="s">
        <v>2920</v>
      </c>
    </row>
    <row r="783" spans="1:20" x14ac:dyDescent="0.35">
      <c r="A783" s="1">
        <v>45005</v>
      </c>
      <c r="B783" t="s">
        <v>2932</v>
      </c>
      <c r="C783" t="s">
        <v>20</v>
      </c>
      <c r="D783" s="9">
        <v>20</v>
      </c>
      <c r="E783" s="7">
        <v>536.71</v>
      </c>
      <c r="F783" t="s">
        <v>26</v>
      </c>
      <c r="G783" t="s">
        <v>31</v>
      </c>
      <c r="H783" s="12">
        <v>0.15</v>
      </c>
      <c r="I783" t="s">
        <v>35</v>
      </c>
      <c r="J783" s="7">
        <f>Table2[[#This Row],[UnitPrice]]*Table2[[#This Row],[Quantity]]*(1-Table2[[#This Row],[Discount]])</f>
        <v>9124.07</v>
      </c>
      <c r="K783" t="s">
        <v>41</v>
      </c>
      <c r="L783" t="s">
        <v>44</v>
      </c>
      <c r="M783">
        <v>0</v>
      </c>
      <c r="N783" t="s">
        <v>827</v>
      </c>
      <c r="O783" t="s">
        <v>2294</v>
      </c>
      <c r="P783" s="7">
        <v>41.42</v>
      </c>
      <c r="Q783" s="1">
        <v>45005</v>
      </c>
      <c r="R783">
        <f>WEEKNUM(Table2[[#This Row],[OrderDate]])</f>
        <v>12</v>
      </c>
      <c r="S783" s="1">
        <v>45010</v>
      </c>
      <c r="T783" t="s">
        <v>2918</v>
      </c>
    </row>
    <row r="784" spans="1:20" x14ac:dyDescent="0.35">
      <c r="A784" s="1">
        <v>45448</v>
      </c>
      <c r="B784" t="s">
        <v>2933</v>
      </c>
      <c r="C784" t="s">
        <v>20</v>
      </c>
      <c r="D784" s="9">
        <v>5</v>
      </c>
      <c r="E784" s="7">
        <v>206.42</v>
      </c>
      <c r="F784" t="s">
        <v>29</v>
      </c>
      <c r="G784" t="s">
        <v>31</v>
      </c>
      <c r="H784" s="12">
        <v>0.05</v>
      </c>
      <c r="I784" t="s">
        <v>33</v>
      </c>
      <c r="J784" s="7">
        <f>Table2[[#This Row],[UnitPrice]]*Table2[[#This Row],[Quantity]]*(1-Table2[[#This Row],[Discount]])</f>
        <v>980.49499999999989</v>
      </c>
      <c r="K784" t="s">
        <v>41</v>
      </c>
      <c r="L784" t="s">
        <v>45</v>
      </c>
      <c r="M784">
        <v>0</v>
      </c>
      <c r="N784" t="s">
        <v>828</v>
      </c>
      <c r="O784" t="s">
        <v>2295</v>
      </c>
      <c r="P784" s="7">
        <v>35.51</v>
      </c>
      <c r="Q784" s="1">
        <v>45448</v>
      </c>
      <c r="R784">
        <f>WEEKNUM(Table2[[#This Row],[OrderDate]])</f>
        <v>23</v>
      </c>
      <c r="S784" s="1">
        <v>45456</v>
      </c>
      <c r="T784" t="s">
        <v>2921</v>
      </c>
    </row>
    <row r="785" spans="1:20" x14ac:dyDescent="0.35">
      <c r="A785" s="1">
        <v>45482</v>
      </c>
      <c r="B785" t="s">
        <v>2930</v>
      </c>
      <c r="C785" t="s">
        <v>25</v>
      </c>
      <c r="D785" s="9">
        <v>4</v>
      </c>
      <c r="E785" s="7">
        <v>256.83</v>
      </c>
      <c r="F785" t="s">
        <v>27</v>
      </c>
      <c r="G785" t="s">
        <v>30</v>
      </c>
      <c r="H785" s="12">
        <v>0.15</v>
      </c>
      <c r="I785" t="s">
        <v>35</v>
      </c>
      <c r="J785" s="7">
        <f>Table2[[#This Row],[UnitPrice]]*Table2[[#This Row],[Quantity]]*(1-Table2[[#This Row],[Discount]])</f>
        <v>873.22199999999987</v>
      </c>
      <c r="K785" t="s">
        <v>42</v>
      </c>
      <c r="L785" t="s">
        <v>2937</v>
      </c>
      <c r="M785">
        <v>1</v>
      </c>
      <c r="N785" t="s">
        <v>829</v>
      </c>
      <c r="O785" t="s">
        <v>2296</v>
      </c>
      <c r="P785" s="7">
        <v>44.72</v>
      </c>
      <c r="Q785" s="1">
        <v>45482</v>
      </c>
      <c r="R785">
        <f>WEEKNUM(Table2[[#This Row],[OrderDate]])</f>
        <v>28</v>
      </c>
      <c r="S785" s="1">
        <v>45490</v>
      </c>
      <c r="T785" t="s">
        <v>2917</v>
      </c>
    </row>
    <row r="786" spans="1:20" x14ac:dyDescent="0.35">
      <c r="A786" s="1">
        <v>45724</v>
      </c>
      <c r="B786" t="s">
        <v>2932</v>
      </c>
      <c r="C786" t="s">
        <v>23</v>
      </c>
      <c r="D786" s="9">
        <v>1</v>
      </c>
      <c r="E786" s="7">
        <v>247.04</v>
      </c>
      <c r="F786" t="s">
        <v>28</v>
      </c>
      <c r="G786" t="s">
        <v>30</v>
      </c>
      <c r="H786" s="12">
        <v>0</v>
      </c>
      <c r="I786" t="s">
        <v>37</v>
      </c>
      <c r="J786" s="7">
        <f>Table2[[#This Row],[UnitPrice]]*Table2[[#This Row],[Quantity]]*(1-Table2[[#This Row],[Discount]])</f>
        <v>247.04</v>
      </c>
      <c r="K786" t="s">
        <v>40</v>
      </c>
      <c r="L786" t="s">
        <v>43</v>
      </c>
      <c r="M786">
        <v>0</v>
      </c>
      <c r="N786" t="s">
        <v>830</v>
      </c>
      <c r="O786" t="s">
        <v>2297</v>
      </c>
      <c r="P786" s="7">
        <v>26.86</v>
      </c>
      <c r="Q786" s="1">
        <v>45724</v>
      </c>
      <c r="R786">
        <f>WEEKNUM(Table2[[#This Row],[OrderDate]])</f>
        <v>10</v>
      </c>
      <c r="S786" s="1">
        <v>45729</v>
      </c>
      <c r="T786" t="s">
        <v>2918</v>
      </c>
    </row>
    <row r="787" spans="1:20" x14ac:dyDescent="0.35">
      <c r="A787" s="1">
        <v>45829</v>
      </c>
      <c r="B787" t="s">
        <v>2932</v>
      </c>
      <c r="C787" t="s">
        <v>24</v>
      </c>
      <c r="D787" s="9">
        <v>3</v>
      </c>
      <c r="E787" s="7">
        <v>583.38</v>
      </c>
      <c r="F787" t="s">
        <v>26</v>
      </c>
      <c r="G787" t="s">
        <v>31</v>
      </c>
      <c r="H787" s="12">
        <v>0.15</v>
      </c>
      <c r="I787" t="s">
        <v>36</v>
      </c>
      <c r="J787" s="7">
        <f>Table2[[#This Row],[UnitPrice]]*Table2[[#This Row],[Quantity]]*(1-Table2[[#This Row],[Discount]])</f>
        <v>1487.6189999999999</v>
      </c>
      <c r="K787" t="s">
        <v>42</v>
      </c>
      <c r="L787" t="s">
        <v>45</v>
      </c>
      <c r="M787">
        <v>1</v>
      </c>
      <c r="N787" t="s">
        <v>831</v>
      </c>
      <c r="O787" t="s">
        <v>2298</v>
      </c>
      <c r="P787" s="7">
        <v>30.12</v>
      </c>
      <c r="Q787" s="1">
        <v>45829</v>
      </c>
      <c r="R787">
        <f>WEEKNUM(Table2[[#This Row],[OrderDate]])</f>
        <v>25</v>
      </c>
      <c r="S787" s="1">
        <v>45838</v>
      </c>
      <c r="T787" t="s">
        <v>2918</v>
      </c>
    </row>
    <row r="788" spans="1:20" x14ac:dyDescent="0.35">
      <c r="A788" s="1">
        <v>45836</v>
      </c>
      <c r="B788" t="s">
        <v>2931</v>
      </c>
      <c r="C788" t="s">
        <v>24</v>
      </c>
      <c r="D788" s="9">
        <v>13</v>
      </c>
      <c r="E788" s="7">
        <v>341.38</v>
      </c>
      <c r="F788" t="s">
        <v>28</v>
      </c>
      <c r="G788" t="s">
        <v>31</v>
      </c>
      <c r="H788" s="12">
        <v>0.15</v>
      </c>
      <c r="I788" t="s">
        <v>33</v>
      </c>
      <c r="J788" s="7">
        <f>Table2[[#This Row],[UnitPrice]]*Table2[[#This Row],[Quantity]]*(1-Table2[[#This Row],[Discount]])</f>
        <v>3772.2489999999993</v>
      </c>
      <c r="K788" t="s">
        <v>42</v>
      </c>
      <c r="L788" t="s">
        <v>2937</v>
      </c>
      <c r="M788">
        <v>0</v>
      </c>
      <c r="N788" t="s">
        <v>832</v>
      </c>
      <c r="O788" t="s">
        <v>2299</v>
      </c>
      <c r="P788" s="7">
        <v>18.2</v>
      </c>
      <c r="Q788" s="1">
        <v>45836</v>
      </c>
      <c r="R788">
        <f>WEEKNUM(Table2[[#This Row],[OrderDate]])</f>
        <v>26</v>
      </c>
      <c r="S788" s="1">
        <v>45839</v>
      </c>
      <c r="T788" t="s">
        <v>2919</v>
      </c>
    </row>
    <row r="789" spans="1:20" x14ac:dyDescent="0.35">
      <c r="A789" s="1">
        <v>45752</v>
      </c>
      <c r="B789" t="s">
        <v>2933</v>
      </c>
      <c r="C789" t="s">
        <v>22</v>
      </c>
      <c r="D789" s="9">
        <v>19</v>
      </c>
      <c r="E789" s="7">
        <v>267.02999999999997</v>
      </c>
      <c r="F789" t="s">
        <v>29</v>
      </c>
      <c r="G789" t="s">
        <v>30</v>
      </c>
      <c r="H789" s="12">
        <v>0.15</v>
      </c>
      <c r="I789" t="s">
        <v>37</v>
      </c>
      <c r="J789" s="7">
        <f>Table2[[#This Row],[UnitPrice]]*Table2[[#This Row],[Quantity]]*(1-Table2[[#This Row],[Discount]])</f>
        <v>4312.5344999999998</v>
      </c>
      <c r="K789" t="s">
        <v>38</v>
      </c>
      <c r="L789" t="s">
        <v>44</v>
      </c>
      <c r="M789">
        <v>1</v>
      </c>
      <c r="N789" t="s">
        <v>833</v>
      </c>
      <c r="O789" t="s">
        <v>2300</v>
      </c>
      <c r="P789" s="7">
        <v>35.82</v>
      </c>
      <c r="Q789" s="1">
        <v>45752</v>
      </c>
      <c r="R789">
        <f>WEEKNUM(Table2[[#This Row],[OrderDate]])</f>
        <v>14</v>
      </c>
      <c r="S789" s="1">
        <v>45760</v>
      </c>
      <c r="T789" t="s">
        <v>2921</v>
      </c>
    </row>
    <row r="790" spans="1:20" x14ac:dyDescent="0.35">
      <c r="A790" s="1">
        <v>45356</v>
      </c>
      <c r="B790" t="s">
        <v>2932</v>
      </c>
      <c r="C790" t="s">
        <v>25</v>
      </c>
      <c r="D790" s="9">
        <v>7</v>
      </c>
      <c r="E790" s="7">
        <v>77.69</v>
      </c>
      <c r="F790" t="s">
        <v>29</v>
      </c>
      <c r="G790" t="s">
        <v>30</v>
      </c>
      <c r="H790" s="12">
        <v>0</v>
      </c>
      <c r="I790" t="s">
        <v>35</v>
      </c>
      <c r="J790" s="7">
        <f>Table2[[#This Row],[UnitPrice]]*Table2[[#This Row],[Quantity]]*(1-Table2[[#This Row],[Discount]])</f>
        <v>543.82999999999993</v>
      </c>
      <c r="K790" t="s">
        <v>40</v>
      </c>
      <c r="L790" t="s">
        <v>44</v>
      </c>
      <c r="M790">
        <v>0</v>
      </c>
      <c r="N790" t="s">
        <v>834</v>
      </c>
      <c r="O790" t="s">
        <v>2301</v>
      </c>
      <c r="P790" s="7">
        <v>41.89</v>
      </c>
      <c r="Q790" s="1">
        <v>45356</v>
      </c>
      <c r="R790">
        <f>WEEKNUM(Table2[[#This Row],[OrderDate]])</f>
        <v>10</v>
      </c>
      <c r="S790" s="1">
        <v>45363</v>
      </c>
      <c r="T790" t="s">
        <v>2918</v>
      </c>
    </row>
    <row r="791" spans="1:20" x14ac:dyDescent="0.35">
      <c r="A791" s="1">
        <v>45360</v>
      </c>
      <c r="B791" t="s">
        <v>2930</v>
      </c>
      <c r="C791" t="s">
        <v>20</v>
      </c>
      <c r="D791" s="9">
        <v>20</v>
      </c>
      <c r="E791" s="7">
        <v>312.43</v>
      </c>
      <c r="F791" t="s">
        <v>28</v>
      </c>
      <c r="G791" t="s">
        <v>31</v>
      </c>
      <c r="H791" s="12">
        <v>0</v>
      </c>
      <c r="I791" t="s">
        <v>35</v>
      </c>
      <c r="J791" s="7">
        <f>Table2[[#This Row],[UnitPrice]]*Table2[[#This Row],[Quantity]]*(1-Table2[[#This Row],[Discount]])</f>
        <v>6248.6</v>
      </c>
      <c r="K791" t="s">
        <v>40</v>
      </c>
      <c r="L791" t="s">
        <v>44</v>
      </c>
      <c r="M791">
        <v>0</v>
      </c>
      <c r="N791" t="s">
        <v>835</v>
      </c>
      <c r="O791" t="s">
        <v>2302</v>
      </c>
      <c r="P791" s="7">
        <v>28.11</v>
      </c>
      <c r="Q791" s="1">
        <v>45360</v>
      </c>
      <c r="R791">
        <f>WEEKNUM(Table2[[#This Row],[OrderDate]])</f>
        <v>10</v>
      </c>
      <c r="S791" s="1">
        <v>45362</v>
      </c>
      <c r="T791" t="s">
        <v>2917</v>
      </c>
    </row>
    <row r="792" spans="1:20" x14ac:dyDescent="0.35">
      <c r="A792" s="1">
        <v>45713</v>
      </c>
      <c r="B792" t="s">
        <v>2934</v>
      </c>
      <c r="C792" t="s">
        <v>23</v>
      </c>
      <c r="D792" s="9">
        <v>19</v>
      </c>
      <c r="E792" s="7">
        <v>14.1</v>
      </c>
      <c r="F792" t="s">
        <v>28</v>
      </c>
      <c r="G792" t="s">
        <v>30</v>
      </c>
      <c r="H792" s="12">
        <v>0.05</v>
      </c>
      <c r="I792" t="s">
        <v>35</v>
      </c>
      <c r="J792" s="7">
        <f>Table2[[#This Row],[UnitPrice]]*Table2[[#This Row],[Quantity]]*(1-Table2[[#This Row],[Discount]])</f>
        <v>254.50499999999997</v>
      </c>
      <c r="K792" t="s">
        <v>42</v>
      </c>
      <c r="L792" t="s">
        <v>43</v>
      </c>
      <c r="M792">
        <v>0</v>
      </c>
      <c r="N792" t="s">
        <v>836</v>
      </c>
      <c r="O792" t="s">
        <v>2303</v>
      </c>
      <c r="P792" s="7">
        <v>37.840000000000003</v>
      </c>
      <c r="Q792" s="1">
        <v>45713</v>
      </c>
      <c r="R792">
        <f>WEEKNUM(Table2[[#This Row],[OrderDate]])</f>
        <v>9</v>
      </c>
      <c r="S792" s="1">
        <v>45716</v>
      </c>
      <c r="T792" t="s">
        <v>2920</v>
      </c>
    </row>
    <row r="793" spans="1:20" x14ac:dyDescent="0.35">
      <c r="A793" s="1">
        <v>45612</v>
      </c>
      <c r="B793" t="s">
        <v>2933</v>
      </c>
      <c r="C793" t="s">
        <v>24</v>
      </c>
      <c r="D793" s="9">
        <v>17</v>
      </c>
      <c r="E793" s="7">
        <v>266.83</v>
      </c>
      <c r="F793" t="s">
        <v>29</v>
      </c>
      <c r="G793" t="s">
        <v>31</v>
      </c>
      <c r="H793" s="12">
        <v>0.05</v>
      </c>
      <c r="I793" t="s">
        <v>34</v>
      </c>
      <c r="J793" s="7">
        <f>Table2[[#This Row],[UnitPrice]]*Table2[[#This Row],[Quantity]]*(1-Table2[[#This Row],[Discount]])</f>
        <v>4309.3044999999993</v>
      </c>
      <c r="K793" t="s">
        <v>40</v>
      </c>
      <c r="L793" t="s">
        <v>45</v>
      </c>
      <c r="M793">
        <v>0</v>
      </c>
      <c r="N793" t="s">
        <v>837</v>
      </c>
      <c r="O793" t="s">
        <v>2304</v>
      </c>
      <c r="P793" s="7">
        <v>32.520000000000003</v>
      </c>
      <c r="Q793" s="1">
        <v>45612</v>
      </c>
      <c r="R793">
        <f>WEEKNUM(Table2[[#This Row],[OrderDate]])</f>
        <v>46</v>
      </c>
      <c r="S793" s="1">
        <v>45619</v>
      </c>
      <c r="T793" t="s">
        <v>2921</v>
      </c>
    </row>
    <row r="794" spans="1:20" x14ac:dyDescent="0.35">
      <c r="A794" s="1">
        <v>45505</v>
      </c>
      <c r="B794" t="s">
        <v>2932</v>
      </c>
      <c r="C794" t="s">
        <v>25</v>
      </c>
      <c r="D794" s="9">
        <v>20</v>
      </c>
      <c r="E794" s="7">
        <v>248.11</v>
      </c>
      <c r="F794" t="s">
        <v>29</v>
      </c>
      <c r="G794" t="s">
        <v>30</v>
      </c>
      <c r="H794" s="12">
        <v>0.05</v>
      </c>
      <c r="I794" t="s">
        <v>35</v>
      </c>
      <c r="J794" s="7">
        <f>Table2[[#This Row],[UnitPrice]]*Table2[[#This Row],[Quantity]]*(1-Table2[[#This Row],[Discount]])</f>
        <v>4714.09</v>
      </c>
      <c r="K794" t="s">
        <v>38</v>
      </c>
      <c r="L794" t="s">
        <v>44</v>
      </c>
      <c r="M794">
        <v>0</v>
      </c>
      <c r="N794" t="s">
        <v>838</v>
      </c>
      <c r="O794" t="s">
        <v>2305</v>
      </c>
      <c r="P794" s="7">
        <v>22.96</v>
      </c>
      <c r="Q794" s="1">
        <v>45505</v>
      </c>
      <c r="R794">
        <f>WEEKNUM(Table2[[#This Row],[OrderDate]])</f>
        <v>31</v>
      </c>
      <c r="S794" s="1">
        <v>45510</v>
      </c>
      <c r="T794" t="s">
        <v>2918</v>
      </c>
    </row>
    <row r="795" spans="1:20" x14ac:dyDescent="0.35">
      <c r="A795" s="1">
        <v>45402</v>
      </c>
      <c r="B795" t="s">
        <v>2933</v>
      </c>
      <c r="C795" t="s">
        <v>22</v>
      </c>
      <c r="D795" s="9">
        <v>5</v>
      </c>
      <c r="E795" s="7">
        <v>316.76</v>
      </c>
      <c r="F795" t="s">
        <v>26</v>
      </c>
      <c r="G795" t="s">
        <v>31</v>
      </c>
      <c r="H795" s="12">
        <v>0.05</v>
      </c>
      <c r="I795" t="s">
        <v>33</v>
      </c>
      <c r="J795" s="7">
        <f>Table2[[#This Row],[UnitPrice]]*Table2[[#This Row],[Quantity]]*(1-Table2[[#This Row],[Discount]])</f>
        <v>1504.61</v>
      </c>
      <c r="K795" t="s">
        <v>39</v>
      </c>
      <c r="L795" t="s">
        <v>43</v>
      </c>
      <c r="M795">
        <v>1</v>
      </c>
      <c r="N795" t="s">
        <v>839</v>
      </c>
      <c r="O795" t="s">
        <v>2157</v>
      </c>
      <c r="P795" s="7">
        <v>12.7</v>
      </c>
      <c r="Q795" s="1">
        <v>45402</v>
      </c>
      <c r="R795">
        <f>WEEKNUM(Table2[[#This Row],[OrderDate]])</f>
        <v>16</v>
      </c>
      <c r="S795" s="1">
        <v>45412</v>
      </c>
      <c r="T795" t="s">
        <v>2921</v>
      </c>
    </row>
    <row r="796" spans="1:20" x14ac:dyDescent="0.35">
      <c r="A796" s="1">
        <v>45402</v>
      </c>
      <c r="B796" t="s">
        <v>2932</v>
      </c>
      <c r="C796" t="s">
        <v>19</v>
      </c>
      <c r="D796" s="9">
        <v>2</v>
      </c>
      <c r="E796" s="7">
        <v>169.62</v>
      </c>
      <c r="F796" t="s">
        <v>28</v>
      </c>
      <c r="G796" t="s">
        <v>31</v>
      </c>
      <c r="H796" s="12">
        <v>0.1</v>
      </c>
      <c r="I796" t="s">
        <v>33</v>
      </c>
      <c r="J796" s="7">
        <f>Table2[[#This Row],[UnitPrice]]*Table2[[#This Row],[Quantity]]*(1-Table2[[#This Row],[Discount]])</f>
        <v>305.31600000000003</v>
      </c>
      <c r="K796" t="s">
        <v>41</v>
      </c>
      <c r="L796" t="s">
        <v>2937</v>
      </c>
      <c r="M796">
        <v>0</v>
      </c>
      <c r="N796" t="s">
        <v>840</v>
      </c>
      <c r="O796" t="s">
        <v>2306</v>
      </c>
      <c r="P796" s="7">
        <v>45.41</v>
      </c>
      <c r="Q796" s="1">
        <v>45402</v>
      </c>
      <c r="R796">
        <f>WEEKNUM(Table2[[#This Row],[OrderDate]])</f>
        <v>16</v>
      </c>
      <c r="S796" s="1">
        <v>45407</v>
      </c>
      <c r="T796" t="s">
        <v>2918</v>
      </c>
    </row>
    <row r="797" spans="1:20" x14ac:dyDescent="0.35">
      <c r="A797" s="1">
        <v>45191</v>
      </c>
      <c r="B797" t="s">
        <v>2931</v>
      </c>
      <c r="C797" t="s">
        <v>19</v>
      </c>
      <c r="D797" s="9">
        <v>19</v>
      </c>
      <c r="E797" s="7">
        <v>35.380000000000003</v>
      </c>
      <c r="F797" t="s">
        <v>27</v>
      </c>
      <c r="G797" t="s">
        <v>31</v>
      </c>
      <c r="H797" s="12">
        <v>0.15</v>
      </c>
      <c r="I797" t="s">
        <v>36</v>
      </c>
      <c r="J797" s="7">
        <f>Table2[[#This Row],[UnitPrice]]*Table2[[#This Row],[Quantity]]*(1-Table2[[#This Row],[Discount]])</f>
        <v>571.38700000000006</v>
      </c>
      <c r="K797" t="s">
        <v>38</v>
      </c>
      <c r="L797" t="s">
        <v>44</v>
      </c>
      <c r="M797">
        <v>0</v>
      </c>
      <c r="N797" t="s">
        <v>841</v>
      </c>
      <c r="O797" t="s">
        <v>2307</v>
      </c>
      <c r="P797" s="7">
        <v>7.06</v>
      </c>
      <c r="Q797" s="1">
        <v>45191</v>
      </c>
      <c r="R797">
        <f>WEEKNUM(Table2[[#This Row],[OrderDate]])</f>
        <v>38</v>
      </c>
      <c r="S797" s="1">
        <v>45197</v>
      </c>
      <c r="T797" t="s">
        <v>2919</v>
      </c>
    </row>
    <row r="798" spans="1:20" x14ac:dyDescent="0.35">
      <c r="A798" s="1">
        <v>45709</v>
      </c>
      <c r="B798" t="s">
        <v>2933</v>
      </c>
      <c r="C798" t="s">
        <v>22</v>
      </c>
      <c r="D798" s="9">
        <v>3</v>
      </c>
      <c r="E798" s="7">
        <v>264.08</v>
      </c>
      <c r="F798" t="s">
        <v>27</v>
      </c>
      <c r="G798" t="s">
        <v>31</v>
      </c>
      <c r="H798" s="12">
        <v>0.1</v>
      </c>
      <c r="I798" t="s">
        <v>36</v>
      </c>
      <c r="J798" s="7">
        <f>Table2[[#This Row],[UnitPrice]]*Table2[[#This Row],[Quantity]]*(1-Table2[[#This Row],[Discount]])</f>
        <v>713.01600000000008</v>
      </c>
      <c r="K798" t="s">
        <v>38</v>
      </c>
      <c r="L798" t="s">
        <v>2937</v>
      </c>
      <c r="M798">
        <v>0</v>
      </c>
      <c r="N798" t="s">
        <v>842</v>
      </c>
      <c r="O798" t="s">
        <v>2308</v>
      </c>
      <c r="P798" s="7">
        <v>25.39</v>
      </c>
      <c r="Q798" s="1">
        <v>45709</v>
      </c>
      <c r="R798">
        <f>WEEKNUM(Table2[[#This Row],[OrderDate]])</f>
        <v>8</v>
      </c>
      <c r="S798" s="1">
        <v>45718</v>
      </c>
      <c r="T798" t="s">
        <v>2921</v>
      </c>
    </row>
    <row r="799" spans="1:20" x14ac:dyDescent="0.35">
      <c r="A799" s="1">
        <v>45832</v>
      </c>
      <c r="B799" t="s">
        <v>2930</v>
      </c>
      <c r="C799" t="s">
        <v>24</v>
      </c>
      <c r="D799" s="9">
        <v>5</v>
      </c>
      <c r="E799" s="7">
        <v>137.56</v>
      </c>
      <c r="F799" t="s">
        <v>28</v>
      </c>
      <c r="G799" t="s">
        <v>30</v>
      </c>
      <c r="H799" s="12">
        <v>0.15</v>
      </c>
      <c r="I799" t="s">
        <v>36</v>
      </c>
      <c r="J799" s="7">
        <f>Table2[[#This Row],[UnitPrice]]*Table2[[#This Row],[Quantity]]*(1-Table2[[#This Row],[Discount]])</f>
        <v>584.63</v>
      </c>
      <c r="K799" t="s">
        <v>41</v>
      </c>
      <c r="L799" t="s">
        <v>44</v>
      </c>
      <c r="M799">
        <v>0</v>
      </c>
      <c r="N799" t="s">
        <v>843</v>
      </c>
      <c r="O799" t="s">
        <v>1650</v>
      </c>
      <c r="P799" s="7">
        <v>6.45</v>
      </c>
      <c r="Q799" s="1">
        <v>45832</v>
      </c>
      <c r="R799">
        <f>WEEKNUM(Table2[[#This Row],[OrderDate]])</f>
        <v>26</v>
      </c>
      <c r="S799" s="1">
        <v>45839</v>
      </c>
      <c r="T799" t="s">
        <v>2917</v>
      </c>
    </row>
    <row r="800" spans="1:20" x14ac:dyDescent="0.35">
      <c r="A800" s="1">
        <v>45258</v>
      </c>
      <c r="B800" t="s">
        <v>2934</v>
      </c>
      <c r="C800" t="s">
        <v>19</v>
      </c>
      <c r="D800" s="9">
        <v>8</v>
      </c>
      <c r="E800" s="7">
        <v>157.93</v>
      </c>
      <c r="F800" t="s">
        <v>26</v>
      </c>
      <c r="G800" t="s">
        <v>31</v>
      </c>
      <c r="H800" s="12">
        <v>0.15</v>
      </c>
      <c r="I800" t="s">
        <v>36</v>
      </c>
      <c r="J800" s="7">
        <f>Table2[[#This Row],[UnitPrice]]*Table2[[#This Row],[Quantity]]*(1-Table2[[#This Row],[Discount]])</f>
        <v>1073.924</v>
      </c>
      <c r="K800" t="s">
        <v>38</v>
      </c>
      <c r="L800" t="s">
        <v>44</v>
      </c>
      <c r="M800">
        <v>0</v>
      </c>
      <c r="N800" t="s">
        <v>844</v>
      </c>
      <c r="O800" t="s">
        <v>2309</v>
      </c>
      <c r="P800" s="7">
        <v>6.31</v>
      </c>
      <c r="Q800" s="1">
        <v>45258</v>
      </c>
      <c r="R800">
        <f>WEEKNUM(Table2[[#This Row],[OrderDate]])</f>
        <v>48</v>
      </c>
      <c r="S800" s="1">
        <v>45265</v>
      </c>
      <c r="T800" t="s">
        <v>2920</v>
      </c>
    </row>
    <row r="801" spans="1:20" x14ac:dyDescent="0.35">
      <c r="A801" s="1">
        <v>45390</v>
      </c>
      <c r="B801" t="s">
        <v>2931</v>
      </c>
      <c r="C801" t="s">
        <v>21</v>
      </c>
      <c r="D801" s="9">
        <v>6</v>
      </c>
      <c r="E801" s="7">
        <v>126.86</v>
      </c>
      <c r="F801" t="s">
        <v>28</v>
      </c>
      <c r="G801" t="s">
        <v>30</v>
      </c>
      <c r="H801" s="12">
        <v>0.05</v>
      </c>
      <c r="I801" t="s">
        <v>32</v>
      </c>
      <c r="J801" s="7">
        <f>Table2[[#This Row],[UnitPrice]]*Table2[[#This Row],[Quantity]]*(1-Table2[[#This Row],[Discount]])</f>
        <v>723.10199999999998</v>
      </c>
      <c r="K801" t="s">
        <v>41</v>
      </c>
      <c r="L801" t="s">
        <v>43</v>
      </c>
      <c r="M801">
        <v>0</v>
      </c>
      <c r="N801" t="s">
        <v>845</v>
      </c>
      <c r="O801" t="s">
        <v>2310</v>
      </c>
      <c r="P801" s="7">
        <v>35.49</v>
      </c>
      <c r="Q801" s="1">
        <v>45390</v>
      </c>
      <c r="R801">
        <f>WEEKNUM(Table2[[#This Row],[OrderDate]])</f>
        <v>15</v>
      </c>
      <c r="S801" s="1">
        <v>45399</v>
      </c>
      <c r="T801" t="s">
        <v>2919</v>
      </c>
    </row>
    <row r="802" spans="1:20" x14ac:dyDescent="0.35">
      <c r="A802" s="1">
        <v>45664</v>
      </c>
      <c r="B802" t="s">
        <v>2931</v>
      </c>
      <c r="C802" t="s">
        <v>22</v>
      </c>
      <c r="D802" s="9">
        <v>15</v>
      </c>
      <c r="E802" s="7">
        <v>240.05</v>
      </c>
      <c r="F802" t="s">
        <v>28</v>
      </c>
      <c r="G802" t="s">
        <v>31</v>
      </c>
      <c r="H802" s="12">
        <v>0.05</v>
      </c>
      <c r="I802" t="s">
        <v>35</v>
      </c>
      <c r="J802" s="7">
        <f>Table2[[#This Row],[UnitPrice]]*Table2[[#This Row],[Quantity]]*(1-Table2[[#This Row],[Discount]])</f>
        <v>3420.7124999999996</v>
      </c>
      <c r="K802" t="s">
        <v>40</v>
      </c>
      <c r="L802" t="s">
        <v>43</v>
      </c>
      <c r="M802">
        <v>0</v>
      </c>
      <c r="N802" t="s">
        <v>846</v>
      </c>
      <c r="O802" t="s">
        <v>2216</v>
      </c>
      <c r="P802" s="7">
        <v>14.31</v>
      </c>
      <c r="Q802" s="1">
        <v>45664</v>
      </c>
      <c r="R802">
        <f>WEEKNUM(Table2[[#This Row],[OrderDate]])</f>
        <v>2</v>
      </c>
      <c r="S802" s="1">
        <v>45671</v>
      </c>
      <c r="T802" t="s">
        <v>2919</v>
      </c>
    </row>
    <row r="803" spans="1:20" x14ac:dyDescent="0.35">
      <c r="A803" s="1">
        <v>44981</v>
      </c>
      <c r="B803" t="s">
        <v>2932</v>
      </c>
      <c r="C803" t="s">
        <v>24</v>
      </c>
      <c r="D803" s="9">
        <v>3</v>
      </c>
      <c r="E803" s="7">
        <v>37.630000000000003</v>
      </c>
      <c r="F803" t="s">
        <v>27</v>
      </c>
      <c r="G803" t="s">
        <v>30</v>
      </c>
      <c r="H803" s="12">
        <v>0.1</v>
      </c>
      <c r="I803" t="s">
        <v>35</v>
      </c>
      <c r="J803" s="7">
        <f>Table2[[#This Row],[UnitPrice]]*Table2[[#This Row],[Quantity]]*(1-Table2[[#This Row],[Discount]])</f>
        <v>101.60100000000001</v>
      </c>
      <c r="K803" t="s">
        <v>41</v>
      </c>
      <c r="L803" t="s">
        <v>43</v>
      </c>
      <c r="M803">
        <v>0</v>
      </c>
      <c r="N803" t="s">
        <v>847</v>
      </c>
      <c r="O803" t="s">
        <v>2311</v>
      </c>
      <c r="P803" s="7">
        <v>43.7</v>
      </c>
      <c r="Q803" s="1">
        <v>44981</v>
      </c>
      <c r="R803">
        <f>WEEKNUM(Table2[[#This Row],[OrderDate]])</f>
        <v>8</v>
      </c>
      <c r="S803" s="1">
        <v>44988</v>
      </c>
      <c r="T803" t="s">
        <v>2918</v>
      </c>
    </row>
    <row r="804" spans="1:20" x14ac:dyDescent="0.35">
      <c r="A804" s="1">
        <v>45218</v>
      </c>
      <c r="B804" t="s">
        <v>2930</v>
      </c>
      <c r="C804" t="s">
        <v>22</v>
      </c>
      <c r="D804" s="9">
        <v>13</v>
      </c>
      <c r="E804" s="7">
        <v>393.1</v>
      </c>
      <c r="F804" t="s">
        <v>26</v>
      </c>
      <c r="G804" t="s">
        <v>30</v>
      </c>
      <c r="H804" s="12">
        <v>0.1</v>
      </c>
      <c r="I804" t="s">
        <v>33</v>
      </c>
      <c r="J804" s="7">
        <f>Table2[[#This Row],[UnitPrice]]*Table2[[#This Row],[Quantity]]*(1-Table2[[#This Row],[Discount]])</f>
        <v>4599.2700000000004</v>
      </c>
      <c r="K804" t="s">
        <v>38</v>
      </c>
      <c r="L804" t="s">
        <v>2937</v>
      </c>
      <c r="M804">
        <v>0</v>
      </c>
      <c r="N804" t="s">
        <v>848</v>
      </c>
      <c r="O804" t="s">
        <v>1553</v>
      </c>
      <c r="P804" s="7">
        <v>12.64</v>
      </c>
      <c r="Q804" s="1">
        <v>45218</v>
      </c>
      <c r="R804">
        <f>WEEKNUM(Table2[[#This Row],[OrderDate]])</f>
        <v>42</v>
      </c>
      <c r="S804" s="1">
        <v>45225</v>
      </c>
      <c r="T804" t="s">
        <v>2917</v>
      </c>
    </row>
    <row r="805" spans="1:20" x14ac:dyDescent="0.35">
      <c r="A805" s="1">
        <v>45460</v>
      </c>
      <c r="B805" t="s">
        <v>2931</v>
      </c>
      <c r="C805" t="s">
        <v>22</v>
      </c>
      <c r="D805" s="9">
        <v>10</v>
      </c>
      <c r="E805" s="7">
        <v>83.86</v>
      </c>
      <c r="F805" t="s">
        <v>27</v>
      </c>
      <c r="G805" t="s">
        <v>30</v>
      </c>
      <c r="H805" s="12">
        <v>0.15</v>
      </c>
      <c r="I805" t="s">
        <v>33</v>
      </c>
      <c r="J805" s="7">
        <f>Table2[[#This Row],[UnitPrice]]*Table2[[#This Row],[Quantity]]*(1-Table2[[#This Row],[Discount]])</f>
        <v>712.81</v>
      </c>
      <c r="K805" t="s">
        <v>40</v>
      </c>
      <c r="L805" t="s">
        <v>2937</v>
      </c>
      <c r="M805">
        <v>0</v>
      </c>
      <c r="N805" t="s">
        <v>849</v>
      </c>
      <c r="O805" t="s">
        <v>2312</v>
      </c>
      <c r="P805" s="7">
        <v>41.11</v>
      </c>
      <c r="Q805" s="1">
        <v>45460</v>
      </c>
      <c r="R805">
        <f>WEEKNUM(Table2[[#This Row],[OrderDate]])</f>
        <v>25</v>
      </c>
      <c r="S805" s="1">
        <v>45464</v>
      </c>
      <c r="T805" t="s">
        <v>2919</v>
      </c>
    </row>
    <row r="806" spans="1:20" x14ac:dyDescent="0.35">
      <c r="A806" s="1">
        <v>45098</v>
      </c>
      <c r="B806" t="s">
        <v>2934</v>
      </c>
      <c r="C806" t="s">
        <v>21</v>
      </c>
      <c r="D806" s="9">
        <v>10</v>
      </c>
      <c r="E806" s="7">
        <v>110.07</v>
      </c>
      <c r="F806" t="s">
        <v>26</v>
      </c>
      <c r="G806" t="s">
        <v>30</v>
      </c>
      <c r="H806" s="12">
        <v>0</v>
      </c>
      <c r="I806" t="s">
        <v>34</v>
      </c>
      <c r="J806" s="7">
        <f>Table2[[#This Row],[UnitPrice]]*Table2[[#This Row],[Quantity]]*(1-Table2[[#This Row],[Discount]])</f>
        <v>1100.6999999999998</v>
      </c>
      <c r="K806" t="s">
        <v>40</v>
      </c>
      <c r="L806" t="s">
        <v>2937</v>
      </c>
      <c r="M806">
        <v>0</v>
      </c>
      <c r="N806" t="s">
        <v>850</v>
      </c>
      <c r="O806" t="s">
        <v>2313</v>
      </c>
      <c r="P806" s="7">
        <v>18.47</v>
      </c>
      <c r="Q806" s="1">
        <v>45098</v>
      </c>
      <c r="R806">
        <f>WEEKNUM(Table2[[#This Row],[OrderDate]])</f>
        <v>25</v>
      </c>
      <c r="S806" s="1">
        <v>45106</v>
      </c>
      <c r="T806" t="s">
        <v>2920</v>
      </c>
    </row>
    <row r="807" spans="1:20" x14ac:dyDescent="0.35">
      <c r="A807" s="1">
        <v>45534</v>
      </c>
      <c r="B807" t="s">
        <v>2930</v>
      </c>
      <c r="C807" t="s">
        <v>20</v>
      </c>
      <c r="D807" s="9">
        <v>6</v>
      </c>
      <c r="E807" s="7">
        <v>288.98</v>
      </c>
      <c r="F807" t="s">
        <v>28</v>
      </c>
      <c r="G807" t="s">
        <v>30</v>
      </c>
      <c r="H807" s="12">
        <v>0.15</v>
      </c>
      <c r="I807" t="s">
        <v>36</v>
      </c>
      <c r="J807" s="7">
        <f>Table2[[#This Row],[UnitPrice]]*Table2[[#This Row],[Quantity]]*(1-Table2[[#This Row],[Discount]])</f>
        <v>1473.798</v>
      </c>
      <c r="K807" t="s">
        <v>39</v>
      </c>
      <c r="L807" t="s">
        <v>2937</v>
      </c>
      <c r="M807">
        <v>0</v>
      </c>
      <c r="N807" t="s">
        <v>851</v>
      </c>
      <c r="O807" t="s">
        <v>2314</v>
      </c>
      <c r="P807" s="7">
        <v>38.630000000000003</v>
      </c>
      <c r="Q807" s="1">
        <v>45534</v>
      </c>
      <c r="R807">
        <f>WEEKNUM(Table2[[#This Row],[OrderDate]])</f>
        <v>35</v>
      </c>
      <c r="S807" s="1">
        <v>45537</v>
      </c>
      <c r="T807" t="s">
        <v>2917</v>
      </c>
    </row>
    <row r="808" spans="1:20" x14ac:dyDescent="0.35">
      <c r="A808" s="1">
        <v>45660</v>
      </c>
      <c r="B808" t="s">
        <v>2934</v>
      </c>
      <c r="C808" t="s">
        <v>21</v>
      </c>
      <c r="D808" s="9">
        <v>10</v>
      </c>
      <c r="E808" s="7">
        <v>451.14</v>
      </c>
      <c r="F808" t="s">
        <v>27</v>
      </c>
      <c r="G808" t="s">
        <v>31</v>
      </c>
      <c r="H808" s="12">
        <v>0</v>
      </c>
      <c r="I808" t="s">
        <v>37</v>
      </c>
      <c r="J808" s="7">
        <f>Table2[[#This Row],[UnitPrice]]*Table2[[#This Row],[Quantity]]*(1-Table2[[#This Row],[Discount]])</f>
        <v>4511.3999999999996</v>
      </c>
      <c r="K808" t="s">
        <v>39</v>
      </c>
      <c r="L808" t="s">
        <v>43</v>
      </c>
      <c r="M808">
        <v>0</v>
      </c>
      <c r="N808" t="s">
        <v>852</v>
      </c>
      <c r="O808" t="s">
        <v>2315</v>
      </c>
      <c r="P808" s="7">
        <v>29.96</v>
      </c>
      <c r="Q808" s="1">
        <v>45660</v>
      </c>
      <c r="R808">
        <f>WEEKNUM(Table2[[#This Row],[OrderDate]])</f>
        <v>1</v>
      </c>
      <c r="S808" s="1">
        <v>45670</v>
      </c>
      <c r="T808" t="s">
        <v>2920</v>
      </c>
    </row>
    <row r="809" spans="1:20" x14ac:dyDescent="0.35">
      <c r="A809" s="1">
        <v>44980</v>
      </c>
      <c r="B809" t="s">
        <v>2933</v>
      </c>
      <c r="C809" t="s">
        <v>25</v>
      </c>
      <c r="D809" s="9">
        <v>16</v>
      </c>
      <c r="E809" s="7">
        <v>509.08</v>
      </c>
      <c r="F809" t="s">
        <v>28</v>
      </c>
      <c r="G809" t="s">
        <v>30</v>
      </c>
      <c r="H809" s="12">
        <v>0</v>
      </c>
      <c r="I809" t="s">
        <v>35</v>
      </c>
      <c r="J809" s="7">
        <f>Table2[[#This Row],[UnitPrice]]*Table2[[#This Row],[Quantity]]*(1-Table2[[#This Row],[Discount]])</f>
        <v>8145.28</v>
      </c>
      <c r="K809" t="s">
        <v>38</v>
      </c>
      <c r="L809" t="s">
        <v>43</v>
      </c>
      <c r="M809">
        <v>0</v>
      </c>
      <c r="N809" t="s">
        <v>853</v>
      </c>
      <c r="O809" t="s">
        <v>1955</v>
      </c>
      <c r="P809" s="7">
        <v>37.53</v>
      </c>
      <c r="Q809" s="1">
        <v>44980</v>
      </c>
      <c r="R809">
        <f>WEEKNUM(Table2[[#This Row],[OrderDate]])</f>
        <v>8</v>
      </c>
      <c r="S809" s="1">
        <v>44987</v>
      </c>
      <c r="T809" t="s">
        <v>2921</v>
      </c>
    </row>
    <row r="810" spans="1:20" x14ac:dyDescent="0.35">
      <c r="A810" s="1">
        <v>45773</v>
      </c>
      <c r="B810" t="s">
        <v>2934</v>
      </c>
      <c r="C810" t="s">
        <v>25</v>
      </c>
      <c r="D810" s="9">
        <v>4</v>
      </c>
      <c r="E810" s="7">
        <v>582.73</v>
      </c>
      <c r="F810" t="s">
        <v>29</v>
      </c>
      <c r="G810" t="s">
        <v>30</v>
      </c>
      <c r="H810" s="12">
        <v>0.05</v>
      </c>
      <c r="I810" t="s">
        <v>35</v>
      </c>
      <c r="J810" s="7">
        <f>Table2[[#This Row],[UnitPrice]]*Table2[[#This Row],[Quantity]]*(1-Table2[[#This Row],[Discount]])</f>
        <v>2214.3739999999998</v>
      </c>
      <c r="K810" t="s">
        <v>42</v>
      </c>
      <c r="L810" t="s">
        <v>45</v>
      </c>
      <c r="M810">
        <v>0</v>
      </c>
      <c r="N810" t="s">
        <v>854</v>
      </c>
      <c r="O810" t="s">
        <v>2316</v>
      </c>
      <c r="P810" s="7">
        <v>44.26</v>
      </c>
      <c r="Q810" s="1">
        <v>45773</v>
      </c>
      <c r="R810">
        <f>WEEKNUM(Table2[[#This Row],[OrderDate]])</f>
        <v>17</v>
      </c>
      <c r="S810" s="1">
        <v>45776</v>
      </c>
      <c r="T810" t="s">
        <v>2920</v>
      </c>
    </row>
    <row r="811" spans="1:20" x14ac:dyDescent="0.35">
      <c r="A811" s="1">
        <v>45085</v>
      </c>
      <c r="B811" t="s">
        <v>2932</v>
      </c>
      <c r="C811" t="s">
        <v>20</v>
      </c>
      <c r="D811" s="9">
        <v>9</v>
      </c>
      <c r="E811" s="7">
        <v>115.24</v>
      </c>
      <c r="F811" t="s">
        <v>26</v>
      </c>
      <c r="G811" t="s">
        <v>30</v>
      </c>
      <c r="H811" s="12">
        <v>0</v>
      </c>
      <c r="I811" t="s">
        <v>33</v>
      </c>
      <c r="J811" s="7">
        <f>Table2[[#This Row],[UnitPrice]]*Table2[[#This Row],[Quantity]]*(1-Table2[[#This Row],[Discount]])</f>
        <v>1037.1599999999999</v>
      </c>
      <c r="K811" t="s">
        <v>40</v>
      </c>
      <c r="L811" t="s">
        <v>43</v>
      </c>
      <c r="M811">
        <v>0</v>
      </c>
      <c r="N811" t="s">
        <v>855</v>
      </c>
      <c r="O811" t="s">
        <v>2317</v>
      </c>
      <c r="P811" s="7">
        <v>8.2799999999999994</v>
      </c>
      <c r="Q811" s="1">
        <v>45085</v>
      </c>
      <c r="R811">
        <f>WEEKNUM(Table2[[#This Row],[OrderDate]])</f>
        <v>23</v>
      </c>
      <c r="S811" s="1">
        <v>45091</v>
      </c>
      <c r="T811" t="s">
        <v>2918</v>
      </c>
    </row>
    <row r="812" spans="1:20" x14ac:dyDescent="0.35">
      <c r="A812" s="1">
        <v>45001</v>
      </c>
      <c r="B812" t="s">
        <v>2931</v>
      </c>
      <c r="C812" t="s">
        <v>23</v>
      </c>
      <c r="D812" s="9">
        <v>14</v>
      </c>
      <c r="E812" s="7">
        <v>565.45000000000005</v>
      </c>
      <c r="F812" t="s">
        <v>29</v>
      </c>
      <c r="G812" t="s">
        <v>30</v>
      </c>
      <c r="H812" s="12">
        <v>0.1</v>
      </c>
      <c r="I812" t="s">
        <v>32</v>
      </c>
      <c r="J812" s="7">
        <f>Table2[[#This Row],[UnitPrice]]*Table2[[#This Row],[Quantity]]*(1-Table2[[#This Row],[Discount]])</f>
        <v>7124.670000000001</v>
      </c>
      <c r="K812" t="s">
        <v>38</v>
      </c>
      <c r="L812" t="s">
        <v>45</v>
      </c>
      <c r="M812">
        <v>0</v>
      </c>
      <c r="N812" t="s">
        <v>856</v>
      </c>
      <c r="O812" t="s">
        <v>2318</v>
      </c>
      <c r="P812" s="7">
        <v>24.4</v>
      </c>
      <c r="Q812" s="1">
        <v>45001</v>
      </c>
      <c r="R812">
        <f>WEEKNUM(Table2[[#This Row],[OrderDate]])</f>
        <v>11</v>
      </c>
      <c r="S812" s="1">
        <v>45010</v>
      </c>
      <c r="T812" t="s">
        <v>2919</v>
      </c>
    </row>
    <row r="813" spans="1:20" x14ac:dyDescent="0.35">
      <c r="A813" s="1">
        <v>45588</v>
      </c>
      <c r="B813" t="s">
        <v>2931</v>
      </c>
      <c r="C813" t="s">
        <v>20</v>
      </c>
      <c r="D813" s="9">
        <v>11</v>
      </c>
      <c r="E813" s="7">
        <v>121.54</v>
      </c>
      <c r="F813" t="s">
        <v>29</v>
      </c>
      <c r="G813" t="s">
        <v>30</v>
      </c>
      <c r="H813" s="12">
        <v>0</v>
      </c>
      <c r="I813" t="s">
        <v>35</v>
      </c>
      <c r="J813" s="7">
        <f>Table2[[#This Row],[UnitPrice]]*Table2[[#This Row],[Quantity]]*(1-Table2[[#This Row],[Discount]])</f>
        <v>1336.94</v>
      </c>
      <c r="K813" t="s">
        <v>40</v>
      </c>
      <c r="L813" t="s">
        <v>44</v>
      </c>
      <c r="M813">
        <v>0</v>
      </c>
      <c r="N813" t="s">
        <v>857</v>
      </c>
      <c r="O813" t="s">
        <v>2319</v>
      </c>
      <c r="P813" s="7">
        <v>16.62</v>
      </c>
      <c r="Q813" s="1">
        <v>45588</v>
      </c>
      <c r="R813">
        <f>WEEKNUM(Table2[[#This Row],[OrderDate]])</f>
        <v>43</v>
      </c>
      <c r="S813" s="1">
        <v>45593</v>
      </c>
      <c r="T813" t="s">
        <v>2919</v>
      </c>
    </row>
    <row r="814" spans="1:20" x14ac:dyDescent="0.35">
      <c r="A814" s="1">
        <v>45800</v>
      </c>
      <c r="B814" t="s">
        <v>2930</v>
      </c>
      <c r="C814" t="s">
        <v>25</v>
      </c>
      <c r="D814" s="9">
        <v>9</v>
      </c>
      <c r="E814" s="7">
        <v>160.15</v>
      </c>
      <c r="F814" t="s">
        <v>29</v>
      </c>
      <c r="G814" t="s">
        <v>31</v>
      </c>
      <c r="H814" s="12">
        <v>0.1</v>
      </c>
      <c r="I814" t="s">
        <v>33</v>
      </c>
      <c r="J814" s="7">
        <f>Table2[[#This Row],[UnitPrice]]*Table2[[#This Row],[Quantity]]*(1-Table2[[#This Row],[Discount]])</f>
        <v>1297.2150000000001</v>
      </c>
      <c r="K814" t="s">
        <v>41</v>
      </c>
      <c r="L814" t="s">
        <v>2937</v>
      </c>
      <c r="M814">
        <v>1</v>
      </c>
      <c r="N814" t="s">
        <v>858</v>
      </c>
      <c r="O814" t="s">
        <v>2320</v>
      </c>
      <c r="P814" s="7">
        <v>29.64</v>
      </c>
      <c r="Q814" s="1">
        <v>45800</v>
      </c>
      <c r="R814">
        <f>WEEKNUM(Table2[[#This Row],[OrderDate]])</f>
        <v>21</v>
      </c>
      <c r="S814" s="1">
        <v>45805</v>
      </c>
      <c r="T814" t="s">
        <v>2917</v>
      </c>
    </row>
    <row r="815" spans="1:20" x14ac:dyDescent="0.35">
      <c r="A815" s="1">
        <v>45052</v>
      </c>
      <c r="B815" t="s">
        <v>2930</v>
      </c>
      <c r="C815" t="s">
        <v>21</v>
      </c>
      <c r="D815" s="9">
        <v>14</v>
      </c>
      <c r="E815" s="7">
        <v>175.66</v>
      </c>
      <c r="F815" t="s">
        <v>26</v>
      </c>
      <c r="G815" t="s">
        <v>30</v>
      </c>
      <c r="H815" s="12">
        <v>0.05</v>
      </c>
      <c r="I815" t="s">
        <v>37</v>
      </c>
      <c r="J815" s="7">
        <f>Table2[[#This Row],[UnitPrice]]*Table2[[#This Row],[Quantity]]*(1-Table2[[#This Row],[Discount]])</f>
        <v>2336.2779999999998</v>
      </c>
      <c r="K815" t="s">
        <v>42</v>
      </c>
      <c r="L815" t="s">
        <v>44</v>
      </c>
      <c r="M815">
        <v>0</v>
      </c>
      <c r="N815" t="s">
        <v>859</v>
      </c>
      <c r="O815" t="s">
        <v>2321</v>
      </c>
      <c r="P815" s="7">
        <v>26.12</v>
      </c>
      <c r="Q815" s="1">
        <v>45052</v>
      </c>
      <c r="R815">
        <f>WEEKNUM(Table2[[#This Row],[OrderDate]])</f>
        <v>18</v>
      </c>
      <c r="S815" s="1">
        <v>45060</v>
      </c>
      <c r="T815" t="s">
        <v>2917</v>
      </c>
    </row>
    <row r="816" spans="1:20" x14ac:dyDescent="0.35">
      <c r="A816" s="1">
        <v>45519</v>
      </c>
      <c r="B816" t="s">
        <v>2932</v>
      </c>
      <c r="C816" t="s">
        <v>24</v>
      </c>
      <c r="D816" s="9">
        <v>3</v>
      </c>
      <c r="E816" s="7">
        <v>437.97</v>
      </c>
      <c r="F816" t="s">
        <v>28</v>
      </c>
      <c r="G816" t="s">
        <v>30</v>
      </c>
      <c r="H816" s="12">
        <v>0.05</v>
      </c>
      <c r="I816" t="s">
        <v>32</v>
      </c>
      <c r="J816" s="7">
        <f>Table2[[#This Row],[UnitPrice]]*Table2[[#This Row],[Quantity]]*(1-Table2[[#This Row],[Discount]])</f>
        <v>1248.2145</v>
      </c>
      <c r="K816" t="s">
        <v>42</v>
      </c>
      <c r="L816" t="s">
        <v>44</v>
      </c>
      <c r="M816">
        <v>1</v>
      </c>
      <c r="N816" t="s">
        <v>860</v>
      </c>
      <c r="O816" t="s">
        <v>2322</v>
      </c>
      <c r="P816" s="7">
        <v>23.29</v>
      </c>
      <c r="Q816" s="1">
        <v>45519</v>
      </c>
      <c r="R816">
        <f>WEEKNUM(Table2[[#This Row],[OrderDate]])</f>
        <v>33</v>
      </c>
      <c r="S816" s="1">
        <v>45526</v>
      </c>
      <c r="T816" t="s">
        <v>2918</v>
      </c>
    </row>
    <row r="817" spans="1:20" x14ac:dyDescent="0.35">
      <c r="A817" s="1">
        <v>45161</v>
      </c>
      <c r="B817" t="s">
        <v>2932</v>
      </c>
      <c r="C817" t="s">
        <v>25</v>
      </c>
      <c r="D817" s="9">
        <v>12</v>
      </c>
      <c r="E817" s="7">
        <v>411.59</v>
      </c>
      <c r="F817" t="s">
        <v>26</v>
      </c>
      <c r="G817" t="s">
        <v>30</v>
      </c>
      <c r="H817" s="12">
        <v>0.15</v>
      </c>
      <c r="I817" t="s">
        <v>36</v>
      </c>
      <c r="J817" s="7">
        <f>Table2[[#This Row],[UnitPrice]]*Table2[[#This Row],[Quantity]]*(1-Table2[[#This Row],[Discount]])</f>
        <v>4198.2179999999998</v>
      </c>
      <c r="K817" t="s">
        <v>42</v>
      </c>
      <c r="L817" t="s">
        <v>43</v>
      </c>
      <c r="M817">
        <v>0</v>
      </c>
      <c r="N817" t="s">
        <v>861</v>
      </c>
      <c r="O817" t="s">
        <v>2323</v>
      </c>
      <c r="P817" s="7">
        <v>19.170000000000002</v>
      </c>
      <c r="Q817" s="1">
        <v>45161</v>
      </c>
      <c r="R817">
        <f>WEEKNUM(Table2[[#This Row],[OrderDate]])</f>
        <v>34</v>
      </c>
      <c r="S817" s="1">
        <v>45169</v>
      </c>
      <c r="T817" t="s">
        <v>2918</v>
      </c>
    </row>
    <row r="818" spans="1:20" x14ac:dyDescent="0.35">
      <c r="A818" s="1">
        <v>45760</v>
      </c>
      <c r="B818" t="s">
        <v>2932</v>
      </c>
      <c r="C818" t="s">
        <v>19</v>
      </c>
      <c r="D818" s="9">
        <v>1</v>
      </c>
      <c r="E818" s="7">
        <v>163.29</v>
      </c>
      <c r="F818" t="s">
        <v>26</v>
      </c>
      <c r="G818" t="s">
        <v>31</v>
      </c>
      <c r="H818" s="12">
        <v>0</v>
      </c>
      <c r="I818" t="s">
        <v>36</v>
      </c>
      <c r="J818" s="7">
        <f>Table2[[#This Row],[UnitPrice]]*Table2[[#This Row],[Quantity]]*(1-Table2[[#This Row],[Discount]])</f>
        <v>163.29</v>
      </c>
      <c r="K818" t="s">
        <v>40</v>
      </c>
      <c r="L818" t="s">
        <v>45</v>
      </c>
      <c r="M818">
        <v>0</v>
      </c>
      <c r="N818" t="s">
        <v>862</v>
      </c>
      <c r="O818" t="s">
        <v>2324</v>
      </c>
      <c r="P818" s="7">
        <v>21.15</v>
      </c>
      <c r="Q818" s="1">
        <v>45760</v>
      </c>
      <c r="R818">
        <f>WEEKNUM(Table2[[#This Row],[OrderDate]])</f>
        <v>16</v>
      </c>
      <c r="S818" s="1">
        <v>45769</v>
      </c>
      <c r="T818" t="s">
        <v>2918</v>
      </c>
    </row>
    <row r="819" spans="1:20" x14ac:dyDescent="0.35">
      <c r="A819" s="1">
        <v>45454</v>
      </c>
      <c r="B819" t="s">
        <v>2934</v>
      </c>
      <c r="C819" t="s">
        <v>21</v>
      </c>
      <c r="D819" s="9">
        <v>5</v>
      </c>
      <c r="E819" s="7">
        <v>538.52</v>
      </c>
      <c r="F819" t="s">
        <v>26</v>
      </c>
      <c r="G819" t="s">
        <v>30</v>
      </c>
      <c r="H819" s="12">
        <v>0.05</v>
      </c>
      <c r="I819" t="s">
        <v>33</v>
      </c>
      <c r="J819" s="7">
        <f>Table2[[#This Row],[UnitPrice]]*Table2[[#This Row],[Quantity]]*(1-Table2[[#This Row],[Discount]])</f>
        <v>2557.9699999999998</v>
      </c>
      <c r="K819" t="s">
        <v>39</v>
      </c>
      <c r="L819" t="s">
        <v>2937</v>
      </c>
      <c r="M819">
        <v>0</v>
      </c>
      <c r="N819" t="s">
        <v>863</v>
      </c>
      <c r="O819" t="s">
        <v>2325</v>
      </c>
      <c r="P819" s="7">
        <v>45.81</v>
      </c>
      <c r="Q819" s="1">
        <v>45454</v>
      </c>
      <c r="R819">
        <f>WEEKNUM(Table2[[#This Row],[OrderDate]])</f>
        <v>24</v>
      </c>
      <c r="S819" s="1">
        <v>45460</v>
      </c>
      <c r="T819" t="s">
        <v>2920</v>
      </c>
    </row>
    <row r="820" spans="1:20" x14ac:dyDescent="0.35">
      <c r="A820" s="1">
        <v>45411</v>
      </c>
      <c r="B820" t="s">
        <v>2932</v>
      </c>
      <c r="C820" t="s">
        <v>20</v>
      </c>
      <c r="D820" s="9">
        <v>11</v>
      </c>
      <c r="E820" s="7">
        <v>255.95</v>
      </c>
      <c r="F820" t="s">
        <v>28</v>
      </c>
      <c r="G820" t="s">
        <v>30</v>
      </c>
      <c r="H820" s="12">
        <v>0.1</v>
      </c>
      <c r="I820" t="s">
        <v>33</v>
      </c>
      <c r="J820" s="7">
        <f>Table2[[#This Row],[UnitPrice]]*Table2[[#This Row],[Quantity]]*(1-Table2[[#This Row],[Discount]])</f>
        <v>2533.9049999999997</v>
      </c>
      <c r="K820" t="s">
        <v>38</v>
      </c>
      <c r="L820" t="s">
        <v>2937</v>
      </c>
      <c r="M820">
        <v>0</v>
      </c>
      <c r="N820" t="s">
        <v>864</v>
      </c>
      <c r="O820" t="s">
        <v>2326</v>
      </c>
      <c r="P820" s="7">
        <v>21.99</v>
      </c>
      <c r="Q820" s="1">
        <v>45411</v>
      </c>
      <c r="R820">
        <f>WEEKNUM(Table2[[#This Row],[OrderDate]])</f>
        <v>18</v>
      </c>
      <c r="S820" s="1">
        <v>45416</v>
      </c>
      <c r="T820" t="s">
        <v>2918</v>
      </c>
    </row>
    <row r="821" spans="1:20" x14ac:dyDescent="0.35">
      <c r="A821" s="1">
        <v>45012</v>
      </c>
      <c r="B821" t="s">
        <v>2932</v>
      </c>
      <c r="C821" t="s">
        <v>21</v>
      </c>
      <c r="D821" s="9">
        <v>7</v>
      </c>
      <c r="E821" s="7">
        <v>290.22000000000003</v>
      </c>
      <c r="F821" t="s">
        <v>27</v>
      </c>
      <c r="G821" t="s">
        <v>31</v>
      </c>
      <c r="H821" s="12">
        <v>0.1</v>
      </c>
      <c r="I821" t="s">
        <v>33</v>
      </c>
      <c r="J821" s="7">
        <f>Table2[[#This Row],[UnitPrice]]*Table2[[#This Row],[Quantity]]*(1-Table2[[#This Row],[Discount]])</f>
        <v>1828.3860000000002</v>
      </c>
      <c r="K821" t="s">
        <v>42</v>
      </c>
      <c r="L821" t="s">
        <v>45</v>
      </c>
      <c r="M821">
        <v>0</v>
      </c>
      <c r="N821" t="s">
        <v>865</v>
      </c>
      <c r="O821" t="s">
        <v>2327</v>
      </c>
      <c r="P821" s="7">
        <v>33.15</v>
      </c>
      <c r="Q821" s="1">
        <v>45012</v>
      </c>
      <c r="R821">
        <f>WEEKNUM(Table2[[#This Row],[OrderDate]])</f>
        <v>13</v>
      </c>
      <c r="S821" s="1">
        <v>45020</v>
      </c>
      <c r="T821" t="s">
        <v>2918</v>
      </c>
    </row>
    <row r="822" spans="1:20" x14ac:dyDescent="0.35">
      <c r="A822" s="1">
        <v>45588</v>
      </c>
      <c r="B822" t="s">
        <v>2931</v>
      </c>
      <c r="C822" t="s">
        <v>22</v>
      </c>
      <c r="D822" s="9">
        <v>20</v>
      </c>
      <c r="E822" s="7">
        <v>198.95</v>
      </c>
      <c r="F822" t="s">
        <v>26</v>
      </c>
      <c r="G822" t="s">
        <v>31</v>
      </c>
      <c r="H822" s="12">
        <v>0.1</v>
      </c>
      <c r="I822" t="s">
        <v>36</v>
      </c>
      <c r="J822" s="7">
        <f>Table2[[#This Row],[UnitPrice]]*Table2[[#This Row],[Quantity]]*(1-Table2[[#This Row],[Discount]])</f>
        <v>3581.1</v>
      </c>
      <c r="K822" t="s">
        <v>40</v>
      </c>
      <c r="L822" t="s">
        <v>2937</v>
      </c>
      <c r="M822">
        <v>1</v>
      </c>
      <c r="N822" t="s">
        <v>866</v>
      </c>
      <c r="O822" t="s">
        <v>2328</v>
      </c>
      <c r="P822" s="7">
        <v>5.16</v>
      </c>
      <c r="Q822" s="1">
        <v>45588</v>
      </c>
      <c r="R822">
        <f>WEEKNUM(Table2[[#This Row],[OrderDate]])</f>
        <v>43</v>
      </c>
      <c r="S822" s="1">
        <v>45590</v>
      </c>
      <c r="T822" t="s">
        <v>2919</v>
      </c>
    </row>
    <row r="823" spans="1:20" x14ac:dyDescent="0.35">
      <c r="A823" s="1">
        <v>45098</v>
      </c>
      <c r="B823" t="s">
        <v>2931</v>
      </c>
      <c r="C823" t="s">
        <v>25</v>
      </c>
      <c r="D823" s="9">
        <v>11</v>
      </c>
      <c r="E823" s="7">
        <v>577.1</v>
      </c>
      <c r="F823" t="s">
        <v>28</v>
      </c>
      <c r="G823" t="s">
        <v>31</v>
      </c>
      <c r="H823" s="12">
        <v>0.15</v>
      </c>
      <c r="I823" t="s">
        <v>34</v>
      </c>
      <c r="J823" s="7">
        <f>Table2[[#This Row],[UnitPrice]]*Table2[[#This Row],[Quantity]]*(1-Table2[[#This Row],[Discount]])</f>
        <v>5395.8850000000002</v>
      </c>
      <c r="K823" t="s">
        <v>42</v>
      </c>
      <c r="L823" t="s">
        <v>44</v>
      </c>
      <c r="M823">
        <v>0</v>
      </c>
      <c r="N823" t="s">
        <v>867</v>
      </c>
      <c r="O823" t="s">
        <v>1852</v>
      </c>
      <c r="P823" s="7">
        <v>13.16</v>
      </c>
      <c r="Q823" s="1">
        <v>45098</v>
      </c>
      <c r="R823">
        <f>WEEKNUM(Table2[[#This Row],[OrderDate]])</f>
        <v>25</v>
      </c>
      <c r="S823" s="1">
        <v>45105</v>
      </c>
      <c r="T823" t="s">
        <v>2919</v>
      </c>
    </row>
    <row r="824" spans="1:20" x14ac:dyDescent="0.35">
      <c r="A824" s="1">
        <v>45058</v>
      </c>
      <c r="B824" t="s">
        <v>2934</v>
      </c>
      <c r="C824" t="s">
        <v>25</v>
      </c>
      <c r="D824" s="9">
        <v>10</v>
      </c>
      <c r="E824" s="7">
        <v>50.1</v>
      </c>
      <c r="F824" t="s">
        <v>27</v>
      </c>
      <c r="G824" t="s">
        <v>30</v>
      </c>
      <c r="H824" s="12">
        <v>0.1</v>
      </c>
      <c r="I824" t="s">
        <v>37</v>
      </c>
      <c r="J824" s="7">
        <f>Table2[[#This Row],[UnitPrice]]*Table2[[#This Row],[Quantity]]*(1-Table2[[#This Row],[Discount]])</f>
        <v>450.90000000000003</v>
      </c>
      <c r="K824" t="s">
        <v>42</v>
      </c>
      <c r="L824" t="s">
        <v>43</v>
      </c>
      <c r="M824">
        <v>1</v>
      </c>
      <c r="N824" t="s">
        <v>868</v>
      </c>
      <c r="O824" t="s">
        <v>2117</v>
      </c>
      <c r="P824" s="7">
        <v>23.43</v>
      </c>
      <c r="Q824" s="1">
        <v>45058</v>
      </c>
      <c r="R824">
        <f>WEEKNUM(Table2[[#This Row],[OrderDate]])</f>
        <v>19</v>
      </c>
      <c r="S824" s="1">
        <v>45065</v>
      </c>
      <c r="T824" t="s">
        <v>2920</v>
      </c>
    </row>
    <row r="825" spans="1:20" x14ac:dyDescent="0.35">
      <c r="A825" s="1">
        <v>45585</v>
      </c>
      <c r="B825" t="s">
        <v>2934</v>
      </c>
      <c r="C825" t="s">
        <v>25</v>
      </c>
      <c r="D825" s="9">
        <v>19</v>
      </c>
      <c r="E825" s="7">
        <v>554.5</v>
      </c>
      <c r="F825" t="s">
        <v>26</v>
      </c>
      <c r="G825" t="s">
        <v>31</v>
      </c>
      <c r="H825" s="12">
        <v>0.15</v>
      </c>
      <c r="I825" t="s">
        <v>35</v>
      </c>
      <c r="J825" s="7">
        <f>Table2[[#This Row],[UnitPrice]]*Table2[[#This Row],[Quantity]]*(1-Table2[[#This Row],[Discount]])</f>
        <v>8955.1749999999993</v>
      </c>
      <c r="K825" t="s">
        <v>38</v>
      </c>
      <c r="L825" t="s">
        <v>2937</v>
      </c>
      <c r="M825">
        <v>1</v>
      </c>
      <c r="N825" t="s">
        <v>869</v>
      </c>
      <c r="O825" t="s">
        <v>2329</v>
      </c>
      <c r="P825" s="7">
        <v>47.16</v>
      </c>
      <c r="Q825" s="1">
        <v>45585</v>
      </c>
      <c r="R825">
        <f>WEEKNUM(Table2[[#This Row],[OrderDate]])</f>
        <v>43</v>
      </c>
      <c r="S825" s="1">
        <v>45589</v>
      </c>
      <c r="T825" t="s">
        <v>2920</v>
      </c>
    </row>
    <row r="826" spans="1:20" x14ac:dyDescent="0.35">
      <c r="A826" s="1">
        <v>45386</v>
      </c>
      <c r="B826" t="s">
        <v>2931</v>
      </c>
      <c r="C826" t="s">
        <v>19</v>
      </c>
      <c r="D826" s="9">
        <v>14</v>
      </c>
      <c r="E826" s="7">
        <v>117.31</v>
      </c>
      <c r="F826" t="s">
        <v>27</v>
      </c>
      <c r="G826" t="s">
        <v>30</v>
      </c>
      <c r="H826" s="12">
        <v>0</v>
      </c>
      <c r="I826" t="s">
        <v>36</v>
      </c>
      <c r="J826" s="7">
        <f>Table2[[#This Row],[UnitPrice]]*Table2[[#This Row],[Quantity]]*(1-Table2[[#This Row],[Discount]])</f>
        <v>1642.3400000000001</v>
      </c>
      <c r="K826" t="s">
        <v>38</v>
      </c>
      <c r="L826" t="s">
        <v>45</v>
      </c>
      <c r="M826">
        <v>0</v>
      </c>
      <c r="N826" t="s">
        <v>870</v>
      </c>
      <c r="O826" t="s">
        <v>2330</v>
      </c>
      <c r="P826" s="7">
        <v>41.24</v>
      </c>
      <c r="Q826" s="1">
        <v>45386</v>
      </c>
      <c r="R826">
        <f>WEEKNUM(Table2[[#This Row],[OrderDate]])</f>
        <v>14</v>
      </c>
      <c r="S826" s="1">
        <v>45389</v>
      </c>
      <c r="T826" t="s">
        <v>2919</v>
      </c>
    </row>
    <row r="827" spans="1:20" x14ac:dyDescent="0.35">
      <c r="A827" s="1">
        <v>45669</v>
      </c>
      <c r="B827" t="s">
        <v>2934</v>
      </c>
      <c r="C827" t="s">
        <v>24</v>
      </c>
      <c r="D827" s="9">
        <v>3</v>
      </c>
      <c r="E827" s="7">
        <v>193.98</v>
      </c>
      <c r="F827" t="s">
        <v>27</v>
      </c>
      <c r="G827" t="s">
        <v>31</v>
      </c>
      <c r="H827" s="12">
        <v>0</v>
      </c>
      <c r="I827" t="s">
        <v>37</v>
      </c>
      <c r="J827" s="7">
        <f>Table2[[#This Row],[UnitPrice]]*Table2[[#This Row],[Quantity]]*(1-Table2[[#This Row],[Discount]])</f>
        <v>581.93999999999994</v>
      </c>
      <c r="K827" t="s">
        <v>40</v>
      </c>
      <c r="L827" t="s">
        <v>45</v>
      </c>
      <c r="M827">
        <v>0</v>
      </c>
      <c r="N827" t="s">
        <v>871</v>
      </c>
      <c r="O827" t="s">
        <v>2331</v>
      </c>
      <c r="P827" s="7">
        <v>27.53</v>
      </c>
      <c r="Q827" s="1">
        <v>45669</v>
      </c>
      <c r="R827">
        <f>WEEKNUM(Table2[[#This Row],[OrderDate]])</f>
        <v>3</v>
      </c>
      <c r="S827" s="1">
        <v>45673</v>
      </c>
      <c r="T827" t="s">
        <v>2920</v>
      </c>
    </row>
    <row r="828" spans="1:20" x14ac:dyDescent="0.35">
      <c r="A828" s="1">
        <v>45131</v>
      </c>
      <c r="B828" t="s">
        <v>2932</v>
      </c>
      <c r="C828" t="s">
        <v>20</v>
      </c>
      <c r="D828" s="9">
        <v>20</v>
      </c>
      <c r="E828" s="7">
        <v>386.86</v>
      </c>
      <c r="F828" t="s">
        <v>27</v>
      </c>
      <c r="G828" t="s">
        <v>30</v>
      </c>
      <c r="H828" s="12">
        <v>0.05</v>
      </c>
      <c r="I828" t="s">
        <v>35</v>
      </c>
      <c r="J828" s="7">
        <f>Table2[[#This Row],[UnitPrice]]*Table2[[#This Row],[Quantity]]*(1-Table2[[#This Row],[Discount]])</f>
        <v>7350.34</v>
      </c>
      <c r="K828" t="s">
        <v>38</v>
      </c>
      <c r="L828" t="s">
        <v>45</v>
      </c>
      <c r="M828">
        <v>0</v>
      </c>
      <c r="N828" t="s">
        <v>872</v>
      </c>
      <c r="O828" t="s">
        <v>2332</v>
      </c>
      <c r="P828" s="7">
        <v>41.56</v>
      </c>
      <c r="Q828" s="1">
        <v>45131</v>
      </c>
      <c r="R828">
        <f>WEEKNUM(Table2[[#This Row],[OrderDate]])</f>
        <v>30</v>
      </c>
      <c r="S828" s="1">
        <v>45136</v>
      </c>
      <c r="T828" t="s">
        <v>2918</v>
      </c>
    </row>
    <row r="829" spans="1:20" x14ac:dyDescent="0.35">
      <c r="A829" s="1">
        <v>45178</v>
      </c>
      <c r="B829" t="s">
        <v>2931</v>
      </c>
      <c r="C829" t="s">
        <v>22</v>
      </c>
      <c r="D829" s="9">
        <v>12</v>
      </c>
      <c r="E829" s="7">
        <v>81.33</v>
      </c>
      <c r="F829" t="s">
        <v>29</v>
      </c>
      <c r="G829" t="s">
        <v>30</v>
      </c>
      <c r="H829" s="12">
        <v>0</v>
      </c>
      <c r="I829" t="s">
        <v>35</v>
      </c>
      <c r="J829" s="7">
        <f>Table2[[#This Row],[UnitPrice]]*Table2[[#This Row],[Quantity]]*(1-Table2[[#This Row],[Discount]])</f>
        <v>975.96</v>
      </c>
      <c r="K829" t="s">
        <v>42</v>
      </c>
      <c r="L829" t="s">
        <v>44</v>
      </c>
      <c r="M829">
        <v>1</v>
      </c>
      <c r="N829" t="s">
        <v>873</v>
      </c>
      <c r="O829" t="s">
        <v>2241</v>
      </c>
      <c r="P829" s="7">
        <v>30.73</v>
      </c>
      <c r="Q829" s="1">
        <v>45178</v>
      </c>
      <c r="R829">
        <f>WEEKNUM(Table2[[#This Row],[OrderDate]])</f>
        <v>36</v>
      </c>
      <c r="S829" s="1">
        <v>45182</v>
      </c>
      <c r="T829" t="s">
        <v>2919</v>
      </c>
    </row>
    <row r="830" spans="1:20" x14ac:dyDescent="0.35">
      <c r="A830" s="1">
        <v>45402</v>
      </c>
      <c r="B830" t="s">
        <v>2930</v>
      </c>
      <c r="C830" t="s">
        <v>25</v>
      </c>
      <c r="D830" s="9">
        <v>5</v>
      </c>
      <c r="E830" s="7">
        <v>550.65</v>
      </c>
      <c r="F830" t="s">
        <v>27</v>
      </c>
      <c r="G830" t="s">
        <v>31</v>
      </c>
      <c r="H830" s="12">
        <v>0.15</v>
      </c>
      <c r="I830" t="s">
        <v>37</v>
      </c>
      <c r="J830" s="7">
        <f>Table2[[#This Row],[UnitPrice]]*Table2[[#This Row],[Quantity]]*(1-Table2[[#This Row],[Discount]])</f>
        <v>2340.2624999999998</v>
      </c>
      <c r="K830" t="s">
        <v>39</v>
      </c>
      <c r="L830" t="s">
        <v>2937</v>
      </c>
      <c r="M830">
        <v>0</v>
      </c>
      <c r="N830" t="s">
        <v>874</v>
      </c>
      <c r="O830" t="s">
        <v>2333</v>
      </c>
      <c r="P830" s="7">
        <v>16.82</v>
      </c>
      <c r="Q830" s="1">
        <v>45402</v>
      </c>
      <c r="R830">
        <f>WEEKNUM(Table2[[#This Row],[OrderDate]])</f>
        <v>16</v>
      </c>
      <c r="S830" s="1">
        <v>45409</v>
      </c>
      <c r="T830" t="s">
        <v>2917</v>
      </c>
    </row>
    <row r="831" spans="1:20" x14ac:dyDescent="0.35">
      <c r="A831" s="1">
        <v>45694</v>
      </c>
      <c r="B831" t="s">
        <v>2933</v>
      </c>
      <c r="C831" t="s">
        <v>25</v>
      </c>
      <c r="D831" s="9">
        <v>4</v>
      </c>
      <c r="E831" s="7">
        <v>473.91</v>
      </c>
      <c r="F831" t="s">
        <v>27</v>
      </c>
      <c r="G831" t="s">
        <v>31</v>
      </c>
      <c r="H831" s="12">
        <v>0.05</v>
      </c>
      <c r="I831" t="s">
        <v>32</v>
      </c>
      <c r="J831" s="7">
        <f>Table2[[#This Row],[UnitPrice]]*Table2[[#This Row],[Quantity]]*(1-Table2[[#This Row],[Discount]])</f>
        <v>1800.8579999999999</v>
      </c>
      <c r="K831" t="s">
        <v>40</v>
      </c>
      <c r="L831" t="s">
        <v>44</v>
      </c>
      <c r="M831">
        <v>0</v>
      </c>
      <c r="N831" t="s">
        <v>875</v>
      </c>
      <c r="O831" t="s">
        <v>2222</v>
      </c>
      <c r="P831" s="7">
        <v>29.22</v>
      </c>
      <c r="Q831" s="1">
        <v>45694</v>
      </c>
      <c r="R831">
        <f>WEEKNUM(Table2[[#This Row],[OrderDate]])</f>
        <v>6</v>
      </c>
      <c r="S831" s="1">
        <v>45702</v>
      </c>
      <c r="T831" t="s">
        <v>2921</v>
      </c>
    </row>
    <row r="832" spans="1:20" x14ac:dyDescent="0.35">
      <c r="A832" s="1">
        <v>45095</v>
      </c>
      <c r="B832" t="s">
        <v>2933</v>
      </c>
      <c r="C832" t="s">
        <v>24</v>
      </c>
      <c r="D832" s="9">
        <v>19</v>
      </c>
      <c r="E832" s="7">
        <v>25.22</v>
      </c>
      <c r="F832" t="s">
        <v>28</v>
      </c>
      <c r="G832" t="s">
        <v>30</v>
      </c>
      <c r="H832" s="12">
        <v>0</v>
      </c>
      <c r="I832" t="s">
        <v>37</v>
      </c>
      <c r="J832" s="7">
        <f>Table2[[#This Row],[UnitPrice]]*Table2[[#This Row],[Quantity]]*(1-Table2[[#This Row],[Discount]])</f>
        <v>479.17999999999995</v>
      </c>
      <c r="K832" t="s">
        <v>40</v>
      </c>
      <c r="L832" t="s">
        <v>2937</v>
      </c>
      <c r="M832">
        <v>0</v>
      </c>
      <c r="N832" t="s">
        <v>876</v>
      </c>
      <c r="O832" t="s">
        <v>2334</v>
      </c>
      <c r="P832" s="7">
        <v>31.31</v>
      </c>
      <c r="Q832" s="1">
        <v>45095</v>
      </c>
      <c r="R832">
        <f>WEEKNUM(Table2[[#This Row],[OrderDate]])</f>
        <v>25</v>
      </c>
      <c r="S832" s="1">
        <v>45099</v>
      </c>
      <c r="T832" t="s">
        <v>2921</v>
      </c>
    </row>
    <row r="833" spans="1:20" x14ac:dyDescent="0.35">
      <c r="A833" s="1">
        <v>45597</v>
      </c>
      <c r="B833" t="s">
        <v>2931</v>
      </c>
      <c r="C833" t="s">
        <v>20</v>
      </c>
      <c r="D833" s="9">
        <v>2</v>
      </c>
      <c r="E833" s="7">
        <v>437.04</v>
      </c>
      <c r="F833" t="s">
        <v>28</v>
      </c>
      <c r="G833" t="s">
        <v>30</v>
      </c>
      <c r="H833" s="12">
        <v>0</v>
      </c>
      <c r="I833" t="s">
        <v>34</v>
      </c>
      <c r="J833" s="7">
        <f>Table2[[#This Row],[UnitPrice]]*Table2[[#This Row],[Quantity]]*(1-Table2[[#This Row],[Discount]])</f>
        <v>874.08</v>
      </c>
      <c r="K833" t="s">
        <v>40</v>
      </c>
      <c r="L833" t="s">
        <v>44</v>
      </c>
      <c r="M833">
        <v>1</v>
      </c>
      <c r="N833" t="s">
        <v>877</v>
      </c>
      <c r="O833" t="s">
        <v>2335</v>
      </c>
      <c r="P833" s="7">
        <v>37.369999999999997</v>
      </c>
      <c r="Q833" s="1">
        <v>45597</v>
      </c>
      <c r="R833">
        <f>WEEKNUM(Table2[[#This Row],[OrderDate]])</f>
        <v>44</v>
      </c>
      <c r="S833" s="1">
        <v>45604</v>
      </c>
      <c r="T833" t="s">
        <v>2919</v>
      </c>
    </row>
    <row r="834" spans="1:20" x14ac:dyDescent="0.35">
      <c r="A834" s="1">
        <v>45516</v>
      </c>
      <c r="B834" t="s">
        <v>2933</v>
      </c>
      <c r="C834" t="s">
        <v>21</v>
      </c>
      <c r="D834" s="9">
        <v>5</v>
      </c>
      <c r="E834" s="7">
        <v>448.86</v>
      </c>
      <c r="F834" t="s">
        <v>28</v>
      </c>
      <c r="G834" t="s">
        <v>30</v>
      </c>
      <c r="H834" s="12">
        <v>0.15</v>
      </c>
      <c r="I834" t="s">
        <v>34</v>
      </c>
      <c r="J834" s="7">
        <f>Table2[[#This Row],[UnitPrice]]*Table2[[#This Row],[Quantity]]*(1-Table2[[#This Row],[Discount]])</f>
        <v>1907.6550000000002</v>
      </c>
      <c r="K834" t="s">
        <v>40</v>
      </c>
      <c r="L834" t="s">
        <v>44</v>
      </c>
      <c r="M834">
        <v>1</v>
      </c>
      <c r="N834" t="s">
        <v>878</v>
      </c>
      <c r="O834" t="s">
        <v>2336</v>
      </c>
      <c r="P834" s="7">
        <v>21.22</v>
      </c>
      <c r="Q834" s="1">
        <v>45516</v>
      </c>
      <c r="R834">
        <f>WEEKNUM(Table2[[#This Row],[OrderDate]])</f>
        <v>33</v>
      </c>
      <c r="S834" s="1">
        <v>45525</v>
      </c>
      <c r="T834" t="s">
        <v>2921</v>
      </c>
    </row>
    <row r="835" spans="1:20" x14ac:dyDescent="0.35">
      <c r="A835" s="1">
        <v>45755</v>
      </c>
      <c r="B835" t="s">
        <v>2934</v>
      </c>
      <c r="C835" t="s">
        <v>20</v>
      </c>
      <c r="D835" s="9">
        <v>14</v>
      </c>
      <c r="E835" s="7">
        <v>299.94</v>
      </c>
      <c r="F835" t="s">
        <v>29</v>
      </c>
      <c r="G835" t="s">
        <v>31</v>
      </c>
      <c r="H835" s="12">
        <v>0</v>
      </c>
      <c r="I835" t="s">
        <v>35</v>
      </c>
      <c r="J835" s="7">
        <f>Table2[[#This Row],[UnitPrice]]*Table2[[#This Row],[Quantity]]*(1-Table2[[#This Row],[Discount]])</f>
        <v>4199.16</v>
      </c>
      <c r="K835" t="s">
        <v>39</v>
      </c>
      <c r="L835" t="s">
        <v>43</v>
      </c>
      <c r="M835">
        <v>0</v>
      </c>
      <c r="N835" t="s">
        <v>879</v>
      </c>
      <c r="O835" t="s">
        <v>2337</v>
      </c>
      <c r="P835" s="7">
        <v>21.04</v>
      </c>
      <c r="Q835" s="1">
        <v>45755</v>
      </c>
      <c r="R835">
        <f>WEEKNUM(Table2[[#This Row],[OrderDate]])</f>
        <v>15</v>
      </c>
      <c r="S835" s="1">
        <v>45764</v>
      </c>
      <c r="T835" t="s">
        <v>2920</v>
      </c>
    </row>
    <row r="836" spans="1:20" x14ac:dyDescent="0.35">
      <c r="A836" s="1">
        <v>45493</v>
      </c>
      <c r="B836" t="s">
        <v>2934</v>
      </c>
      <c r="C836" t="s">
        <v>19</v>
      </c>
      <c r="D836" s="9">
        <v>8</v>
      </c>
      <c r="E836" s="7">
        <v>224.18</v>
      </c>
      <c r="F836" t="s">
        <v>26</v>
      </c>
      <c r="G836" t="s">
        <v>31</v>
      </c>
      <c r="H836" s="12">
        <v>0.15</v>
      </c>
      <c r="I836" t="s">
        <v>37</v>
      </c>
      <c r="J836" s="7">
        <f>Table2[[#This Row],[UnitPrice]]*Table2[[#This Row],[Quantity]]*(1-Table2[[#This Row],[Discount]])</f>
        <v>1524.424</v>
      </c>
      <c r="K836" t="s">
        <v>41</v>
      </c>
      <c r="L836" t="s">
        <v>2937</v>
      </c>
      <c r="M836">
        <v>0</v>
      </c>
      <c r="N836" t="s">
        <v>880</v>
      </c>
      <c r="O836" t="s">
        <v>2338</v>
      </c>
      <c r="P836" s="7">
        <v>36.9</v>
      </c>
      <c r="Q836" s="1">
        <v>45493</v>
      </c>
      <c r="R836">
        <f>WEEKNUM(Table2[[#This Row],[OrderDate]])</f>
        <v>29</v>
      </c>
      <c r="S836" s="1">
        <v>45499</v>
      </c>
      <c r="T836" t="s">
        <v>2920</v>
      </c>
    </row>
    <row r="837" spans="1:20" x14ac:dyDescent="0.35">
      <c r="A837" s="1">
        <v>44974</v>
      </c>
      <c r="B837" t="s">
        <v>2933</v>
      </c>
      <c r="C837" t="s">
        <v>21</v>
      </c>
      <c r="D837" s="9">
        <v>6</v>
      </c>
      <c r="E837" s="7">
        <v>327.69</v>
      </c>
      <c r="F837" t="s">
        <v>29</v>
      </c>
      <c r="G837" t="s">
        <v>30</v>
      </c>
      <c r="H837" s="12">
        <v>0.05</v>
      </c>
      <c r="I837" t="s">
        <v>36</v>
      </c>
      <c r="J837" s="7">
        <f>Table2[[#This Row],[UnitPrice]]*Table2[[#This Row],[Quantity]]*(1-Table2[[#This Row],[Discount]])</f>
        <v>1867.8329999999999</v>
      </c>
      <c r="K837" t="s">
        <v>42</v>
      </c>
      <c r="L837" t="s">
        <v>2937</v>
      </c>
      <c r="M837">
        <v>0</v>
      </c>
      <c r="N837" t="s">
        <v>881</v>
      </c>
      <c r="O837" t="s">
        <v>2339</v>
      </c>
      <c r="P837" s="7">
        <v>22.34</v>
      </c>
      <c r="Q837" s="1">
        <v>44974</v>
      </c>
      <c r="R837">
        <f>WEEKNUM(Table2[[#This Row],[OrderDate]])</f>
        <v>7</v>
      </c>
      <c r="S837" s="1">
        <v>44978</v>
      </c>
      <c r="T837" t="s">
        <v>2921</v>
      </c>
    </row>
    <row r="838" spans="1:20" x14ac:dyDescent="0.35">
      <c r="A838" s="1">
        <v>45475</v>
      </c>
      <c r="B838" t="s">
        <v>2930</v>
      </c>
      <c r="C838" t="s">
        <v>20</v>
      </c>
      <c r="D838" s="9">
        <v>8</v>
      </c>
      <c r="E838" s="7">
        <v>432.27</v>
      </c>
      <c r="F838" t="s">
        <v>29</v>
      </c>
      <c r="G838" t="s">
        <v>31</v>
      </c>
      <c r="H838" s="12">
        <v>0.05</v>
      </c>
      <c r="I838" t="s">
        <v>32</v>
      </c>
      <c r="J838" s="7">
        <f>Table2[[#This Row],[UnitPrice]]*Table2[[#This Row],[Quantity]]*(1-Table2[[#This Row],[Discount]])</f>
        <v>3285.2519999999995</v>
      </c>
      <c r="K838" t="s">
        <v>42</v>
      </c>
      <c r="L838" t="s">
        <v>43</v>
      </c>
      <c r="M838">
        <v>1</v>
      </c>
      <c r="N838" t="s">
        <v>882</v>
      </c>
      <c r="O838" t="s">
        <v>2340</v>
      </c>
      <c r="P838" s="7">
        <v>20.64</v>
      </c>
      <c r="Q838" s="1">
        <v>45475</v>
      </c>
      <c r="R838">
        <f>WEEKNUM(Table2[[#This Row],[OrderDate]])</f>
        <v>27</v>
      </c>
      <c r="S838" s="1">
        <v>45477</v>
      </c>
      <c r="T838" t="s">
        <v>2917</v>
      </c>
    </row>
    <row r="839" spans="1:20" x14ac:dyDescent="0.35">
      <c r="A839" s="1">
        <v>45748</v>
      </c>
      <c r="B839" t="s">
        <v>2931</v>
      </c>
      <c r="C839" t="s">
        <v>23</v>
      </c>
      <c r="D839" s="9">
        <v>4</v>
      </c>
      <c r="E839" s="7">
        <v>249.98</v>
      </c>
      <c r="F839" t="s">
        <v>28</v>
      </c>
      <c r="G839" t="s">
        <v>31</v>
      </c>
      <c r="H839" s="12">
        <v>0.15</v>
      </c>
      <c r="I839" t="s">
        <v>32</v>
      </c>
      <c r="J839" s="7">
        <f>Table2[[#This Row],[UnitPrice]]*Table2[[#This Row],[Quantity]]*(1-Table2[[#This Row],[Discount]])</f>
        <v>849.9319999999999</v>
      </c>
      <c r="K839" t="s">
        <v>41</v>
      </c>
      <c r="L839" t="s">
        <v>44</v>
      </c>
      <c r="M839">
        <v>0</v>
      </c>
      <c r="N839" t="s">
        <v>883</v>
      </c>
      <c r="O839" t="s">
        <v>2341</v>
      </c>
      <c r="P839" s="7">
        <v>49.08</v>
      </c>
      <c r="Q839" s="1">
        <v>45748</v>
      </c>
      <c r="R839">
        <f>WEEKNUM(Table2[[#This Row],[OrderDate]])</f>
        <v>14</v>
      </c>
      <c r="S839" s="1">
        <v>45751</v>
      </c>
      <c r="T839" t="s">
        <v>2919</v>
      </c>
    </row>
    <row r="840" spans="1:20" x14ac:dyDescent="0.35">
      <c r="A840" s="1">
        <v>45810</v>
      </c>
      <c r="B840" t="s">
        <v>2932</v>
      </c>
      <c r="C840" t="s">
        <v>25</v>
      </c>
      <c r="D840" s="9">
        <v>14</v>
      </c>
      <c r="E840" s="7">
        <v>194.31</v>
      </c>
      <c r="F840" t="s">
        <v>28</v>
      </c>
      <c r="G840" t="s">
        <v>30</v>
      </c>
      <c r="H840" s="12">
        <v>0.15</v>
      </c>
      <c r="I840" t="s">
        <v>34</v>
      </c>
      <c r="J840" s="7">
        <f>Table2[[#This Row],[UnitPrice]]*Table2[[#This Row],[Quantity]]*(1-Table2[[#This Row],[Discount]])</f>
        <v>2312.2890000000002</v>
      </c>
      <c r="K840" t="s">
        <v>41</v>
      </c>
      <c r="L840" t="s">
        <v>43</v>
      </c>
      <c r="M840">
        <v>0</v>
      </c>
      <c r="N840" t="s">
        <v>884</v>
      </c>
      <c r="O840" t="s">
        <v>2342</v>
      </c>
      <c r="P840" s="7">
        <v>15.3</v>
      </c>
      <c r="Q840" s="1">
        <v>45810</v>
      </c>
      <c r="R840">
        <f>WEEKNUM(Table2[[#This Row],[OrderDate]])</f>
        <v>23</v>
      </c>
      <c r="S840" s="1">
        <v>45817</v>
      </c>
      <c r="T840" t="s">
        <v>2918</v>
      </c>
    </row>
    <row r="841" spans="1:20" x14ac:dyDescent="0.35">
      <c r="A841" s="1">
        <v>45617</v>
      </c>
      <c r="B841" t="s">
        <v>2933</v>
      </c>
      <c r="C841" t="s">
        <v>20</v>
      </c>
      <c r="D841" s="9">
        <v>5</v>
      </c>
      <c r="E841" s="7">
        <v>69.290000000000006</v>
      </c>
      <c r="F841" t="s">
        <v>28</v>
      </c>
      <c r="G841" t="s">
        <v>30</v>
      </c>
      <c r="H841" s="12">
        <v>0</v>
      </c>
      <c r="I841" t="s">
        <v>35</v>
      </c>
      <c r="J841" s="7">
        <f>Table2[[#This Row],[UnitPrice]]*Table2[[#This Row],[Quantity]]*(1-Table2[[#This Row],[Discount]])</f>
        <v>346.45000000000005</v>
      </c>
      <c r="K841" t="s">
        <v>40</v>
      </c>
      <c r="L841" t="s">
        <v>2937</v>
      </c>
      <c r="M841">
        <v>0</v>
      </c>
      <c r="N841" t="s">
        <v>885</v>
      </c>
      <c r="O841" t="s">
        <v>2343</v>
      </c>
      <c r="P841" s="7">
        <v>20.83</v>
      </c>
      <c r="Q841" s="1">
        <v>45617</v>
      </c>
      <c r="R841">
        <f>WEEKNUM(Table2[[#This Row],[OrderDate]])</f>
        <v>47</v>
      </c>
      <c r="S841" s="1">
        <v>45625</v>
      </c>
      <c r="T841" t="s">
        <v>2921</v>
      </c>
    </row>
    <row r="842" spans="1:20" x14ac:dyDescent="0.35">
      <c r="A842" s="1">
        <v>45301</v>
      </c>
      <c r="B842" t="s">
        <v>2932</v>
      </c>
      <c r="C842" t="s">
        <v>25</v>
      </c>
      <c r="D842" s="9">
        <v>15</v>
      </c>
      <c r="E842" s="7">
        <v>306.91000000000003</v>
      </c>
      <c r="F842" t="s">
        <v>27</v>
      </c>
      <c r="G842" t="s">
        <v>31</v>
      </c>
      <c r="H842" s="12">
        <v>0</v>
      </c>
      <c r="I842" t="s">
        <v>35</v>
      </c>
      <c r="J842" s="7">
        <f>Table2[[#This Row],[UnitPrice]]*Table2[[#This Row],[Quantity]]*(1-Table2[[#This Row],[Discount]])</f>
        <v>4603.6500000000005</v>
      </c>
      <c r="K842" t="s">
        <v>42</v>
      </c>
      <c r="L842" t="s">
        <v>43</v>
      </c>
      <c r="M842">
        <v>1</v>
      </c>
      <c r="N842" t="s">
        <v>886</v>
      </c>
      <c r="O842" t="s">
        <v>2344</v>
      </c>
      <c r="P842" s="7">
        <v>19.38</v>
      </c>
      <c r="Q842" s="1">
        <v>45301</v>
      </c>
      <c r="R842">
        <f>WEEKNUM(Table2[[#This Row],[OrderDate]])</f>
        <v>2</v>
      </c>
      <c r="S842" s="1">
        <v>45305</v>
      </c>
      <c r="T842" t="s">
        <v>2918</v>
      </c>
    </row>
    <row r="843" spans="1:20" x14ac:dyDescent="0.35">
      <c r="A843" s="1">
        <v>45220</v>
      </c>
      <c r="B843" t="s">
        <v>2931</v>
      </c>
      <c r="C843" t="s">
        <v>21</v>
      </c>
      <c r="D843" s="9">
        <v>4</v>
      </c>
      <c r="E843" s="7">
        <v>390.3</v>
      </c>
      <c r="F843" t="s">
        <v>27</v>
      </c>
      <c r="G843" t="s">
        <v>31</v>
      </c>
      <c r="H843" s="12">
        <v>0.15</v>
      </c>
      <c r="I843" t="s">
        <v>36</v>
      </c>
      <c r="J843" s="7">
        <f>Table2[[#This Row],[UnitPrice]]*Table2[[#This Row],[Quantity]]*(1-Table2[[#This Row],[Discount]])</f>
        <v>1327.02</v>
      </c>
      <c r="K843" t="s">
        <v>41</v>
      </c>
      <c r="L843" t="s">
        <v>2937</v>
      </c>
      <c r="M843">
        <v>0</v>
      </c>
      <c r="N843" t="s">
        <v>887</v>
      </c>
      <c r="O843" t="s">
        <v>2345</v>
      </c>
      <c r="P843" s="7">
        <v>43.56</v>
      </c>
      <c r="Q843" s="1">
        <v>45220</v>
      </c>
      <c r="R843">
        <f>WEEKNUM(Table2[[#This Row],[OrderDate]])</f>
        <v>42</v>
      </c>
      <c r="S843" s="1">
        <v>45225</v>
      </c>
      <c r="T843" t="s">
        <v>2919</v>
      </c>
    </row>
    <row r="844" spans="1:20" x14ac:dyDescent="0.35">
      <c r="A844" s="1">
        <v>45677</v>
      </c>
      <c r="B844" t="s">
        <v>2931</v>
      </c>
      <c r="C844" t="s">
        <v>20</v>
      </c>
      <c r="D844" s="9">
        <v>7</v>
      </c>
      <c r="E844" s="7">
        <v>61.83</v>
      </c>
      <c r="F844" t="s">
        <v>26</v>
      </c>
      <c r="G844" t="s">
        <v>31</v>
      </c>
      <c r="H844" s="12">
        <v>0</v>
      </c>
      <c r="I844" t="s">
        <v>36</v>
      </c>
      <c r="J844" s="7">
        <f>Table2[[#This Row],[UnitPrice]]*Table2[[#This Row],[Quantity]]*(1-Table2[[#This Row],[Discount]])</f>
        <v>432.81</v>
      </c>
      <c r="K844" t="s">
        <v>38</v>
      </c>
      <c r="L844" t="s">
        <v>45</v>
      </c>
      <c r="M844">
        <v>0</v>
      </c>
      <c r="N844" t="s">
        <v>888</v>
      </c>
      <c r="O844" t="s">
        <v>2346</v>
      </c>
      <c r="P844" s="7">
        <v>25.49</v>
      </c>
      <c r="Q844" s="1">
        <v>45677</v>
      </c>
      <c r="R844">
        <f>WEEKNUM(Table2[[#This Row],[OrderDate]])</f>
        <v>4</v>
      </c>
      <c r="S844" s="1">
        <v>45679</v>
      </c>
      <c r="T844" t="s">
        <v>2919</v>
      </c>
    </row>
    <row r="845" spans="1:20" x14ac:dyDescent="0.35">
      <c r="A845" s="1">
        <v>45605</v>
      </c>
      <c r="B845" t="s">
        <v>2933</v>
      </c>
      <c r="C845" t="s">
        <v>23</v>
      </c>
      <c r="D845" s="9">
        <v>7</v>
      </c>
      <c r="E845" s="7">
        <v>83.32</v>
      </c>
      <c r="F845" t="s">
        <v>29</v>
      </c>
      <c r="G845" t="s">
        <v>30</v>
      </c>
      <c r="H845" s="12">
        <v>0.05</v>
      </c>
      <c r="I845" t="s">
        <v>35</v>
      </c>
      <c r="J845" s="7">
        <f>Table2[[#This Row],[UnitPrice]]*Table2[[#This Row],[Quantity]]*(1-Table2[[#This Row],[Discount]])</f>
        <v>554.07799999999997</v>
      </c>
      <c r="K845" t="s">
        <v>42</v>
      </c>
      <c r="L845" t="s">
        <v>43</v>
      </c>
      <c r="M845">
        <v>0</v>
      </c>
      <c r="N845" t="s">
        <v>889</v>
      </c>
      <c r="O845" t="s">
        <v>2347</v>
      </c>
      <c r="P845" s="7">
        <v>23.4</v>
      </c>
      <c r="Q845" s="1">
        <v>45605</v>
      </c>
      <c r="R845">
        <f>WEEKNUM(Table2[[#This Row],[OrderDate]])</f>
        <v>45</v>
      </c>
      <c r="S845" s="1">
        <v>45613</v>
      </c>
      <c r="T845" t="s">
        <v>2921</v>
      </c>
    </row>
    <row r="846" spans="1:20" x14ac:dyDescent="0.35">
      <c r="A846" s="1">
        <v>45385</v>
      </c>
      <c r="B846" t="s">
        <v>2933</v>
      </c>
      <c r="C846" t="s">
        <v>23</v>
      </c>
      <c r="D846" s="9">
        <v>4</v>
      </c>
      <c r="E846" s="7">
        <v>563.05999999999995</v>
      </c>
      <c r="F846" t="s">
        <v>29</v>
      </c>
      <c r="G846" t="s">
        <v>31</v>
      </c>
      <c r="H846" s="12">
        <v>0.05</v>
      </c>
      <c r="I846" t="s">
        <v>37</v>
      </c>
      <c r="J846" s="7">
        <f>Table2[[#This Row],[UnitPrice]]*Table2[[#This Row],[Quantity]]*(1-Table2[[#This Row],[Discount]])</f>
        <v>2139.6279999999997</v>
      </c>
      <c r="K846" t="s">
        <v>42</v>
      </c>
      <c r="L846" t="s">
        <v>45</v>
      </c>
      <c r="M846">
        <v>0</v>
      </c>
      <c r="N846" t="s">
        <v>890</v>
      </c>
      <c r="O846" t="s">
        <v>2348</v>
      </c>
      <c r="P846" s="7">
        <v>19.5</v>
      </c>
      <c r="Q846" s="1">
        <v>45385</v>
      </c>
      <c r="R846">
        <f>WEEKNUM(Table2[[#This Row],[OrderDate]])</f>
        <v>14</v>
      </c>
      <c r="S846" s="1">
        <v>45389</v>
      </c>
      <c r="T846" t="s">
        <v>2921</v>
      </c>
    </row>
    <row r="847" spans="1:20" x14ac:dyDescent="0.35">
      <c r="A847" s="1">
        <v>45297</v>
      </c>
      <c r="B847" t="s">
        <v>2931</v>
      </c>
      <c r="C847" t="s">
        <v>20</v>
      </c>
      <c r="D847" s="9">
        <v>13</v>
      </c>
      <c r="E847" s="7">
        <v>256.35000000000002</v>
      </c>
      <c r="F847" t="s">
        <v>29</v>
      </c>
      <c r="G847" t="s">
        <v>30</v>
      </c>
      <c r="H847" s="12">
        <v>0.15</v>
      </c>
      <c r="I847" t="s">
        <v>33</v>
      </c>
      <c r="J847" s="7">
        <f>Table2[[#This Row],[UnitPrice]]*Table2[[#This Row],[Quantity]]*(1-Table2[[#This Row],[Discount]])</f>
        <v>2832.6675</v>
      </c>
      <c r="K847" t="s">
        <v>42</v>
      </c>
      <c r="L847" t="s">
        <v>44</v>
      </c>
      <c r="M847">
        <v>0</v>
      </c>
      <c r="N847" t="s">
        <v>891</v>
      </c>
      <c r="O847" t="s">
        <v>2349</v>
      </c>
      <c r="P847" s="7">
        <v>26.04</v>
      </c>
      <c r="Q847" s="1">
        <v>45297</v>
      </c>
      <c r="R847">
        <f>WEEKNUM(Table2[[#This Row],[OrderDate]])</f>
        <v>1</v>
      </c>
      <c r="S847" s="1">
        <v>45299</v>
      </c>
      <c r="T847" t="s">
        <v>2919</v>
      </c>
    </row>
    <row r="848" spans="1:20" x14ac:dyDescent="0.35">
      <c r="A848" s="1">
        <v>45140</v>
      </c>
      <c r="B848" t="s">
        <v>2934</v>
      </c>
      <c r="C848" t="s">
        <v>25</v>
      </c>
      <c r="D848" s="9">
        <v>9</v>
      </c>
      <c r="E848" s="7">
        <v>303.26</v>
      </c>
      <c r="F848" t="s">
        <v>27</v>
      </c>
      <c r="G848" t="s">
        <v>30</v>
      </c>
      <c r="H848" s="12">
        <v>0.05</v>
      </c>
      <c r="I848" t="s">
        <v>36</v>
      </c>
      <c r="J848" s="7">
        <f>Table2[[#This Row],[UnitPrice]]*Table2[[#This Row],[Quantity]]*(1-Table2[[#This Row],[Discount]])</f>
        <v>2592.873</v>
      </c>
      <c r="K848" t="s">
        <v>41</v>
      </c>
      <c r="L848" t="s">
        <v>43</v>
      </c>
      <c r="M848">
        <v>0</v>
      </c>
      <c r="N848" t="s">
        <v>892</v>
      </c>
      <c r="O848" t="s">
        <v>2350</v>
      </c>
      <c r="P848" s="7">
        <v>17.010000000000002</v>
      </c>
      <c r="Q848" s="1">
        <v>45140</v>
      </c>
      <c r="R848">
        <f>WEEKNUM(Table2[[#This Row],[OrderDate]])</f>
        <v>31</v>
      </c>
      <c r="S848" s="1">
        <v>45143</v>
      </c>
      <c r="T848" t="s">
        <v>2920</v>
      </c>
    </row>
    <row r="849" spans="1:20" x14ac:dyDescent="0.35">
      <c r="A849" s="1">
        <v>45256</v>
      </c>
      <c r="B849" t="s">
        <v>2931</v>
      </c>
      <c r="C849" t="s">
        <v>22</v>
      </c>
      <c r="D849" s="9">
        <v>9</v>
      </c>
      <c r="E849" s="7">
        <v>440.48</v>
      </c>
      <c r="F849" t="s">
        <v>27</v>
      </c>
      <c r="G849" t="s">
        <v>31</v>
      </c>
      <c r="H849" s="12">
        <v>0.15</v>
      </c>
      <c r="I849" t="s">
        <v>36</v>
      </c>
      <c r="J849" s="7">
        <f>Table2[[#This Row],[UnitPrice]]*Table2[[#This Row],[Quantity]]*(1-Table2[[#This Row],[Discount]])</f>
        <v>3369.672</v>
      </c>
      <c r="K849" t="s">
        <v>39</v>
      </c>
      <c r="L849" t="s">
        <v>45</v>
      </c>
      <c r="M849">
        <v>0</v>
      </c>
      <c r="N849" t="s">
        <v>893</v>
      </c>
      <c r="O849" t="s">
        <v>2351</v>
      </c>
      <c r="P849" s="7">
        <v>32.94</v>
      </c>
      <c r="Q849" s="1">
        <v>45256</v>
      </c>
      <c r="R849">
        <f>WEEKNUM(Table2[[#This Row],[OrderDate]])</f>
        <v>48</v>
      </c>
      <c r="S849" s="1">
        <v>45261</v>
      </c>
      <c r="T849" t="s">
        <v>2919</v>
      </c>
    </row>
    <row r="850" spans="1:20" x14ac:dyDescent="0.35">
      <c r="A850" s="1">
        <v>45767</v>
      </c>
      <c r="B850" t="s">
        <v>2930</v>
      </c>
      <c r="C850" t="s">
        <v>21</v>
      </c>
      <c r="D850" s="9">
        <v>17</v>
      </c>
      <c r="E850" s="7">
        <v>469.25</v>
      </c>
      <c r="F850" t="s">
        <v>26</v>
      </c>
      <c r="G850" t="s">
        <v>30</v>
      </c>
      <c r="H850" s="12">
        <v>0.05</v>
      </c>
      <c r="I850" t="s">
        <v>37</v>
      </c>
      <c r="J850" s="7">
        <f>Table2[[#This Row],[UnitPrice]]*Table2[[#This Row],[Quantity]]*(1-Table2[[#This Row],[Discount]])</f>
        <v>7578.3874999999998</v>
      </c>
      <c r="K850" t="s">
        <v>40</v>
      </c>
      <c r="L850" t="s">
        <v>2937</v>
      </c>
      <c r="M850">
        <v>0</v>
      </c>
      <c r="N850" t="s">
        <v>894</v>
      </c>
      <c r="O850" t="s">
        <v>2352</v>
      </c>
      <c r="P850" s="7">
        <v>45.76</v>
      </c>
      <c r="Q850" s="1">
        <v>45767</v>
      </c>
      <c r="R850">
        <f>WEEKNUM(Table2[[#This Row],[OrderDate]])</f>
        <v>17</v>
      </c>
      <c r="S850" s="1">
        <v>45773</v>
      </c>
      <c r="T850" t="s">
        <v>2917</v>
      </c>
    </row>
    <row r="851" spans="1:20" x14ac:dyDescent="0.35">
      <c r="A851" s="1">
        <v>45289</v>
      </c>
      <c r="B851" t="s">
        <v>2932</v>
      </c>
      <c r="C851" t="s">
        <v>22</v>
      </c>
      <c r="D851" s="9">
        <v>18</v>
      </c>
      <c r="E851" s="7">
        <v>491.76</v>
      </c>
      <c r="F851" t="s">
        <v>27</v>
      </c>
      <c r="G851" t="s">
        <v>30</v>
      </c>
      <c r="H851" s="12">
        <v>0.15</v>
      </c>
      <c r="I851" t="s">
        <v>32</v>
      </c>
      <c r="J851" s="7">
        <f>Table2[[#This Row],[UnitPrice]]*Table2[[#This Row],[Quantity]]*(1-Table2[[#This Row],[Discount]])</f>
        <v>7523.9279999999999</v>
      </c>
      <c r="K851" t="s">
        <v>40</v>
      </c>
      <c r="L851" t="s">
        <v>44</v>
      </c>
      <c r="M851">
        <v>0</v>
      </c>
      <c r="N851" t="s">
        <v>895</v>
      </c>
      <c r="O851" t="s">
        <v>2353</v>
      </c>
      <c r="P851" s="7">
        <v>37.49</v>
      </c>
      <c r="Q851" s="1">
        <v>45289</v>
      </c>
      <c r="R851">
        <f>WEEKNUM(Table2[[#This Row],[OrderDate]])</f>
        <v>52</v>
      </c>
      <c r="S851" s="1">
        <v>45296</v>
      </c>
      <c r="T851" t="s">
        <v>2918</v>
      </c>
    </row>
    <row r="852" spans="1:20" x14ac:dyDescent="0.35">
      <c r="A852" s="1">
        <v>45665</v>
      </c>
      <c r="B852" t="s">
        <v>2934</v>
      </c>
      <c r="C852" t="s">
        <v>22</v>
      </c>
      <c r="D852" s="9">
        <v>19</v>
      </c>
      <c r="E852" s="7">
        <v>465.27</v>
      </c>
      <c r="F852" t="s">
        <v>28</v>
      </c>
      <c r="G852" t="s">
        <v>31</v>
      </c>
      <c r="H852" s="12">
        <v>0.05</v>
      </c>
      <c r="I852" t="s">
        <v>36</v>
      </c>
      <c r="J852" s="7">
        <f>Table2[[#This Row],[UnitPrice]]*Table2[[#This Row],[Quantity]]*(1-Table2[[#This Row],[Discount]])</f>
        <v>8398.1234999999997</v>
      </c>
      <c r="K852" t="s">
        <v>40</v>
      </c>
      <c r="L852" t="s">
        <v>2937</v>
      </c>
      <c r="M852">
        <v>0</v>
      </c>
      <c r="N852" t="s">
        <v>896</v>
      </c>
      <c r="O852" t="s">
        <v>2354</v>
      </c>
      <c r="P852" s="7">
        <v>44.95</v>
      </c>
      <c r="Q852" s="1">
        <v>45665</v>
      </c>
      <c r="R852">
        <f>WEEKNUM(Table2[[#This Row],[OrderDate]])</f>
        <v>2</v>
      </c>
      <c r="S852" s="1">
        <v>45667</v>
      </c>
      <c r="T852" t="s">
        <v>2920</v>
      </c>
    </row>
    <row r="853" spans="1:20" x14ac:dyDescent="0.35">
      <c r="A853" s="1">
        <v>45418</v>
      </c>
      <c r="B853" t="s">
        <v>2930</v>
      </c>
      <c r="C853" t="s">
        <v>22</v>
      </c>
      <c r="D853" s="9">
        <v>18</v>
      </c>
      <c r="E853" s="7">
        <v>343.68</v>
      </c>
      <c r="F853" t="s">
        <v>26</v>
      </c>
      <c r="G853" t="s">
        <v>31</v>
      </c>
      <c r="H853" s="12">
        <v>0</v>
      </c>
      <c r="I853" t="s">
        <v>32</v>
      </c>
      <c r="J853" s="7">
        <f>Table2[[#This Row],[UnitPrice]]*Table2[[#This Row],[Quantity]]*(1-Table2[[#This Row],[Discount]])</f>
        <v>6186.24</v>
      </c>
      <c r="K853" t="s">
        <v>39</v>
      </c>
      <c r="L853" t="s">
        <v>44</v>
      </c>
      <c r="M853">
        <v>0</v>
      </c>
      <c r="N853" t="s">
        <v>897</v>
      </c>
      <c r="O853" t="s">
        <v>2355</v>
      </c>
      <c r="P853" s="7">
        <v>20.37</v>
      </c>
      <c r="Q853" s="1">
        <v>45418</v>
      </c>
      <c r="R853">
        <f>WEEKNUM(Table2[[#This Row],[OrderDate]])</f>
        <v>19</v>
      </c>
      <c r="S853" s="1">
        <v>45426</v>
      </c>
      <c r="T853" t="s">
        <v>2917</v>
      </c>
    </row>
    <row r="854" spans="1:20" x14ac:dyDescent="0.35">
      <c r="A854" s="1">
        <v>45550</v>
      </c>
      <c r="B854" t="s">
        <v>2931</v>
      </c>
      <c r="C854" t="s">
        <v>21</v>
      </c>
      <c r="D854" s="9">
        <v>14</v>
      </c>
      <c r="E854" s="7">
        <v>472.51</v>
      </c>
      <c r="F854" t="s">
        <v>29</v>
      </c>
      <c r="G854" t="s">
        <v>30</v>
      </c>
      <c r="H854" s="12">
        <v>0.05</v>
      </c>
      <c r="I854" t="s">
        <v>37</v>
      </c>
      <c r="J854" s="7">
        <f>Table2[[#This Row],[UnitPrice]]*Table2[[#This Row],[Quantity]]*(1-Table2[[#This Row],[Discount]])</f>
        <v>6284.3829999999989</v>
      </c>
      <c r="K854" t="s">
        <v>39</v>
      </c>
      <c r="L854" t="s">
        <v>2937</v>
      </c>
      <c r="M854">
        <v>0</v>
      </c>
      <c r="N854" t="s">
        <v>898</v>
      </c>
      <c r="O854" t="s">
        <v>2356</v>
      </c>
      <c r="P854" s="7">
        <v>13.54</v>
      </c>
      <c r="Q854" s="1">
        <v>45550</v>
      </c>
      <c r="R854">
        <f>WEEKNUM(Table2[[#This Row],[OrderDate]])</f>
        <v>38</v>
      </c>
      <c r="S854" s="1">
        <v>45555</v>
      </c>
      <c r="T854" t="s">
        <v>2919</v>
      </c>
    </row>
    <row r="855" spans="1:20" x14ac:dyDescent="0.35">
      <c r="A855" s="1">
        <v>44964</v>
      </c>
      <c r="B855" t="s">
        <v>2933</v>
      </c>
      <c r="C855" t="s">
        <v>19</v>
      </c>
      <c r="D855" s="9">
        <v>20</v>
      </c>
      <c r="E855" s="7">
        <v>142.52000000000001</v>
      </c>
      <c r="F855" t="s">
        <v>27</v>
      </c>
      <c r="G855" t="s">
        <v>31</v>
      </c>
      <c r="H855" s="12">
        <v>0.1</v>
      </c>
      <c r="I855" t="s">
        <v>32</v>
      </c>
      <c r="J855" s="7">
        <f>Table2[[#This Row],[UnitPrice]]*Table2[[#This Row],[Quantity]]*(1-Table2[[#This Row],[Discount]])</f>
        <v>2565.36</v>
      </c>
      <c r="K855" t="s">
        <v>42</v>
      </c>
      <c r="L855" t="s">
        <v>43</v>
      </c>
      <c r="M855">
        <v>0</v>
      </c>
      <c r="N855" t="s">
        <v>899</v>
      </c>
      <c r="O855" t="s">
        <v>2357</v>
      </c>
      <c r="P855" s="7">
        <v>30.67</v>
      </c>
      <c r="Q855" s="1">
        <v>44964</v>
      </c>
      <c r="R855">
        <f>WEEKNUM(Table2[[#This Row],[OrderDate]])</f>
        <v>6</v>
      </c>
      <c r="S855" s="1">
        <v>44969</v>
      </c>
      <c r="T855" t="s">
        <v>2921</v>
      </c>
    </row>
    <row r="856" spans="1:20" x14ac:dyDescent="0.35">
      <c r="A856" s="1">
        <v>44986</v>
      </c>
      <c r="B856" t="s">
        <v>2930</v>
      </c>
      <c r="C856" t="s">
        <v>20</v>
      </c>
      <c r="D856" s="9">
        <v>1</v>
      </c>
      <c r="E856" s="7">
        <v>31.42</v>
      </c>
      <c r="F856" t="s">
        <v>26</v>
      </c>
      <c r="G856" t="s">
        <v>31</v>
      </c>
      <c r="H856" s="12">
        <v>0.05</v>
      </c>
      <c r="I856" t="s">
        <v>37</v>
      </c>
      <c r="J856" s="7">
        <f>Table2[[#This Row],[UnitPrice]]*Table2[[#This Row],[Quantity]]*(1-Table2[[#This Row],[Discount]])</f>
        <v>29.849</v>
      </c>
      <c r="K856" t="s">
        <v>40</v>
      </c>
      <c r="L856" t="s">
        <v>44</v>
      </c>
      <c r="M856">
        <v>0</v>
      </c>
      <c r="N856" t="s">
        <v>900</v>
      </c>
      <c r="O856" t="s">
        <v>1730</v>
      </c>
      <c r="P856" s="7">
        <v>11.35</v>
      </c>
      <c r="Q856" s="1">
        <v>44986</v>
      </c>
      <c r="R856">
        <f>WEEKNUM(Table2[[#This Row],[OrderDate]])</f>
        <v>9</v>
      </c>
      <c r="S856" s="1">
        <v>44994</v>
      </c>
      <c r="T856" t="s">
        <v>2917</v>
      </c>
    </row>
    <row r="857" spans="1:20" x14ac:dyDescent="0.35">
      <c r="A857" s="1">
        <v>45420</v>
      </c>
      <c r="B857" t="s">
        <v>2931</v>
      </c>
      <c r="C857" t="s">
        <v>24</v>
      </c>
      <c r="D857" s="9">
        <v>17</v>
      </c>
      <c r="E857" s="7">
        <v>572.29</v>
      </c>
      <c r="F857" t="s">
        <v>29</v>
      </c>
      <c r="G857" t="s">
        <v>31</v>
      </c>
      <c r="H857" s="12">
        <v>0.15</v>
      </c>
      <c r="I857" t="s">
        <v>32</v>
      </c>
      <c r="J857" s="7">
        <f>Table2[[#This Row],[UnitPrice]]*Table2[[#This Row],[Quantity]]*(1-Table2[[#This Row],[Discount]])</f>
        <v>8269.5905000000002</v>
      </c>
      <c r="K857" t="s">
        <v>38</v>
      </c>
      <c r="L857" t="s">
        <v>44</v>
      </c>
      <c r="M857">
        <v>1</v>
      </c>
      <c r="N857" t="s">
        <v>901</v>
      </c>
      <c r="O857" t="s">
        <v>2358</v>
      </c>
      <c r="P857" s="7">
        <v>44.99</v>
      </c>
      <c r="Q857" s="1">
        <v>45420</v>
      </c>
      <c r="R857">
        <f>WEEKNUM(Table2[[#This Row],[OrderDate]])</f>
        <v>19</v>
      </c>
      <c r="S857" s="1">
        <v>45424</v>
      </c>
      <c r="T857" t="s">
        <v>2919</v>
      </c>
    </row>
    <row r="858" spans="1:20" x14ac:dyDescent="0.35">
      <c r="A858" s="1">
        <v>45449</v>
      </c>
      <c r="B858" t="s">
        <v>2930</v>
      </c>
      <c r="C858" t="s">
        <v>21</v>
      </c>
      <c r="D858" s="9">
        <v>18</v>
      </c>
      <c r="E858" s="7">
        <v>333.6</v>
      </c>
      <c r="F858" t="s">
        <v>27</v>
      </c>
      <c r="G858" t="s">
        <v>31</v>
      </c>
      <c r="H858" s="12">
        <v>0.1</v>
      </c>
      <c r="I858" t="s">
        <v>35</v>
      </c>
      <c r="J858" s="7">
        <f>Table2[[#This Row],[UnitPrice]]*Table2[[#This Row],[Quantity]]*(1-Table2[[#This Row],[Discount]])</f>
        <v>5404.3200000000006</v>
      </c>
      <c r="K858" t="s">
        <v>41</v>
      </c>
      <c r="L858" t="s">
        <v>43</v>
      </c>
      <c r="M858">
        <v>1</v>
      </c>
      <c r="N858" t="s">
        <v>902</v>
      </c>
      <c r="O858" t="s">
        <v>2359</v>
      </c>
      <c r="P858" s="7">
        <v>33.79</v>
      </c>
      <c r="Q858" s="1">
        <v>45449</v>
      </c>
      <c r="R858">
        <f>WEEKNUM(Table2[[#This Row],[OrderDate]])</f>
        <v>23</v>
      </c>
      <c r="S858" s="1">
        <v>45451</v>
      </c>
      <c r="T858" t="s">
        <v>2917</v>
      </c>
    </row>
    <row r="859" spans="1:20" x14ac:dyDescent="0.35">
      <c r="A859" s="1">
        <v>45045</v>
      </c>
      <c r="B859" t="s">
        <v>2931</v>
      </c>
      <c r="C859" t="s">
        <v>22</v>
      </c>
      <c r="D859" s="9">
        <v>9</v>
      </c>
      <c r="E859" s="7">
        <v>90.87</v>
      </c>
      <c r="F859" t="s">
        <v>29</v>
      </c>
      <c r="G859" t="s">
        <v>31</v>
      </c>
      <c r="H859" s="12">
        <v>0.15</v>
      </c>
      <c r="I859" t="s">
        <v>35</v>
      </c>
      <c r="J859" s="7">
        <f>Table2[[#This Row],[UnitPrice]]*Table2[[#This Row],[Quantity]]*(1-Table2[[#This Row],[Discount]])</f>
        <v>695.15549999999996</v>
      </c>
      <c r="K859" t="s">
        <v>41</v>
      </c>
      <c r="L859" t="s">
        <v>45</v>
      </c>
      <c r="M859">
        <v>0</v>
      </c>
      <c r="N859" t="s">
        <v>903</v>
      </c>
      <c r="O859" t="s">
        <v>2360</v>
      </c>
      <c r="P859" s="7">
        <v>26.56</v>
      </c>
      <c r="Q859" s="1">
        <v>45045</v>
      </c>
      <c r="R859">
        <f>WEEKNUM(Table2[[#This Row],[OrderDate]])</f>
        <v>17</v>
      </c>
      <c r="S859" s="1">
        <v>45054</v>
      </c>
      <c r="T859" t="s">
        <v>2919</v>
      </c>
    </row>
    <row r="860" spans="1:20" x14ac:dyDescent="0.35">
      <c r="A860" s="1">
        <v>45189</v>
      </c>
      <c r="B860" t="s">
        <v>2934</v>
      </c>
      <c r="C860" t="s">
        <v>24</v>
      </c>
      <c r="D860" s="9">
        <v>9</v>
      </c>
      <c r="E860" s="7">
        <v>588.59</v>
      </c>
      <c r="F860" t="s">
        <v>29</v>
      </c>
      <c r="G860" t="s">
        <v>30</v>
      </c>
      <c r="H860" s="12">
        <v>0.05</v>
      </c>
      <c r="I860" t="s">
        <v>36</v>
      </c>
      <c r="J860" s="7">
        <f>Table2[[#This Row],[UnitPrice]]*Table2[[#This Row],[Quantity]]*(1-Table2[[#This Row],[Discount]])</f>
        <v>5032.4445000000005</v>
      </c>
      <c r="K860" t="s">
        <v>38</v>
      </c>
      <c r="L860" t="s">
        <v>2937</v>
      </c>
      <c r="M860">
        <v>0</v>
      </c>
      <c r="N860" t="s">
        <v>904</v>
      </c>
      <c r="O860" t="s">
        <v>2361</v>
      </c>
      <c r="P860" s="7">
        <v>42.3</v>
      </c>
      <c r="Q860" s="1">
        <v>45189</v>
      </c>
      <c r="R860">
        <f>WEEKNUM(Table2[[#This Row],[OrderDate]])</f>
        <v>38</v>
      </c>
      <c r="S860" s="1">
        <v>45191</v>
      </c>
      <c r="T860" t="s">
        <v>2920</v>
      </c>
    </row>
    <row r="861" spans="1:20" x14ac:dyDescent="0.35">
      <c r="A861" s="1">
        <v>45604</v>
      </c>
      <c r="B861" t="s">
        <v>2932</v>
      </c>
      <c r="C861" t="s">
        <v>22</v>
      </c>
      <c r="D861" s="9">
        <v>18</v>
      </c>
      <c r="E861" s="7">
        <v>153.28</v>
      </c>
      <c r="F861" t="s">
        <v>26</v>
      </c>
      <c r="G861" t="s">
        <v>31</v>
      </c>
      <c r="H861" s="12">
        <v>0.05</v>
      </c>
      <c r="I861" t="s">
        <v>34</v>
      </c>
      <c r="J861" s="7">
        <f>Table2[[#This Row],[UnitPrice]]*Table2[[#This Row],[Quantity]]*(1-Table2[[#This Row],[Discount]])</f>
        <v>2621.0879999999997</v>
      </c>
      <c r="K861" t="s">
        <v>38</v>
      </c>
      <c r="L861" t="s">
        <v>45</v>
      </c>
      <c r="M861">
        <v>1</v>
      </c>
      <c r="N861" t="s">
        <v>905</v>
      </c>
      <c r="O861" t="s">
        <v>2362</v>
      </c>
      <c r="P861" s="7">
        <v>33.71</v>
      </c>
      <c r="Q861" s="1">
        <v>45604</v>
      </c>
      <c r="R861">
        <f>WEEKNUM(Table2[[#This Row],[OrderDate]])</f>
        <v>45</v>
      </c>
      <c r="S861" s="1">
        <v>45609</v>
      </c>
      <c r="T861" t="s">
        <v>2918</v>
      </c>
    </row>
    <row r="862" spans="1:20" x14ac:dyDescent="0.35">
      <c r="A862" s="1">
        <v>45007</v>
      </c>
      <c r="B862" t="s">
        <v>2931</v>
      </c>
      <c r="C862" t="s">
        <v>25</v>
      </c>
      <c r="D862" s="9">
        <v>17</v>
      </c>
      <c r="E862" s="7">
        <v>194.97</v>
      </c>
      <c r="F862" t="s">
        <v>27</v>
      </c>
      <c r="G862" t="s">
        <v>31</v>
      </c>
      <c r="H862" s="12">
        <v>0.15</v>
      </c>
      <c r="I862" t="s">
        <v>35</v>
      </c>
      <c r="J862" s="7">
        <f>Table2[[#This Row],[UnitPrice]]*Table2[[#This Row],[Quantity]]*(1-Table2[[#This Row],[Discount]])</f>
        <v>2817.3164999999999</v>
      </c>
      <c r="K862" t="s">
        <v>39</v>
      </c>
      <c r="L862" t="s">
        <v>44</v>
      </c>
      <c r="M862">
        <v>1</v>
      </c>
      <c r="N862" t="s">
        <v>906</v>
      </c>
      <c r="O862" t="s">
        <v>2363</v>
      </c>
      <c r="P862" s="7">
        <v>5.59</v>
      </c>
      <c r="Q862" s="1">
        <v>45007</v>
      </c>
      <c r="R862">
        <f>WEEKNUM(Table2[[#This Row],[OrderDate]])</f>
        <v>12</v>
      </c>
      <c r="S862" s="1">
        <v>45015</v>
      </c>
      <c r="T862" t="s">
        <v>2919</v>
      </c>
    </row>
    <row r="863" spans="1:20" x14ac:dyDescent="0.35">
      <c r="A863" s="1">
        <v>45174</v>
      </c>
      <c r="B863" t="s">
        <v>2930</v>
      </c>
      <c r="C863" t="s">
        <v>23</v>
      </c>
      <c r="D863" s="9">
        <v>5</v>
      </c>
      <c r="E863" s="7">
        <v>367.61</v>
      </c>
      <c r="F863" t="s">
        <v>28</v>
      </c>
      <c r="G863" t="s">
        <v>31</v>
      </c>
      <c r="H863" s="12">
        <v>0</v>
      </c>
      <c r="I863" t="s">
        <v>33</v>
      </c>
      <c r="J863" s="7">
        <f>Table2[[#This Row],[UnitPrice]]*Table2[[#This Row],[Quantity]]*(1-Table2[[#This Row],[Discount]])</f>
        <v>1838.0500000000002</v>
      </c>
      <c r="K863" t="s">
        <v>40</v>
      </c>
      <c r="L863" t="s">
        <v>44</v>
      </c>
      <c r="M863">
        <v>0</v>
      </c>
      <c r="N863" t="s">
        <v>907</v>
      </c>
      <c r="O863" t="s">
        <v>2364</v>
      </c>
      <c r="P863" s="7">
        <v>19.55</v>
      </c>
      <c r="Q863" s="1">
        <v>45174</v>
      </c>
      <c r="R863">
        <f>WEEKNUM(Table2[[#This Row],[OrderDate]])</f>
        <v>36</v>
      </c>
      <c r="S863" s="1">
        <v>45182</v>
      </c>
      <c r="T863" t="s">
        <v>2917</v>
      </c>
    </row>
    <row r="864" spans="1:20" x14ac:dyDescent="0.35">
      <c r="A864" s="1">
        <v>44983</v>
      </c>
      <c r="B864" t="s">
        <v>2930</v>
      </c>
      <c r="C864" t="s">
        <v>19</v>
      </c>
      <c r="D864" s="9">
        <v>17</v>
      </c>
      <c r="E864" s="7">
        <v>575.5</v>
      </c>
      <c r="F864" t="s">
        <v>29</v>
      </c>
      <c r="G864" t="s">
        <v>31</v>
      </c>
      <c r="H864" s="12">
        <v>0.05</v>
      </c>
      <c r="I864" t="s">
        <v>33</v>
      </c>
      <c r="J864" s="7">
        <f>Table2[[#This Row],[UnitPrice]]*Table2[[#This Row],[Quantity]]*(1-Table2[[#This Row],[Discount]])</f>
        <v>9294.3249999999989</v>
      </c>
      <c r="K864" t="s">
        <v>41</v>
      </c>
      <c r="L864" t="s">
        <v>43</v>
      </c>
      <c r="M864">
        <v>0</v>
      </c>
      <c r="N864" t="s">
        <v>908</v>
      </c>
      <c r="O864" t="s">
        <v>2365</v>
      </c>
      <c r="P864" s="7">
        <v>13.42</v>
      </c>
      <c r="Q864" s="1">
        <v>44983</v>
      </c>
      <c r="R864">
        <f>WEEKNUM(Table2[[#This Row],[OrderDate]])</f>
        <v>9</v>
      </c>
      <c r="S864" s="1">
        <v>44990</v>
      </c>
      <c r="T864" t="s">
        <v>2917</v>
      </c>
    </row>
    <row r="865" spans="1:20" x14ac:dyDescent="0.35">
      <c r="A865" s="1">
        <v>45622</v>
      </c>
      <c r="B865" t="s">
        <v>2933</v>
      </c>
      <c r="C865" t="s">
        <v>22</v>
      </c>
      <c r="D865" s="9">
        <v>3</v>
      </c>
      <c r="E865" s="7">
        <v>229.45</v>
      </c>
      <c r="F865" t="s">
        <v>29</v>
      </c>
      <c r="G865" t="s">
        <v>31</v>
      </c>
      <c r="H865" s="12">
        <v>0.15</v>
      </c>
      <c r="I865" t="s">
        <v>37</v>
      </c>
      <c r="J865" s="7">
        <f>Table2[[#This Row],[UnitPrice]]*Table2[[#This Row],[Quantity]]*(1-Table2[[#This Row],[Discount]])</f>
        <v>585.09749999999985</v>
      </c>
      <c r="K865" t="s">
        <v>41</v>
      </c>
      <c r="L865" t="s">
        <v>45</v>
      </c>
      <c r="M865">
        <v>1</v>
      </c>
      <c r="N865" t="s">
        <v>909</v>
      </c>
      <c r="O865" t="s">
        <v>2366</v>
      </c>
      <c r="P865" s="7">
        <v>19.809999999999999</v>
      </c>
      <c r="Q865" s="1">
        <v>45622</v>
      </c>
      <c r="R865">
        <f>WEEKNUM(Table2[[#This Row],[OrderDate]])</f>
        <v>48</v>
      </c>
      <c r="S865" s="1">
        <v>45625</v>
      </c>
      <c r="T865" t="s">
        <v>2921</v>
      </c>
    </row>
    <row r="866" spans="1:20" x14ac:dyDescent="0.35">
      <c r="A866" s="1">
        <v>45579</v>
      </c>
      <c r="B866" t="s">
        <v>2934</v>
      </c>
      <c r="C866" t="s">
        <v>22</v>
      </c>
      <c r="D866" s="9">
        <v>3</v>
      </c>
      <c r="E866" s="7">
        <v>391.63</v>
      </c>
      <c r="F866" t="s">
        <v>28</v>
      </c>
      <c r="G866" t="s">
        <v>31</v>
      </c>
      <c r="H866" s="12">
        <v>0</v>
      </c>
      <c r="I866" t="s">
        <v>34</v>
      </c>
      <c r="J866" s="7">
        <f>Table2[[#This Row],[UnitPrice]]*Table2[[#This Row],[Quantity]]*(1-Table2[[#This Row],[Discount]])</f>
        <v>1174.8899999999999</v>
      </c>
      <c r="K866" t="s">
        <v>41</v>
      </c>
      <c r="L866" t="s">
        <v>2937</v>
      </c>
      <c r="M866">
        <v>1</v>
      </c>
      <c r="N866" t="s">
        <v>910</v>
      </c>
      <c r="O866" t="s">
        <v>2367</v>
      </c>
      <c r="P866" s="7">
        <v>25.36</v>
      </c>
      <c r="Q866" s="1">
        <v>45579</v>
      </c>
      <c r="R866">
        <f>WEEKNUM(Table2[[#This Row],[OrderDate]])</f>
        <v>42</v>
      </c>
      <c r="S866" s="1">
        <v>45582</v>
      </c>
      <c r="T866" t="s">
        <v>2920</v>
      </c>
    </row>
    <row r="867" spans="1:20" x14ac:dyDescent="0.35">
      <c r="A867" s="1">
        <v>45075</v>
      </c>
      <c r="B867" t="s">
        <v>2934</v>
      </c>
      <c r="C867" t="s">
        <v>19</v>
      </c>
      <c r="D867" s="9">
        <v>15</v>
      </c>
      <c r="E867" s="7">
        <v>67.349999999999994</v>
      </c>
      <c r="F867" t="s">
        <v>29</v>
      </c>
      <c r="G867" t="s">
        <v>30</v>
      </c>
      <c r="H867" s="12">
        <v>0.1</v>
      </c>
      <c r="I867" t="s">
        <v>36</v>
      </c>
      <c r="J867" s="7">
        <f>Table2[[#This Row],[UnitPrice]]*Table2[[#This Row],[Quantity]]*(1-Table2[[#This Row],[Discount]])</f>
        <v>909.22499999999991</v>
      </c>
      <c r="K867" t="s">
        <v>38</v>
      </c>
      <c r="L867" t="s">
        <v>43</v>
      </c>
      <c r="M867">
        <v>0</v>
      </c>
      <c r="N867" t="s">
        <v>911</v>
      </c>
      <c r="O867" t="s">
        <v>2368</v>
      </c>
      <c r="P867" s="7">
        <v>24.85</v>
      </c>
      <c r="Q867" s="1">
        <v>45075</v>
      </c>
      <c r="R867">
        <f>WEEKNUM(Table2[[#This Row],[OrderDate]])</f>
        <v>22</v>
      </c>
      <c r="S867" s="1">
        <v>45080</v>
      </c>
      <c r="T867" t="s">
        <v>2920</v>
      </c>
    </row>
    <row r="868" spans="1:20" x14ac:dyDescent="0.35">
      <c r="A868" s="1">
        <v>45373</v>
      </c>
      <c r="B868" t="s">
        <v>2934</v>
      </c>
      <c r="C868" t="s">
        <v>19</v>
      </c>
      <c r="D868" s="9">
        <v>6</v>
      </c>
      <c r="E868" s="7">
        <v>453.86</v>
      </c>
      <c r="F868" t="s">
        <v>26</v>
      </c>
      <c r="G868" t="s">
        <v>31</v>
      </c>
      <c r="H868" s="12">
        <v>0.15</v>
      </c>
      <c r="I868" t="s">
        <v>33</v>
      </c>
      <c r="J868" s="7">
        <f>Table2[[#This Row],[UnitPrice]]*Table2[[#This Row],[Quantity]]*(1-Table2[[#This Row],[Discount]])</f>
        <v>2314.6859999999997</v>
      </c>
      <c r="K868" t="s">
        <v>40</v>
      </c>
      <c r="L868" t="s">
        <v>2937</v>
      </c>
      <c r="M868">
        <v>0</v>
      </c>
      <c r="N868" t="s">
        <v>912</v>
      </c>
      <c r="O868" t="s">
        <v>2369</v>
      </c>
      <c r="P868" s="7">
        <v>45.32</v>
      </c>
      <c r="Q868" s="1">
        <v>45373</v>
      </c>
      <c r="R868">
        <f>WEEKNUM(Table2[[#This Row],[OrderDate]])</f>
        <v>12</v>
      </c>
      <c r="S868" s="1">
        <v>45382</v>
      </c>
      <c r="T868" t="s">
        <v>2920</v>
      </c>
    </row>
    <row r="869" spans="1:20" x14ac:dyDescent="0.35">
      <c r="A869" s="1">
        <v>45038</v>
      </c>
      <c r="B869" t="s">
        <v>2932</v>
      </c>
      <c r="C869" t="s">
        <v>24</v>
      </c>
      <c r="D869" s="9">
        <v>19</v>
      </c>
      <c r="E869" s="7">
        <v>537.70000000000005</v>
      </c>
      <c r="F869" t="s">
        <v>29</v>
      </c>
      <c r="G869" t="s">
        <v>30</v>
      </c>
      <c r="H869" s="12">
        <v>0</v>
      </c>
      <c r="I869" t="s">
        <v>37</v>
      </c>
      <c r="J869" s="7">
        <f>Table2[[#This Row],[UnitPrice]]*Table2[[#This Row],[Quantity]]*(1-Table2[[#This Row],[Discount]])</f>
        <v>10216.300000000001</v>
      </c>
      <c r="K869" t="s">
        <v>38</v>
      </c>
      <c r="L869" t="s">
        <v>44</v>
      </c>
      <c r="M869">
        <v>0</v>
      </c>
      <c r="N869" t="s">
        <v>913</v>
      </c>
      <c r="O869" t="s">
        <v>2370</v>
      </c>
      <c r="P869" s="7">
        <v>45.83</v>
      </c>
      <c r="Q869" s="1">
        <v>45038</v>
      </c>
      <c r="R869">
        <f>WEEKNUM(Table2[[#This Row],[OrderDate]])</f>
        <v>16</v>
      </c>
      <c r="S869" s="1">
        <v>45048</v>
      </c>
      <c r="T869" t="s">
        <v>2918</v>
      </c>
    </row>
    <row r="870" spans="1:20" x14ac:dyDescent="0.35">
      <c r="A870" s="1">
        <v>45814</v>
      </c>
      <c r="B870" t="s">
        <v>2931</v>
      </c>
      <c r="C870" t="s">
        <v>20</v>
      </c>
      <c r="D870" s="9">
        <v>5</v>
      </c>
      <c r="E870" s="7">
        <v>32.56</v>
      </c>
      <c r="F870" t="s">
        <v>28</v>
      </c>
      <c r="G870" t="s">
        <v>31</v>
      </c>
      <c r="H870" s="12">
        <v>0.05</v>
      </c>
      <c r="I870" t="s">
        <v>36</v>
      </c>
      <c r="J870" s="7">
        <f>Table2[[#This Row],[UnitPrice]]*Table2[[#This Row],[Quantity]]*(1-Table2[[#This Row],[Discount]])</f>
        <v>154.66</v>
      </c>
      <c r="K870" t="s">
        <v>42</v>
      </c>
      <c r="L870" t="s">
        <v>43</v>
      </c>
      <c r="M870">
        <v>0</v>
      </c>
      <c r="N870" t="s">
        <v>914</v>
      </c>
      <c r="O870" t="s">
        <v>2371</v>
      </c>
      <c r="P870" s="7">
        <v>46.73</v>
      </c>
      <c r="Q870" s="1">
        <v>45814</v>
      </c>
      <c r="R870">
        <f>WEEKNUM(Table2[[#This Row],[OrderDate]])</f>
        <v>23</v>
      </c>
      <c r="S870" s="1">
        <v>45820</v>
      </c>
      <c r="T870" t="s">
        <v>2919</v>
      </c>
    </row>
    <row r="871" spans="1:20" x14ac:dyDescent="0.35">
      <c r="A871" s="1">
        <v>44951</v>
      </c>
      <c r="B871" t="s">
        <v>2934</v>
      </c>
      <c r="C871" t="s">
        <v>19</v>
      </c>
      <c r="D871" s="9">
        <v>2</v>
      </c>
      <c r="E871" s="7">
        <v>196.7</v>
      </c>
      <c r="F871" t="s">
        <v>27</v>
      </c>
      <c r="G871" t="s">
        <v>31</v>
      </c>
      <c r="H871" s="12">
        <v>0</v>
      </c>
      <c r="I871" t="s">
        <v>34</v>
      </c>
      <c r="J871" s="7">
        <f>Table2[[#This Row],[UnitPrice]]*Table2[[#This Row],[Quantity]]*(1-Table2[[#This Row],[Discount]])</f>
        <v>393.4</v>
      </c>
      <c r="K871" t="s">
        <v>38</v>
      </c>
      <c r="L871" t="s">
        <v>43</v>
      </c>
      <c r="M871">
        <v>0</v>
      </c>
      <c r="N871" t="s">
        <v>915</v>
      </c>
      <c r="O871" t="s">
        <v>2372</v>
      </c>
      <c r="P871" s="7">
        <v>35.840000000000003</v>
      </c>
      <c r="Q871" s="1">
        <v>44951</v>
      </c>
      <c r="R871">
        <f>WEEKNUM(Table2[[#This Row],[OrderDate]])</f>
        <v>4</v>
      </c>
      <c r="S871" s="1">
        <v>44955</v>
      </c>
      <c r="T871" t="s">
        <v>2920</v>
      </c>
    </row>
    <row r="872" spans="1:20" x14ac:dyDescent="0.35">
      <c r="A872" s="1">
        <v>45177</v>
      </c>
      <c r="B872" t="s">
        <v>2932</v>
      </c>
      <c r="C872" t="s">
        <v>20</v>
      </c>
      <c r="D872" s="9">
        <v>12</v>
      </c>
      <c r="E872" s="7">
        <v>369.45</v>
      </c>
      <c r="F872" t="s">
        <v>29</v>
      </c>
      <c r="G872" t="s">
        <v>30</v>
      </c>
      <c r="H872" s="12">
        <v>0.1</v>
      </c>
      <c r="I872" t="s">
        <v>34</v>
      </c>
      <c r="J872" s="7">
        <f>Table2[[#This Row],[UnitPrice]]*Table2[[#This Row],[Quantity]]*(1-Table2[[#This Row],[Discount]])</f>
        <v>3990.06</v>
      </c>
      <c r="K872" t="s">
        <v>40</v>
      </c>
      <c r="L872" t="s">
        <v>45</v>
      </c>
      <c r="M872">
        <v>1</v>
      </c>
      <c r="N872" t="s">
        <v>916</v>
      </c>
      <c r="O872" t="s">
        <v>2073</v>
      </c>
      <c r="P872" s="7">
        <v>44.76</v>
      </c>
      <c r="Q872" s="1">
        <v>45177</v>
      </c>
      <c r="R872">
        <f>WEEKNUM(Table2[[#This Row],[OrderDate]])</f>
        <v>36</v>
      </c>
      <c r="S872" s="1">
        <v>45179</v>
      </c>
      <c r="T872" t="s">
        <v>2918</v>
      </c>
    </row>
    <row r="873" spans="1:20" x14ac:dyDescent="0.35">
      <c r="A873" s="1">
        <v>45569</v>
      </c>
      <c r="B873" t="s">
        <v>2930</v>
      </c>
      <c r="C873" t="s">
        <v>24</v>
      </c>
      <c r="D873" s="9">
        <v>12</v>
      </c>
      <c r="E873" s="7">
        <v>181.96</v>
      </c>
      <c r="F873" t="s">
        <v>29</v>
      </c>
      <c r="G873" t="s">
        <v>31</v>
      </c>
      <c r="H873" s="12">
        <v>0.15</v>
      </c>
      <c r="I873" t="s">
        <v>32</v>
      </c>
      <c r="J873" s="7">
        <f>Table2[[#This Row],[UnitPrice]]*Table2[[#This Row],[Quantity]]*(1-Table2[[#This Row],[Discount]])</f>
        <v>1855.992</v>
      </c>
      <c r="K873" t="s">
        <v>39</v>
      </c>
      <c r="L873" t="s">
        <v>45</v>
      </c>
      <c r="M873">
        <v>0</v>
      </c>
      <c r="N873" t="s">
        <v>917</v>
      </c>
      <c r="O873" t="s">
        <v>2373</v>
      </c>
      <c r="P873" s="7">
        <v>25.06</v>
      </c>
      <c r="Q873" s="1">
        <v>45569</v>
      </c>
      <c r="R873">
        <f>WEEKNUM(Table2[[#This Row],[OrderDate]])</f>
        <v>40</v>
      </c>
      <c r="S873" s="1">
        <v>45576</v>
      </c>
      <c r="T873" t="s">
        <v>2917</v>
      </c>
    </row>
    <row r="874" spans="1:20" x14ac:dyDescent="0.35">
      <c r="A874" s="1">
        <v>45753</v>
      </c>
      <c r="B874" t="s">
        <v>2930</v>
      </c>
      <c r="C874" t="s">
        <v>21</v>
      </c>
      <c r="D874" s="9">
        <v>3</v>
      </c>
      <c r="E874" s="7">
        <v>32.07</v>
      </c>
      <c r="F874" t="s">
        <v>29</v>
      </c>
      <c r="G874" t="s">
        <v>31</v>
      </c>
      <c r="H874" s="12">
        <v>0.15</v>
      </c>
      <c r="I874" t="s">
        <v>33</v>
      </c>
      <c r="J874" s="7">
        <f>Table2[[#This Row],[UnitPrice]]*Table2[[#This Row],[Quantity]]*(1-Table2[[#This Row],[Discount]])</f>
        <v>81.778500000000008</v>
      </c>
      <c r="K874" t="s">
        <v>38</v>
      </c>
      <c r="L874" t="s">
        <v>45</v>
      </c>
      <c r="M874">
        <v>1</v>
      </c>
      <c r="N874" t="s">
        <v>918</v>
      </c>
      <c r="O874" t="s">
        <v>2374</v>
      </c>
      <c r="P874" s="7">
        <v>43.18</v>
      </c>
      <c r="Q874" s="1">
        <v>45753</v>
      </c>
      <c r="R874">
        <f>WEEKNUM(Table2[[#This Row],[OrderDate]])</f>
        <v>15</v>
      </c>
      <c r="S874" s="1">
        <v>45755</v>
      </c>
      <c r="T874" t="s">
        <v>2917</v>
      </c>
    </row>
    <row r="875" spans="1:20" x14ac:dyDescent="0.35">
      <c r="A875" s="1">
        <v>45529</v>
      </c>
      <c r="B875" t="s">
        <v>2930</v>
      </c>
      <c r="C875" t="s">
        <v>19</v>
      </c>
      <c r="D875" s="9">
        <v>15</v>
      </c>
      <c r="E875" s="7">
        <v>39.93</v>
      </c>
      <c r="F875" t="s">
        <v>27</v>
      </c>
      <c r="G875" t="s">
        <v>31</v>
      </c>
      <c r="H875" s="12">
        <v>0.15</v>
      </c>
      <c r="I875" t="s">
        <v>36</v>
      </c>
      <c r="J875" s="7">
        <f>Table2[[#This Row],[UnitPrice]]*Table2[[#This Row],[Quantity]]*(1-Table2[[#This Row],[Discount]])</f>
        <v>509.10750000000002</v>
      </c>
      <c r="K875" t="s">
        <v>41</v>
      </c>
      <c r="L875" t="s">
        <v>45</v>
      </c>
      <c r="M875">
        <v>0</v>
      </c>
      <c r="N875" t="s">
        <v>919</v>
      </c>
      <c r="O875" t="s">
        <v>2375</v>
      </c>
      <c r="P875" s="7">
        <v>33.44</v>
      </c>
      <c r="Q875" s="1">
        <v>45529</v>
      </c>
      <c r="R875">
        <f>WEEKNUM(Table2[[#This Row],[OrderDate]])</f>
        <v>35</v>
      </c>
      <c r="S875" s="1">
        <v>45533</v>
      </c>
      <c r="T875" t="s">
        <v>2917</v>
      </c>
    </row>
    <row r="876" spans="1:20" x14ac:dyDescent="0.35">
      <c r="A876" s="1">
        <v>45357</v>
      </c>
      <c r="B876" t="s">
        <v>2931</v>
      </c>
      <c r="C876" t="s">
        <v>20</v>
      </c>
      <c r="D876" s="9">
        <v>7</v>
      </c>
      <c r="E876" s="7">
        <v>374.43</v>
      </c>
      <c r="F876" t="s">
        <v>27</v>
      </c>
      <c r="G876" t="s">
        <v>31</v>
      </c>
      <c r="H876" s="12">
        <v>0.15</v>
      </c>
      <c r="I876" t="s">
        <v>35</v>
      </c>
      <c r="J876" s="7">
        <f>Table2[[#This Row],[UnitPrice]]*Table2[[#This Row],[Quantity]]*(1-Table2[[#This Row],[Discount]])</f>
        <v>2227.8585000000003</v>
      </c>
      <c r="K876" t="s">
        <v>42</v>
      </c>
      <c r="L876" t="s">
        <v>44</v>
      </c>
      <c r="M876">
        <v>0</v>
      </c>
      <c r="N876" t="s">
        <v>920</v>
      </c>
      <c r="O876" t="s">
        <v>2376</v>
      </c>
      <c r="P876" s="7">
        <v>28.97</v>
      </c>
      <c r="Q876" s="1">
        <v>45357</v>
      </c>
      <c r="R876">
        <f>WEEKNUM(Table2[[#This Row],[OrderDate]])</f>
        <v>10</v>
      </c>
      <c r="S876" s="1">
        <v>45363</v>
      </c>
      <c r="T876" t="s">
        <v>2919</v>
      </c>
    </row>
    <row r="877" spans="1:20" x14ac:dyDescent="0.35">
      <c r="A877" s="1">
        <v>45008</v>
      </c>
      <c r="B877" t="s">
        <v>2930</v>
      </c>
      <c r="C877" t="s">
        <v>25</v>
      </c>
      <c r="D877" s="9">
        <v>2</v>
      </c>
      <c r="E877" s="7">
        <v>101.87</v>
      </c>
      <c r="F877" t="s">
        <v>28</v>
      </c>
      <c r="G877" t="s">
        <v>30</v>
      </c>
      <c r="H877" s="12">
        <v>0</v>
      </c>
      <c r="I877" t="s">
        <v>36</v>
      </c>
      <c r="J877" s="7">
        <f>Table2[[#This Row],[UnitPrice]]*Table2[[#This Row],[Quantity]]*(1-Table2[[#This Row],[Discount]])</f>
        <v>203.74</v>
      </c>
      <c r="K877" t="s">
        <v>42</v>
      </c>
      <c r="L877" t="s">
        <v>43</v>
      </c>
      <c r="M877">
        <v>0</v>
      </c>
      <c r="N877" t="s">
        <v>921</v>
      </c>
      <c r="O877" t="s">
        <v>2377</v>
      </c>
      <c r="P877" s="7">
        <v>28.63</v>
      </c>
      <c r="Q877" s="1">
        <v>45008</v>
      </c>
      <c r="R877">
        <f>WEEKNUM(Table2[[#This Row],[OrderDate]])</f>
        <v>12</v>
      </c>
      <c r="S877" s="1">
        <v>45011</v>
      </c>
      <c r="T877" t="s">
        <v>2917</v>
      </c>
    </row>
    <row r="878" spans="1:20" x14ac:dyDescent="0.35">
      <c r="A878" s="1">
        <v>45304</v>
      </c>
      <c r="B878" t="s">
        <v>2934</v>
      </c>
      <c r="C878" t="s">
        <v>24</v>
      </c>
      <c r="D878" s="9">
        <v>13</v>
      </c>
      <c r="E878" s="7">
        <v>343.45</v>
      </c>
      <c r="F878" t="s">
        <v>29</v>
      </c>
      <c r="G878" t="s">
        <v>30</v>
      </c>
      <c r="H878" s="12">
        <v>0.05</v>
      </c>
      <c r="I878" t="s">
        <v>33</v>
      </c>
      <c r="J878" s="7">
        <f>Table2[[#This Row],[UnitPrice]]*Table2[[#This Row],[Quantity]]*(1-Table2[[#This Row],[Discount]])</f>
        <v>4241.6074999999992</v>
      </c>
      <c r="K878" t="s">
        <v>39</v>
      </c>
      <c r="L878" t="s">
        <v>44</v>
      </c>
      <c r="M878">
        <v>0</v>
      </c>
      <c r="N878" t="s">
        <v>922</v>
      </c>
      <c r="O878" t="s">
        <v>2378</v>
      </c>
      <c r="P878" s="7">
        <v>27.26</v>
      </c>
      <c r="Q878" s="1">
        <v>45304</v>
      </c>
      <c r="R878">
        <f>WEEKNUM(Table2[[#This Row],[OrderDate]])</f>
        <v>2</v>
      </c>
      <c r="S878" s="1">
        <v>45308</v>
      </c>
      <c r="T878" t="s">
        <v>2920</v>
      </c>
    </row>
    <row r="879" spans="1:20" x14ac:dyDescent="0.35">
      <c r="A879" s="1">
        <v>45125</v>
      </c>
      <c r="B879" t="s">
        <v>2934</v>
      </c>
      <c r="C879" t="s">
        <v>25</v>
      </c>
      <c r="D879" s="9">
        <v>15</v>
      </c>
      <c r="E879" s="7">
        <v>144.11000000000001</v>
      </c>
      <c r="F879" t="s">
        <v>28</v>
      </c>
      <c r="G879" t="s">
        <v>31</v>
      </c>
      <c r="H879" s="12">
        <v>0</v>
      </c>
      <c r="I879" t="s">
        <v>34</v>
      </c>
      <c r="J879" s="7">
        <f>Table2[[#This Row],[UnitPrice]]*Table2[[#This Row],[Quantity]]*(1-Table2[[#This Row],[Discount]])</f>
        <v>2161.65</v>
      </c>
      <c r="K879" t="s">
        <v>39</v>
      </c>
      <c r="L879" t="s">
        <v>2937</v>
      </c>
      <c r="M879">
        <v>0</v>
      </c>
      <c r="N879" t="s">
        <v>923</v>
      </c>
      <c r="O879" t="s">
        <v>2379</v>
      </c>
      <c r="P879" s="7">
        <v>28.51</v>
      </c>
      <c r="Q879" s="1">
        <v>45125</v>
      </c>
      <c r="R879">
        <f>WEEKNUM(Table2[[#This Row],[OrderDate]])</f>
        <v>29</v>
      </c>
      <c r="S879" s="1">
        <v>45131</v>
      </c>
      <c r="T879" t="s">
        <v>2920</v>
      </c>
    </row>
    <row r="880" spans="1:20" x14ac:dyDescent="0.35">
      <c r="A880" s="1">
        <v>45711</v>
      </c>
      <c r="B880" t="s">
        <v>2933</v>
      </c>
      <c r="C880" t="s">
        <v>22</v>
      </c>
      <c r="D880" s="9">
        <v>18</v>
      </c>
      <c r="E880" s="7">
        <v>403.68</v>
      </c>
      <c r="F880" t="s">
        <v>27</v>
      </c>
      <c r="G880" t="s">
        <v>31</v>
      </c>
      <c r="H880" s="12">
        <v>0.15</v>
      </c>
      <c r="I880" t="s">
        <v>35</v>
      </c>
      <c r="J880" s="7">
        <f>Table2[[#This Row],[UnitPrice]]*Table2[[#This Row],[Quantity]]*(1-Table2[[#This Row],[Discount]])</f>
        <v>6176.3040000000001</v>
      </c>
      <c r="K880" t="s">
        <v>42</v>
      </c>
      <c r="L880" t="s">
        <v>43</v>
      </c>
      <c r="M880">
        <v>0</v>
      </c>
      <c r="N880" t="s">
        <v>924</v>
      </c>
      <c r="O880" t="s">
        <v>2380</v>
      </c>
      <c r="P880" s="7">
        <v>13.09</v>
      </c>
      <c r="Q880" s="1">
        <v>45711</v>
      </c>
      <c r="R880">
        <f>WEEKNUM(Table2[[#This Row],[OrderDate]])</f>
        <v>9</v>
      </c>
      <c r="S880" s="1">
        <v>45720</v>
      </c>
      <c r="T880" t="s">
        <v>2921</v>
      </c>
    </row>
    <row r="881" spans="1:20" x14ac:dyDescent="0.35">
      <c r="A881" s="1">
        <v>44979</v>
      </c>
      <c r="B881" t="s">
        <v>2930</v>
      </c>
      <c r="C881" t="s">
        <v>25</v>
      </c>
      <c r="D881" s="9">
        <v>14</v>
      </c>
      <c r="E881" s="7">
        <v>346.57</v>
      </c>
      <c r="F881" t="s">
        <v>26</v>
      </c>
      <c r="G881" t="s">
        <v>31</v>
      </c>
      <c r="H881" s="12">
        <v>0.1</v>
      </c>
      <c r="I881" t="s">
        <v>35</v>
      </c>
      <c r="J881" s="7">
        <f>Table2[[#This Row],[UnitPrice]]*Table2[[#This Row],[Quantity]]*(1-Table2[[#This Row],[Discount]])</f>
        <v>4366.7820000000002</v>
      </c>
      <c r="K881" t="s">
        <v>41</v>
      </c>
      <c r="L881" t="s">
        <v>43</v>
      </c>
      <c r="M881">
        <v>0</v>
      </c>
      <c r="N881" t="s">
        <v>925</v>
      </c>
      <c r="O881" t="s">
        <v>2381</v>
      </c>
      <c r="P881" s="7">
        <v>36.83</v>
      </c>
      <c r="Q881" s="1">
        <v>44979</v>
      </c>
      <c r="R881">
        <f>WEEKNUM(Table2[[#This Row],[OrderDate]])</f>
        <v>8</v>
      </c>
      <c r="S881" s="1">
        <v>44987</v>
      </c>
      <c r="T881" t="s">
        <v>2917</v>
      </c>
    </row>
    <row r="882" spans="1:20" x14ac:dyDescent="0.35">
      <c r="A882" s="1">
        <v>45583</v>
      </c>
      <c r="B882" t="s">
        <v>2931</v>
      </c>
      <c r="C882" t="s">
        <v>25</v>
      </c>
      <c r="D882" s="9">
        <v>7</v>
      </c>
      <c r="E882" s="7">
        <v>392.79</v>
      </c>
      <c r="F882" t="s">
        <v>28</v>
      </c>
      <c r="G882" t="s">
        <v>30</v>
      </c>
      <c r="H882" s="12">
        <v>0</v>
      </c>
      <c r="I882" t="s">
        <v>32</v>
      </c>
      <c r="J882" s="7">
        <f>Table2[[#This Row],[UnitPrice]]*Table2[[#This Row],[Quantity]]*(1-Table2[[#This Row],[Discount]])</f>
        <v>2749.53</v>
      </c>
      <c r="K882" t="s">
        <v>39</v>
      </c>
      <c r="L882" t="s">
        <v>45</v>
      </c>
      <c r="M882">
        <v>0</v>
      </c>
      <c r="N882" t="s">
        <v>926</v>
      </c>
      <c r="O882" t="s">
        <v>2382</v>
      </c>
      <c r="P882" s="7">
        <v>45.85</v>
      </c>
      <c r="Q882" s="1">
        <v>45583</v>
      </c>
      <c r="R882">
        <f>WEEKNUM(Table2[[#This Row],[OrderDate]])</f>
        <v>42</v>
      </c>
      <c r="S882" s="1">
        <v>45593</v>
      </c>
      <c r="T882" t="s">
        <v>2919</v>
      </c>
    </row>
    <row r="883" spans="1:20" x14ac:dyDescent="0.35">
      <c r="A883" s="1">
        <v>45225</v>
      </c>
      <c r="B883" t="s">
        <v>2933</v>
      </c>
      <c r="C883" t="s">
        <v>25</v>
      </c>
      <c r="D883" s="9">
        <v>16</v>
      </c>
      <c r="E883" s="7">
        <v>70.83</v>
      </c>
      <c r="F883" t="s">
        <v>26</v>
      </c>
      <c r="G883" t="s">
        <v>30</v>
      </c>
      <c r="H883" s="12">
        <v>0.05</v>
      </c>
      <c r="I883" t="s">
        <v>35</v>
      </c>
      <c r="J883" s="7">
        <f>Table2[[#This Row],[UnitPrice]]*Table2[[#This Row],[Quantity]]*(1-Table2[[#This Row],[Discount]])</f>
        <v>1076.616</v>
      </c>
      <c r="K883" t="s">
        <v>39</v>
      </c>
      <c r="L883" t="s">
        <v>2937</v>
      </c>
      <c r="M883">
        <v>0</v>
      </c>
      <c r="N883" t="s">
        <v>927</v>
      </c>
      <c r="O883" t="s">
        <v>2383</v>
      </c>
      <c r="P883" s="7">
        <v>5.05</v>
      </c>
      <c r="Q883" s="1">
        <v>45225</v>
      </c>
      <c r="R883">
        <f>WEEKNUM(Table2[[#This Row],[OrderDate]])</f>
        <v>43</v>
      </c>
      <c r="S883" s="1">
        <v>45230</v>
      </c>
      <c r="T883" t="s">
        <v>2921</v>
      </c>
    </row>
    <row r="884" spans="1:20" x14ac:dyDescent="0.35">
      <c r="A884" s="1">
        <v>44936</v>
      </c>
      <c r="B884" t="s">
        <v>2934</v>
      </c>
      <c r="C884" t="s">
        <v>23</v>
      </c>
      <c r="D884" s="9">
        <v>20</v>
      </c>
      <c r="E884" s="7">
        <v>274.37</v>
      </c>
      <c r="F884" t="s">
        <v>26</v>
      </c>
      <c r="G884" t="s">
        <v>31</v>
      </c>
      <c r="H884" s="12">
        <v>0.1</v>
      </c>
      <c r="I884" t="s">
        <v>32</v>
      </c>
      <c r="J884" s="7">
        <f>Table2[[#This Row],[UnitPrice]]*Table2[[#This Row],[Quantity]]*(1-Table2[[#This Row],[Discount]])</f>
        <v>4938.66</v>
      </c>
      <c r="K884" t="s">
        <v>39</v>
      </c>
      <c r="L884" t="s">
        <v>45</v>
      </c>
      <c r="M884">
        <v>0</v>
      </c>
      <c r="N884" t="s">
        <v>928</v>
      </c>
      <c r="O884" t="s">
        <v>1819</v>
      </c>
      <c r="P884" s="7">
        <v>12.28</v>
      </c>
      <c r="Q884" s="1">
        <v>44936</v>
      </c>
      <c r="R884">
        <f>WEEKNUM(Table2[[#This Row],[OrderDate]])</f>
        <v>2</v>
      </c>
      <c r="S884" s="1">
        <v>44940</v>
      </c>
      <c r="T884" t="s">
        <v>2920</v>
      </c>
    </row>
    <row r="885" spans="1:20" x14ac:dyDescent="0.35">
      <c r="A885" s="1">
        <v>45370</v>
      </c>
      <c r="B885" t="s">
        <v>2934</v>
      </c>
      <c r="C885" t="s">
        <v>21</v>
      </c>
      <c r="D885" s="9">
        <v>10</v>
      </c>
      <c r="E885" s="7">
        <v>19.73</v>
      </c>
      <c r="F885" t="s">
        <v>29</v>
      </c>
      <c r="G885" t="s">
        <v>31</v>
      </c>
      <c r="H885" s="12">
        <v>0.1</v>
      </c>
      <c r="I885" t="s">
        <v>35</v>
      </c>
      <c r="J885" s="7">
        <f>Table2[[#This Row],[UnitPrice]]*Table2[[#This Row],[Quantity]]*(1-Table2[[#This Row],[Discount]])</f>
        <v>177.57000000000002</v>
      </c>
      <c r="K885" t="s">
        <v>41</v>
      </c>
      <c r="L885" t="s">
        <v>2937</v>
      </c>
      <c r="M885">
        <v>0</v>
      </c>
      <c r="N885" t="s">
        <v>929</v>
      </c>
      <c r="O885" t="s">
        <v>2384</v>
      </c>
      <c r="P885" s="7">
        <v>16.059999999999999</v>
      </c>
      <c r="Q885" s="1">
        <v>45370</v>
      </c>
      <c r="R885">
        <f>WEEKNUM(Table2[[#This Row],[OrderDate]])</f>
        <v>12</v>
      </c>
      <c r="S885" s="1">
        <v>45373</v>
      </c>
      <c r="T885" t="s">
        <v>2920</v>
      </c>
    </row>
    <row r="886" spans="1:20" x14ac:dyDescent="0.35">
      <c r="A886" s="1">
        <v>45280</v>
      </c>
      <c r="B886" t="s">
        <v>2934</v>
      </c>
      <c r="C886" t="s">
        <v>25</v>
      </c>
      <c r="D886" s="9">
        <v>10</v>
      </c>
      <c r="E886" s="7">
        <v>465.72</v>
      </c>
      <c r="F886" t="s">
        <v>26</v>
      </c>
      <c r="G886" t="s">
        <v>30</v>
      </c>
      <c r="H886" s="12">
        <v>0.05</v>
      </c>
      <c r="I886" t="s">
        <v>33</v>
      </c>
      <c r="J886" s="7">
        <f>Table2[[#This Row],[UnitPrice]]*Table2[[#This Row],[Quantity]]*(1-Table2[[#This Row],[Discount]])</f>
        <v>4424.34</v>
      </c>
      <c r="K886" t="s">
        <v>38</v>
      </c>
      <c r="L886" t="s">
        <v>43</v>
      </c>
      <c r="M886">
        <v>0</v>
      </c>
      <c r="N886" t="s">
        <v>930</v>
      </c>
      <c r="O886" t="s">
        <v>2385</v>
      </c>
      <c r="P886" s="7">
        <v>28.14</v>
      </c>
      <c r="Q886" s="1">
        <v>45280</v>
      </c>
      <c r="R886">
        <f>WEEKNUM(Table2[[#This Row],[OrderDate]])</f>
        <v>51</v>
      </c>
      <c r="S886" s="1">
        <v>45286</v>
      </c>
      <c r="T886" t="s">
        <v>2920</v>
      </c>
    </row>
    <row r="887" spans="1:20" x14ac:dyDescent="0.35">
      <c r="A887" s="1">
        <v>45635</v>
      </c>
      <c r="B887" t="s">
        <v>2934</v>
      </c>
      <c r="C887" t="s">
        <v>23</v>
      </c>
      <c r="D887" s="9">
        <v>19</v>
      </c>
      <c r="E887" s="7">
        <v>62.07</v>
      </c>
      <c r="F887" t="s">
        <v>29</v>
      </c>
      <c r="G887" t="s">
        <v>31</v>
      </c>
      <c r="H887" s="12">
        <v>0.1</v>
      </c>
      <c r="I887" t="s">
        <v>36</v>
      </c>
      <c r="J887" s="7">
        <f>Table2[[#This Row],[UnitPrice]]*Table2[[#This Row],[Quantity]]*(1-Table2[[#This Row],[Discount]])</f>
        <v>1061.3969999999999</v>
      </c>
      <c r="K887" t="s">
        <v>41</v>
      </c>
      <c r="L887" t="s">
        <v>43</v>
      </c>
      <c r="M887">
        <v>0</v>
      </c>
      <c r="N887" t="s">
        <v>931</v>
      </c>
      <c r="O887" t="s">
        <v>2386</v>
      </c>
      <c r="P887" s="7">
        <v>14.85</v>
      </c>
      <c r="Q887" s="1">
        <v>45635</v>
      </c>
      <c r="R887">
        <f>WEEKNUM(Table2[[#This Row],[OrderDate]])</f>
        <v>50</v>
      </c>
      <c r="S887" s="1">
        <v>45645</v>
      </c>
      <c r="T887" t="s">
        <v>2920</v>
      </c>
    </row>
    <row r="888" spans="1:20" x14ac:dyDescent="0.35">
      <c r="A888" s="1">
        <v>45056</v>
      </c>
      <c r="B888" t="s">
        <v>2934</v>
      </c>
      <c r="C888" t="s">
        <v>24</v>
      </c>
      <c r="D888" s="9">
        <v>11</v>
      </c>
      <c r="E888" s="7">
        <v>529.20000000000005</v>
      </c>
      <c r="F888" t="s">
        <v>27</v>
      </c>
      <c r="G888" t="s">
        <v>30</v>
      </c>
      <c r="H888" s="12">
        <v>0.05</v>
      </c>
      <c r="I888" t="s">
        <v>37</v>
      </c>
      <c r="J888" s="7">
        <f>Table2[[#This Row],[UnitPrice]]*Table2[[#This Row],[Quantity]]*(1-Table2[[#This Row],[Discount]])</f>
        <v>5530.14</v>
      </c>
      <c r="K888" t="s">
        <v>40</v>
      </c>
      <c r="L888" t="s">
        <v>2937</v>
      </c>
      <c r="M888">
        <v>1</v>
      </c>
      <c r="N888" t="s">
        <v>932</v>
      </c>
      <c r="O888" t="s">
        <v>2387</v>
      </c>
      <c r="P888" s="7">
        <v>16.78</v>
      </c>
      <c r="Q888" s="1">
        <v>45056</v>
      </c>
      <c r="R888">
        <f>WEEKNUM(Table2[[#This Row],[OrderDate]])</f>
        <v>19</v>
      </c>
      <c r="S888" s="1">
        <v>45066</v>
      </c>
      <c r="T888" t="s">
        <v>2920</v>
      </c>
    </row>
    <row r="889" spans="1:20" x14ac:dyDescent="0.35">
      <c r="A889" s="1">
        <v>45217</v>
      </c>
      <c r="B889" t="s">
        <v>2932</v>
      </c>
      <c r="C889" t="s">
        <v>23</v>
      </c>
      <c r="D889" s="9">
        <v>7</v>
      </c>
      <c r="E889" s="7">
        <v>387.31</v>
      </c>
      <c r="F889" t="s">
        <v>27</v>
      </c>
      <c r="G889" t="s">
        <v>31</v>
      </c>
      <c r="H889" s="12">
        <v>0.1</v>
      </c>
      <c r="I889" t="s">
        <v>37</v>
      </c>
      <c r="J889" s="7">
        <f>Table2[[#This Row],[UnitPrice]]*Table2[[#This Row],[Quantity]]*(1-Table2[[#This Row],[Discount]])</f>
        <v>2440.0530000000003</v>
      </c>
      <c r="K889" t="s">
        <v>42</v>
      </c>
      <c r="L889" t="s">
        <v>45</v>
      </c>
      <c r="M889">
        <v>0</v>
      </c>
      <c r="N889" t="s">
        <v>933</v>
      </c>
      <c r="O889" t="s">
        <v>2388</v>
      </c>
      <c r="P889" s="7">
        <v>14.76</v>
      </c>
      <c r="Q889" s="1">
        <v>45217</v>
      </c>
      <c r="R889">
        <f>WEEKNUM(Table2[[#This Row],[OrderDate]])</f>
        <v>42</v>
      </c>
      <c r="S889" s="1">
        <v>45220</v>
      </c>
      <c r="T889" t="s">
        <v>2918</v>
      </c>
    </row>
    <row r="890" spans="1:20" x14ac:dyDescent="0.35">
      <c r="A890" s="1">
        <v>45629</v>
      </c>
      <c r="B890" t="s">
        <v>2932</v>
      </c>
      <c r="C890" t="s">
        <v>20</v>
      </c>
      <c r="D890" s="9">
        <v>1</v>
      </c>
      <c r="E890" s="7">
        <v>152.75</v>
      </c>
      <c r="F890" t="s">
        <v>27</v>
      </c>
      <c r="G890" t="s">
        <v>30</v>
      </c>
      <c r="H890" s="12">
        <v>0</v>
      </c>
      <c r="I890" t="s">
        <v>37</v>
      </c>
      <c r="J890" s="7">
        <f>Table2[[#This Row],[UnitPrice]]*Table2[[#This Row],[Quantity]]*(1-Table2[[#This Row],[Discount]])</f>
        <v>152.75</v>
      </c>
      <c r="K890" t="s">
        <v>40</v>
      </c>
      <c r="L890" t="s">
        <v>43</v>
      </c>
      <c r="M890">
        <v>1</v>
      </c>
      <c r="N890" t="s">
        <v>934</v>
      </c>
      <c r="O890" t="s">
        <v>2389</v>
      </c>
      <c r="P890" s="7">
        <v>9.61</v>
      </c>
      <c r="Q890" s="1">
        <v>45629</v>
      </c>
      <c r="R890">
        <f>WEEKNUM(Table2[[#This Row],[OrderDate]])</f>
        <v>49</v>
      </c>
      <c r="S890" s="1">
        <v>45632</v>
      </c>
      <c r="T890" t="s">
        <v>2918</v>
      </c>
    </row>
    <row r="891" spans="1:20" x14ac:dyDescent="0.35">
      <c r="A891" s="1">
        <v>45575</v>
      </c>
      <c r="B891" t="s">
        <v>2932</v>
      </c>
      <c r="C891" t="s">
        <v>22</v>
      </c>
      <c r="D891" s="9">
        <v>8</v>
      </c>
      <c r="E891" s="7">
        <v>72.48</v>
      </c>
      <c r="F891" t="s">
        <v>27</v>
      </c>
      <c r="G891" t="s">
        <v>30</v>
      </c>
      <c r="H891" s="12">
        <v>0.1</v>
      </c>
      <c r="I891" t="s">
        <v>35</v>
      </c>
      <c r="J891" s="7">
        <f>Table2[[#This Row],[UnitPrice]]*Table2[[#This Row],[Quantity]]*(1-Table2[[#This Row],[Discount]])</f>
        <v>521.85599999999999</v>
      </c>
      <c r="K891" t="s">
        <v>41</v>
      </c>
      <c r="L891" t="s">
        <v>2937</v>
      </c>
      <c r="M891">
        <v>1</v>
      </c>
      <c r="N891" t="s">
        <v>935</v>
      </c>
      <c r="O891" t="s">
        <v>2390</v>
      </c>
      <c r="P891" s="7">
        <v>26.92</v>
      </c>
      <c r="Q891" s="1">
        <v>45575</v>
      </c>
      <c r="R891">
        <f>WEEKNUM(Table2[[#This Row],[OrderDate]])</f>
        <v>41</v>
      </c>
      <c r="S891" s="1">
        <v>45582</v>
      </c>
      <c r="T891" t="s">
        <v>2918</v>
      </c>
    </row>
    <row r="892" spans="1:20" x14ac:dyDescent="0.35">
      <c r="A892" s="1">
        <v>45446</v>
      </c>
      <c r="B892" t="s">
        <v>2930</v>
      </c>
      <c r="C892" t="s">
        <v>20</v>
      </c>
      <c r="D892" s="9">
        <v>4</v>
      </c>
      <c r="E892" s="7">
        <v>194.09</v>
      </c>
      <c r="F892" t="s">
        <v>29</v>
      </c>
      <c r="G892" t="s">
        <v>30</v>
      </c>
      <c r="H892" s="12">
        <v>0.1</v>
      </c>
      <c r="I892" t="s">
        <v>32</v>
      </c>
      <c r="J892" s="7">
        <f>Table2[[#This Row],[UnitPrice]]*Table2[[#This Row],[Quantity]]*(1-Table2[[#This Row],[Discount]])</f>
        <v>698.72400000000005</v>
      </c>
      <c r="K892" t="s">
        <v>40</v>
      </c>
      <c r="L892" t="s">
        <v>45</v>
      </c>
      <c r="M892">
        <v>0</v>
      </c>
      <c r="N892" t="s">
        <v>936</v>
      </c>
      <c r="O892" t="s">
        <v>2391</v>
      </c>
      <c r="P892" s="7">
        <v>26.35</v>
      </c>
      <c r="Q892" s="1">
        <v>45446</v>
      </c>
      <c r="R892">
        <f>WEEKNUM(Table2[[#This Row],[OrderDate]])</f>
        <v>23</v>
      </c>
      <c r="S892" s="1">
        <v>45450</v>
      </c>
      <c r="T892" t="s">
        <v>2917</v>
      </c>
    </row>
    <row r="893" spans="1:20" x14ac:dyDescent="0.35">
      <c r="A893" s="1">
        <v>45742</v>
      </c>
      <c r="B893" t="s">
        <v>2932</v>
      </c>
      <c r="C893" t="s">
        <v>20</v>
      </c>
      <c r="D893" s="9">
        <v>3</v>
      </c>
      <c r="E893" s="7">
        <v>159.30000000000001</v>
      </c>
      <c r="F893" t="s">
        <v>26</v>
      </c>
      <c r="G893" t="s">
        <v>30</v>
      </c>
      <c r="H893" s="12">
        <v>0.05</v>
      </c>
      <c r="I893" t="s">
        <v>32</v>
      </c>
      <c r="J893" s="7">
        <f>Table2[[#This Row],[UnitPrice]]*Table2[[#This Row],[Quantity]]*(1-Table2[[#This Row],[Discount]])</f>
        <v>454.005</v>
      </c>
      <c r="K893" t="s">
        <v>40</v>
      </c>
      <c r="L893" t="s">
        <v>44</v>
      </c>
      <c r="M893">
        <v>1</v>
      </c>
      <c r="N893" t="s">
        <v>937</v>
      </c>
      <c r="O893" t="s">
        <v>2392</v>
      </c>
      <c r="P893" s="7">
        <v>45.34</v>
      </c>
      <c r="Q893" s="1">
        <v>45742</v>
      </c>
      <c r="R893">
        <f>WEEKNUM(Table2[[#This Row],[OrderDate]])</f>
        <v>13</v>
      </c>
      <c r="S893" s="1">
        <v>45745</v>
      </c>
      <c r="T893" t="s">
        <v>2918</v>
      </c>
    </row>
    <row r="894" spans="1:20" x14ac:dyDescent="0.35">
      <c r="A894" s="1">
        <v>45408</v>
      </c>
      <c r="B894" t="s">
        <v>2931</v>
      </c>
      <c r="C894" t="s">
        <v>23</v>
      </c>
      <c r="D894" s="9">
        <v>4</v>
      </c>
      <c r="E894" s="7">
        <v>303.37</v>
      </c>
      <c r="F894" t="s">
        <v>27</v>
      </c>
      <c r="G894" t="s">
        <v>31</v>
      </c>
      <c r="H894" s="12">
        <v>0.1</v>
      </c>
      <c r="I894" t="s">
        <v>35</v>
      </c>
      <c r="J894" s="7">
        <f>Table2[[#This Row],[UnitPrice]]*Table2[[#This Row],[Quantity]]*(1-Table2[[#This Row],[Discount]])</f>
        <v>1092.1320000000001</v>
      </c>
      <c r="K894" t="s">
        <v>39</v>
      </c>
      <c r="L894" t="s">
        <v>45</v>
      </c>
      <c r="M894">
        <v>0</v>
      </c>
      <c r="N894" t="s">
        <v>938</v>
      </c>
      <c r="O894" t="s">
        <v>2393</v>
      </c>
      <c r="P894" s="7">
        <v>30.19</v>
      </c>
      <c r="Q894" s="1">
        <v>45408</v>
      </c>
      <c r="R894">
        <f>WEEKNUM(Table2[[#This Row],[OrderDate]])</f>
        <v>17</v>
      </c>
      <c r="S894" s="1">
        <v>45413</v>
      </c>
      <c r="T894" t="s">
        <v>2919</v>
      </c>
    </row>
    <row r="895" spans="1:20" x14ac:dyDescent="0.35">
      <c r="A895" s="1">
        <v>45051</v>
      </c>
      <c r="B895" t="s">
        <v>2933</v>
      </c>
      <c r="C895" t="s">
        <v>22</v>
      </c>
      <c r="D895" s="9">
        <v>16</v>
      </c>
      <c r="E895" s="7">
        <v>541.96</v>
      </c>
      <c r="F895" t="s">
        <v>28</v>
      </c>
      <c r="G895" t="s">
        <v>31</v>
      </c>
      <c r="H895" s="12">
        <v>0.1</v>
      </c>
      <c r="I895" t="s">
        <v>32</v>
      </c>
      <c r="J895" s="7">
        <f>Table2[[#This Row],[UnitPrice]]*Table2[[#This Row],[Quantity]]*(1-Table2[[#This Row],[Discount]])</f>
        <v>7804.2240000000011</v>
      </c>
      <c r="K895" t="s">
        <v>42</v>
      </c>
      <c r="L895" t="s">
        <v>44</v>
      </c>
      <c r="M895">
        <v>1</v>
      </c>
      <c r="N895" t="s">
        <v>939</v>
      </c>
      <c r="O895" t="s">
        <v>2394</v>
      </c>
      <c r="P895" s="7">
        <v>9.93</v>
      </c>
      <c r="Q895" s="1">
        <v>45051</v>
      </c>
      <c r="R895">
        <f>WEEKNUM(Table2[[#This Row],[OrderDate]])</f>
        <v>18</v>
      </c>
      <c r="S895" s="1">
        <v>45059</v>
      </c>
      <c r="T895" t="s">
        <v>2921</v>
      </c>
    </row>
    <row r="896" spans="1:20" x14ac:dyDescent="0.35">
      <c r="A896" s="1">
        <v>45192</v>
      </c>
      <c r="B896" t="s">
        <v>2933</v>
      </c>
      <c r="C896" t="s">
        <v>21</v>
      </c>
      <c r="D896" s="9">
        <v>7</v>
      </c>
      <c r="E896" s="7">
        <v>41.57</v>
      </c>
      <c r="F896" t="s">
        <v>29</v>
      </c>
      <c r="G896" t="s">
        <v>31</v>
      </c>
      <c r="H896" s="12">
        <v>0</v>
      </c>
      <c r="I896" t="s">
        <v>35</v>
      </c>
      <c r="J896" s="7">
        <f>Table2[[#This Row],[UnitPrice]]*Table2[[#This Row],[Quantity]]*(1-Table2[[#This Row],[Discount]])</f>
        <v>290.99</v>
      </c>
      <c r="K896" t="s">
        <v>38</v>
      </c>
      <c r="L896" t="s">
        <v>2937</v>
      </c>
      <c r="M896">
        <v>0</v>
      </c>
      <c r="N896" t="s">
        <v>940</v>
      </c>
      <c r="O896" t="s">
        <v>2395</v>
      </c>
      <c r="P896" s="7">
        <v>16.59</v>
      </c>
      <c r="Q896" s="1">
        <v>45192</v>
      </c>
      <c r="R896">
        <f>WEEKNUM(Table2[[#This Row],[OrderDate]])</f>
        <v>38</v>
      </c>
      <c r="S896" s="1">
        <v>45198</v>
      </c>
      <c r="T896" t="s">
        <v>2921</v>
      </c>
    </row>
    <row r="897" spans="1:20" x14ac:dyDescent="0.35">
      <c r="A897" s="1">
        <v>45724</v>
      </c>
      <c r="B897" t="s">
        <v>2932</v>
      </c>
      <c r="C897" t="s">
        <v>23</v>
      </c>
      <c r="D897" s="9">
        <v>16</v>
      </c>
      <c r="E897" s="7">
        <v>217.74</v>
      </c>
      <c r="F897" t="s">
        <v>27</v>
      </c>
      <c r="G897" t="s">
        <v>30</v>
      </c>
      <c r="H897" s="12">
        <v>0.15</v>
      </c>
      <c r="I897" t="s">
        <v>34</v>
      </c>
      <c r="J897" s="7">
        <f>Table2[[#This Row],[UnitPrice]]*Table2[[#This Row],[Quantity]]*(1-Table2[[#This Row],[Discount]])</f>
        <v>2961.2640000000001</v>
      </c>
      <c r="K897" t="s">
        <v>42</v>
      </c>
      <c r="L897" t="s">
        <v>43</v>
      </c>
      <c r="M897">
        <v>1</v>
      </c>
      <c r="N897" t="s">
        <v>941</v>
      </c>
      <c r="O897" t="s">
        <v>2396</v>
      </c>
      <c r="P897" s="7">
        <v>25.11</v>
      </c>
      <c r="Q897" s="1">
        <v>45724</v>
      </c>
      <c r="R897">
        <f>WEEKNUM(Table2[[#This Row],[OrderDate]])</f>
        <v>10</v>
      </c>
      <c r="S897" s="1">
        <v>45731</v>
      </c>
      <c r="T897" t="s">
        <v>2918</v>
      </c>
    </row>
    <row r="898" spans="1:20" x14ac:dyDescent="0.35">
      <c r="A898" s="1">
        <v>44943</v>
      </c>
      <c r="B898" t="s">
        <v>2931</v>
      </c>
      <c r="C898" t="s">
        <v>25</v>
      </c>
      <c r="D898" s="9">
        <v>15</v>
      </c>
      <c r="E898" s="7">
        <v>19.170000000000002</v>
      </c>
      <c r="F898" t="s">
        <v>27</v>
      </c>
      <c r="G898" t="s">
        <v>30</v>
      </c>
      <c r="H898" s="12">
        <v>0</v>
      </c>
      <c r="I898" t="s">
        <v>35</v>
      </c>
      <c r="J898" s="7">
        <f>Table2[[#This Row],[UnitPrice]]*Table2[[#This Row],[Quantity]]*(1-Table2[[#This Row],[Discount]])</f>
        <v>287.55</v>
      </c>
      <c r="K898" t="s">
        <v>39</v>
      </c>
      <c r="L898" t="s">
        <v>43</v>
      </c>
      <c r="M898">
        <v>1</v>
      </c>
      <c r="N898" t="s">
        <v>942</v>
      </c>
      <c r="O898" t="s">
        <v>2397</v>
      </c>
      <c r="P898" s="7">
        <v>48.93</v>
      </c>
      <c r="Q898" s="1">
        <v>44943</v>
      </c>
      <c r="R898">
        <f>WEEKNUM(Table2[[#This Row],[OrderDate]])</f>
        <v>3</v>
      </c>
      <c r="S898" s="1">
        <v>44953</v>
      </c>
      <c r="T898" t="s">
        <v>2919</v>
      </c>
    </row>
    <row r="899" spans="1:20" x14ac:dyDescent="0.35">
      <c r="A899" s="1">
        <v>45045</v>
      </c>
      <c r="B899" t="s">
        <v>2934</v>
      </c>
      <c r="C899" t="s">
        <v>23</v>
      </c>
      <c r="D899" s="9">
        <v>15</v>
      </c>
      <c r="E899" s="7">
        <v>293.33999999999997</v>
      </c>
      <c r="F899" t="s">
        <v>29</v>
      </c>
      <c r="G899" t="s">
        <v>31</v>
      </c>
      <c r="H899" s="12">
        <v>0.1</v>
      </c>
      <c r="I899" t="s">
        <v>32</v>
      </c>
      <c r="J899" s="7">
        <f>Table2[[#This Row],[UnitPrice]]*Table2[[#This Row],[Quantity]]*(1-Table2[[#This Row],[Discount]])</f>
        <v>3960.0899999999997</v>
      </c>
      <c r="K899" t="s">
        <v>40</v>
      </c>
      <c r="L899" t="s">
        <v>45</v>
      </c>
      <c r="M899">
        <v>0</v>
      </c>
      <c r="N899" t="s">
        <v>943</v>
      </c>
      <c r="O899" t="s">
        <v>2398</v>
      </c>
      <c r="P899" s="7">
        <v>21.03</v>
      </c>
      <c r="Q899" s="1">
        <v>45045</v>
      </c>
      <c r="R899">
        <f>WEEKNUM(Table2[[#This Row],[OrderDate]])</f>
        <v>17</v>
      </c>
      <c r="S899" s="1">
        <v>45047</v>
      </c>
      <c r="T899" t="s">
        <v>2920</v>
      </c>
    </row>
    <row r="900" spans="1:20" x14ac:dyDescent="0.35">
      <c r="A900" s="1">
        <v>45704</v>
      </c>
      <c r="B900" t="s">
        <v>2932</v>
      </c>
      <c r="C900" t="s">
        <v>25</v>
      </c>
      <c r="D900" s="9">
        <v>18</v>
      </c>
      <c r="E900" s="7">
        <v>204.58</v>
      </c>
      <c r="F900" t="s">
        <v>28</v>
      </c>
      <c r="G900" t="s">
        <v>31</v>
      </c>
      <c r="H900" s="12">
        <v>0.1</v>
      </c>
      <c r="I900" t="s">
        <v>36</v>
      </c>
      <c r="J900" s="7">
        <f>Table2[[#This Row],[UnitPrice]]*Table2[[#This Row],[Quantity]]*(1-Table2[[#This Row],[Discount]])</f>
        <v>3314.1959999999999</v>
      </c>
      <c r="K900" t="s">
        <v>42</v>
      </c>
      <c r="L900" t="s">
        <v>2937</v>
      </c>
      <c r="M900">
        <v>0</v>
      </c>
      <c r="N900" t="s">
        <v>944</v>
      </c>
      <c r="O900" t="s">
        <v>2399</v>
      </c>
      <c r="P900" s="7">
        <v>16.04</v>
      </c>
      <c r="Q900" s="1">
        <v>45704</v>
      </c>
      <c r="R900">
        <f>WEEKNUM(Table2[[#This Row],[OrderDate]])</f>
        <v>8</v>
      </c>
      <c r="S900" s="1">
        <v>45710</v>
      </c>
      <c r="T900" t="s">
        <v>2918</v>
      </c>
    </row>
    <row r="901" spans="1:20" x14ac:dyDescent="0.35">
      <c r="A901" s="1">
        <v>45082</v>
      </c>
      <c r="B901" t="s">
        <v>2930</v>
      </c>
      <c r="C901" t="s">
        <v>25</v>
      </c>
      <c r="D901" s="9">
        <v>15</v>
      </c>
      <c r="E901" s="7">
        <v>324.58</v>
      </c>
      <c r="F901" t="s">
        <v>27</v>
      </c>
      <c r="G901" t="s">
        <v>31</v>
      </c>
      <c r="H901" s="12">
        <v>0.15</v>
      </c>
      <c r="I901" t="s">
        <v>36</v>
      </c>
      <c r="J901" s="7">
        <f>Table2[[#This Row],[UnitPrice]]*Table2[[#This Row],[Quantity]]*(1-Table2[[#This Row],[Discount]])</f>
        <v>4138.3949999999995</v>
      </c>
      <c r="K901" t="s">
        <v>41</v>
      </c>
      <c r="L901" t="s">
        <v>2937</v>
      </c>
      <c r="M901">
        <v>0</v>
      </c>
      <c r="N901" t="s">
        <v>945</v>
      </c>
      <c r="O901" t="s">
        <v>2400</v>
      </c>
      <c r="P901" s="7">
        <v>24.57</v>
      </c>
      <c r="Q901" s="1">
        <v>45082</v>
      </c>
      <c r="R901">
        <f>WEEKNUM(Table2[[#This Row],[OrderDate]])</f>
        <v>23</v>
      </c>
      <c r="S901" s="1">
        <v>45086</v>
      </c>
      <c r="T901" t="s">
        <v>2917</v>
      </c>
    </row>
    <row r="902" spans="1:20" x14ac:dyDescent="0.35">
      <c r="A902" s="1">
        <v>45166</v>
      </c>
      <c r="B902" t="s">
        <v>2932</v>
      </c>
      <c r="C902" t="s">
        <v>20</v>
      </c>
      <c r="D902" s="9">
        <v>11</v>
      </c>
      <c r="E902" s="7">
        <v>393.61</v>
      </c>
      <c r="F902" t="s">
        <v>29</v>
      </c>
      <c r="G902" t="s">
        <v>30</v>
      </c>
      <c r="H902" s="12">
        <v>0.05</v>
      </c>
      <c r="I902" t="s">
        <v>34</v>
      </c>
      <c r="J902" s="7">
        <f>Table2[[#This Row],[UnitPrice]]*Table2[[#This Row],[Quantity]]*(1-Table2[[#This Row],[Discount]])</f>
        <v>4113.2245000000003</v>
      </c>
      <c r="K902" t="s">
        <v>41</v>
      </c>
      <c r="L902" t="s">
        <v>45</v>
      </c>
      <c r="M902">
        <v>0</v>
      </c>
      <c r="N902" t="s">
        <v>946</v>
      </c>
      <c r="O902" t="s">
        <v>2401</v>
      </c>
      <c r="P902" s="7">
        <v>32.57</v>
      </c>
      <c r="Q902" s="1">
        <v>45166</v>
      </c>
      <c r="R902">
        <f>WEEKNUM(Table2[[#This Row],[OrderDate]])</f>
        <v>35</v>
      </c>
      <c r="S902" s="1">
        <v>45175</v>
      </c>
      <c r="T902" t="s">
        <v>2918</v>
      </c>
    </row>
    <row r="903" spans="1:20" x14ac:dyDescent="0.35">
      <c r="A903" s="1">
        <v>45139</v>
      </c>
      <c r="B903" t="s">
        <v>2931</v>
      </c>
      <c r="C903" t="s">
        <v>25</v>
      </c>
      <c r="D903" s="9">
        <v>8</v>
      </c>
      <c r="E903" s="7">
        <v>141.28</v>
      </c>
      <c r="F903" t="s">
        <v>29</v>
      </c>
      <c r="G903" t="s">
        <v>30</v>
      </c>
      <c r="H903" s="12">
        <v>0.05</v>
      </c>
      <c r="I903" t="s">
        <v>34</v>
      </c>
      <c r="J903" s="7">
        <f>Table2[[#This Row],[UnitPrice]]*Table2[[#This Row],[Quantity]]*(1-Table2[[#This Row],[Discount]])</f>
        <v>1073.7280000000001</v>
      </c>
      <c r="K903" t="s">
        <v>38</v>
      </c>
      <c r="L903" t="s">
        <v>43</v>
      </c>
      <c r="M903">
        <v>0</v>
      </c>
      <c r="N903" t="s">
        <v>947</v>
      </c>
      <c r="O903" t="s">
        <v>2248</v>
      </c>
      <c r="P903" s="7">
        <v>28.69</v>
      </c>
      <c r="Q903" s="1">
        <v>45139</v>
      </c>
      <c r="R903">
        <f>WEEKNUM(Table2[[#This Row],[OrderDate]])</f>
        <v>31</v>
      </c>
      <c r="S903" s="1">
        <v>45148</v>
      </c>
      <c r="T903" t="s">
        <v>2919</v>
      </c>
    </row>
    <row r="904" spans="1:20" x14ac:dyDescent="0.35">
      <c r="A904" s="1">
        <v>45700</v>
      </c>
      <c r="B904" t="s">
        <v>2933</v>
      </c>
      <c r="C904" t="s">
        <v>20</v>
      </c>
      <c r="D904" s="9">
        <v>13</v>
      </c>
      <c r="E904" s="7">
        <v>227.64</v>
      </c>
      <c r="F904" t="s">
        <v>28</v>
      </c>
      <c r="G904" t="s">
        <v>31</v>
      </c>
      <c r="H904" s="12">
        <v>0.15</v>
      </c>
      <c r="I904" t="s">
        <v>34</v>
      </c>
      <c r="J904" s="7">
        <f>Table2[[#This Row],[UnitPrice]]*Table2[[#This Row],[Quantity]]*(1-Table2[[#This Row],[Discount]])</f>
        <v>2515.4219999999996</v>
      </c>
      <c r="K904" t="s">
        <v>42</v>
      </c>
      <c r="L904" t="s">
        <v>43</v>
      </c>
      <c r="M904">
        <v>1</v>
      </c>
      <c r="N904" t="s">
        <v>948</v>
      </c>
      <c r="O904" t="s">
        <v>2402</v>
      </c>
      <c r="P904" s="7">
        <v>46.67</v>
      </c>
      <c r="Q904" s="1">
        <v>45700</v>
      </c>
      <c r="R904">
        <f>WEEKNUM(Table2[[#This Row],[OrderDate]])</f>
        <v>7</v>
      </c>
      <c r="S904" s="1">
        <v>45708</v>
      </c>
      <c r="T904" t="s">
        <v>2921</v>
      </c>
    </row>
    <row r="905" spans="1:20" x14ac:dyDescent="0.35">
      <c r="A905" s="1">
        <v>45110</v>
      </c>
      <c r="B905" t="s">
        <v>2934</v>
      </c>
      <c r="C905" t="s">
        <v>19</v>
      </c>
      <c r="D905" s="9">
        <v>19</v>
      </c>
      <c r="E905" s="7">
        <v>341.07</v>
      </c>
      <c r="F905" t="s">
        <v>28</v>
      </c>
      <c r="G905" t="s">
        <v>31</v>
      </c>
      <c r="H905" s="12">
        <v>0.1</v>
      </c>
      <c r="I905" t="s">
        <v>35</v>
      </c>
      <c r="J905" s="7">
        <f>Table2[[#This Row],[UnitPrice]]*Table2[[#This Row],[Quantity]]*(1-Table2[[#This Row],[Discount]])</f>
        <v>5832.2970000000005</v>
      </c>
      <c r="K905" t="s">
        <v>42</v>
      </c>
      <c r="L905" t="s">
        <v>45</v>
      </c>
      <c r="M905">
        <v>0</v>
      </c>
      <c r="N905" t="s">
        <v>949</v>
      </c>
      <c r="O905" t="s">
        <v>2403</v>
      </c>
      <c r="P905" s="7">
        <v>47.75</v>
      </c>
      <c r="Q905" s="1">
        <v>45110</v>
      </c>
      <c r="R905">
        <f>WEEKNUM(Table2[[#This Row],[OrderDate]])</f>
        <v>27</v>
      </c>
      <c r="S905" s="1">
        <v>45113</v>
      </c>
      <c r="T905" t="s">
        <v>2920</v>
      </c>
    </row>
    <row r="906" spans="1:20" x14ac:dyDescent="0.35">
      <c r="A906" s="1">
        <v>45786</v>
      </c>
      <c r="B906" t="s">
        <v>2934</v>
      </c>
      <c r="C906" t="s">
        <v>20</v>
      </c>
      <c r="D906" s="9">
        <v>20</v>
      </c>
      <c r="E906" s="7">
        <v>324.55</v>
      </c>
      <c r="F906" t="s">
        <v>26</v>
      </c>
      <c r="G906" t="s">
        <v>30</v>
      </c>
      <c r="H906" s="12">
        <v>0.05</v>
      </c>
      <c r="I906" t="s">
        <v>32</v>
      </c>
      <c r="J906" s="7">
        <f>Table2[[#This Row],[UnitPrice]]*Table2[[#This Row],[Quantity]]*(1-Table2[[#This Row],[Discount]])</f>
        <v>6166.45</v>
      </c>
      <c r="K906" t="s">
        <v>40</v>
      </c>
      <c r="L906" t="s">
        <v>45</v>
      </c>
      <c r="M906">
        <v>1</v>
      </c>
      <c r="N906" t="s">
        <v>950</v>
      </c>
      <c r="O906" t="s">
        <v>2404</v>
      </c>
      <c r="P906" s="7">
        <v>21.21</v>
      </c>
      <c r="Q906" s="1">
        <v>45786</v>
      </c>
      <c r="R906">
        <f>WEEKNUM(Table2[[#This Row],[OrderDate]])</f>
        <v>19</v>
      </c>
      <c r="S906" s="1">
        <v>45790</v>
      </c>
      <c r="T906" t="s">
        <v>2920</v>
      </c>
    </row>
    <row r="907" spans="1:20" x14ac:dyDescent="0.35">
      <c r="A907" s="1">
        <v>45417</v>
      </c>
      <c r="B907" t="s">
        <v>2933</v>
      </c>
      <c r="C907" t="s">
        <v>21</v>
      </c>
      <c r="D907" s="9">
        <v>16</v>
      </c>
      <c r="E907" s="7">
        <v>301.07</v>
      </c>
      <c r="F907" t="s">
        <v>26</v>
      </c>
      <c r="G907" t="s">
        <v>31</v>
      </c>
      <c r="H907" s="12">
        <v>0.1</v>
      </c>
      <c r="I907" t="s">
        <v>35</v>
      </c>
      <c r="J907" s="7">
        <f>Table2[[#This Row],[UnitPrice]]*Table2[[#This Row],[Quantity]]*(1-Table2[[#This Row],[Discount]])</f>
        <v>4335.4080000000004</v>
      </c>
      <c r="K907" t="s">
        <v>39</v>
      </c>
      <c r="L907" t="s">
        <v>45</v>
      </c>
      <c r="M907">
        <v>0</v>
      </c>
      <c r="N907" t="s">
        <v>951</v>
      </c>
      <c r="O907" t="s">
        <v>2405</v>
      </c>
      <c r="P907" s="7">
        <v>5.58</v>
      </c>
      <c r="Q907" s="1">
        <v>45417</v>
      </c>
      <c r="R907">
        <f>WEEKNUM(Table2[[#This Row],[OrderDate]])</f>
        <v>19</v>
      </c>
      <c r="S907" s="1">
        <v>45426</v>
      </c>
      <c r="T907" t="s">
        <v>2921</v>
      </c>
    </row>
    <row r="908" spans="1:20" x14ac:dyDescent="0.35">
      <c r="A908" s="1">
        <v>45299</v>
      </c>
      <c r="B908" t="s">
        <v>2932</v>
      </c>
      <c r="C908" t="s">
        <v>23</v>
      </c>
      <c r="D908" s="9">
        <v>13</v>
      </c>
      <c r="E908" s="7">
        <v>285.27999999999997</v>
      </c>
      <c r="F908" t="s">
        <v>29</v>
      </c>
      <c r="G908" t="s">
        <v>31</v>
      </c>
      <c r="H908" s="12">
        <v>0</v>
      </c>
      <c r="I908" t="s">
        <v>32</v>
      </c>
      <c r="J908" s="7">
        <f>Table2[[#This Row],[UnitPrice]]*Table2[[#This Row],[Quantity]]*(1-Table2[[#This Row],[Discount]])</f>
        <v>3708.6399999999994</v>
      </c>
      <c r="K908" t="s">
        <v>39</v>
      </c>
      <c r="L908" t="s">
        <v>44</v>
      </c>
      <c r="M908">
        <v>0</v>
      </c>
      <c r="N908" t="s">
        <v>952</v>
      </c>
      <c r="O908" t="s">
        <v>2406</v>
      </c>
      <c r="P908" s="7">
        <v>31.2</v>
      </c>
      <c r="Q908" s="1">
        <v>45299</v>
      </c>
      <c r="R908">
        <f>WEEKNUM(Table2[[#This Row],[OrderDate]])</f>
        <v>2</v>
      </c>
      <c r="S908" s="1">
        <v>45306</v>
      </c>
      <c r="T908" t="s">
        <v>2918</v>
      </c>
    </row>
    <row r="909" spans="1:20" x14ac:dyDescent="0.35">
      <c r="A909" s="1">
        <v>45670</v>
      </c>
      <c r="B909" t="s">
        <v>2932</v>
      </c>
      <c r="C909" t="s">
        <v>20</v>
      </c>
      <c r="D909" s="9">
        <v>15</v>
      </c>
      <c r="E909" s="7">
        <v>18.04</v>
      </c>
      <c r="F909" t="s">
        <v>28</v>
      </c>
      <c r="G909" t="s">
        <v>30</v>
      </c>
      <c r="H909" s="12">
        <v>0</v>
      </c>
      <c r="I909" t="s">
        <v>32</v>
      </c>
      <c r="J909" s="7">
        <f>Table2[[#This Row],[UnitPrice]]*Table2[[#This Row],[Quantity]]*(1-Table2[[#This Row],[Discount]])</f>
        <v>270.59999999999997</v>
      </c>
      <c r="K909" t="s">
        <v>40</v>
      </c>
      <c r="L909" t="s">
        <v>44</v>
      </c>
      <c r="M909">
        <v>1</v>
      </c>
      <c r="N909" t="s">
        <v>953</v>
      </c>
      <c r="O909" t="s">
        <v>2407</v>
      </c>
      <c r="P909" s="7">
        <v>14.35</v>
      </c>
      <c r="Q909" s="1">
        <v>45670</v>
      </c>
      <c r="R909">
        <f>WEEKNUM(Table2[[#This Row],[OrderDate]])</f>
        <v>3</v>
      </c>
      <c r="S909" s="1">
        <v>45674</v>
      </c>
      <c r="T909" t="s">
        <v>2918</v>
      </c>
    </row>
    <row r="910" spans="1:20" x14ac:dyDescent="0.35">
      <c r="A910" s="1">
        <v>45820</v>
      </c>
      <c r="B910" t="s">
        <v>2930</v>
      </c>
      <c r="C910" t="s">
        <v>25</v>
      </c>
      <c r="D910" s="9">
        <v>11</v>
      </c>
      <c r="E910" s="7">
        <v>495.44</v>
      </c>
      <c r="F910" t="s">
        <v>27</v>
      </c>
      <c r="G910" t="s">
        <v>30</v>
      </c>
      <c r="H910" s="12">
        <v>0</v>
      </c>
      <c r="I910" t="s">
        <v>37</v>
      </c>
      <c r="J910" s="7">
        <f>Table2[[#This Row],[UnitPrice]]*Table2[[#This Row],[Quantity]]*(1-Table2[[#This Row],[Discount]])</f>
        <v>5449.84</v>
      </c>
      <c r="K910" t="s">
        <v>39</v>
      </c>
      <c r="L910" t="s">
        <v>43</v>
      </c>
      <c r="M910">
        <v>0</v>
      </c>
      <c r="N910" t="s">
        <v>954</v>
      </c>
      <c r="O910" t="s">
        <v>2408</v>
      </c>
      <c r="P910" s="7">
        <v>44.77</v>
      </c>
      <c r="Q910" s="1">
        <v>45820</v>
      </c>
      <c r="R910">
        <f>WEEKNUM(Table2[[#This Row],[OrderDate]])</f>
        <v>24</v>
      </c>
      <c r="S910" s="1">
        <v>45826</v>
      </c>
      <c r="T910" t="s">
        <v>2917</v>
      </c>
    </row>
    <row r="911" spans="1:20" x14ac:dyDescent="0.35">
      <c r="A911" s="1">
        <v>45750</v>
      </c>
      <c r="B911" t="s">
        <v>2931</v>
      </c>
      <c r="C911" t="s">
        <v>19</v>
      </c>
      <c r="D911" s="9">
        <v>12</v>
      </c>
      <c r="E911" s="7">
        <v>276.42</v>
      </c>
      <c r="F911" t="s">
        <v>28</v>
      </c>
      <c r="G911" t="s">
        <v>31</v>
      </c>
      <c r="H911" s="12">
        <v>0.15</v>
      </c>
      <c r="I911" t="s">
        <v>35</v>
      </c>
      <c r="J911" s="7">
        <f>Table2[[#This Row],[UnitPrice]]*Table2[[#This Row],[Quantity]]*(1-Table2[[#This Row],[Discount]])</f>
        <v>2819.4839999999999</v>
      </c>
      <c r="K911" t="s">
        <v>38</v>
      </c>
      <c r="L911" t="s">
        <v>2937</v>
      </c>
      <c r="M911">
        <v>0</v>
      </c>
      <c r="N911" t="s">
        <v>955</v>
      </c>
      <c r="O911" t="s">
        <v>2409</v>
      </c>
      <c r="P911" s="7">
        <v>30.57</v>
      </c>
      <c r="Q911" s="1">
        <v>45750</v>
      </c>
      <c r="R911">
        <f>WEEKNUM(Table2[[#This Row],[OrderDate]])</f>
        <v>14</v>
      </c>
      <c r="S911" s="1">
        <v>45759</v>
      </c>
      <c r="T911" t="s">
        <v>2919</v>
      </c>
    </row>
    <row r="912" spans="1:20" x14ac:dyDescent="0.35">
      <c r="A912" s="1">
        <v>44952</v>
      </c>
      <c r="B912" t="s">
        <v>2934</v>
      </c>
      <c r="C912" t="s">
        <v>21</v>
      </c>
      <c r="D912" s="9">
        <v>7</v>
      </c>
      <c r="E912" s="7">
        <v>228.32</v>
      </c>
      <c r="F912" t="s">
        <v>28</v>
      </c>
      <c r="G912" t="s">
        <v>30</v>
      </c>
      <c r="H912" s="12">
        <v>0.15</v>
      </c>
      <c r="I912" t="s">
        <v>32</v>
      </c>
      <c r="J912" s="7">
        <f>Table2[[#This Row],[UnitPrice]]*Table2[[#This Row],[Quantity]]*(1-Table2[[#This Row],[Discount]])</f>
        <v>1358.5039999999999</v>
      </c>
      <c r="K912" t="s">
        <v>41</v>
      </c>
      <c r="L912" t="s">
        <v>43</v>
      </c>
      <c r="M912">
        <v>0</v>
      </c>
      <c r="N912" t="s">
        <v>956</v>
      </c>
      <c r="O912" t="s">
        <v>2410</v>
      </c>
      <c r="P912" s="7">
        <v>22.16</v>
      </c>
      <c r="Q912" s="1">
        <v>44952</v>
      </c>
      <c r="R912">
        <f>WEEKNUM(Table2[[#This Row],[OrderDate]])</f>
        <v>4</v>
      </c>
      <c r="S912" s="1">
        <v>44956</v>
      </c>
      <c r="T912" t="s">
        <v>2920</v>
      </c>
    </row>
    <row r="913" spans="1:20" x14ac:dyDescent="0.35">
      <c r="A913" s="1">
        <v>44933</v>
      </c>
      <c r="B913" t="s">
        <v>2934</v>
      </c>
      <c r="C913" t="s">
        <v>23</v>
      </c>
      <c r="D913" s="9">
        <v>1</v>
      </c>
      <c r="E913" s="7">
        <v>498.19</v>
      </c>
      <c r="F913" t="s">
        <v>27</v>
      </c>
      <c r="G913" t="s">
        <v>30</v>
      </c>
      <c r="H913" s="12">
        <v>0.1</v>
      </c>
      <c r="I913" t="s">
        <v>37</v>
      </c>
      <c r="J913" s="7">
        <f>Table2[[#This Row],[UnitPrice]]*Table2[[#This Row],[Quantity]]*(1-Table2[[#This Row],[Discount]])</f>
        <v>448.37099999999998</v>
      </c>
      <c r="K913" t="s">
        <v>39</v>
      </c>
      <c r="L913" t="s">
        <v>44</v>
      </c>
      <c r="M913">
        <v>0</v>
      </c>
      <c r="N913" t="s">
        <v>957</v>
      </c>
      <c r="O913" t="s">
        <v>2411</v>
      </c>
      <c r="P913" s="7">
        <v>25.55</v>
      </c>
      <c r="Q913" s="1">
        <v>44933</v>
      </c>
      <c r="R913">
        <f>WEEKNUM(Table2[[#This Row],[OrderDate]])</f>
        <v>1</v>
      </c>
      <c r="S913" s="1">
        <v>44937</v>
      </c>
      <c r="T913" t="s">
        <v>2920</v>
      </c>
    </row>
    <row r="914" spans="1:20" x14ac:dyDescent="0.35">
      <c r="A914" s="1">
        <v>45672</v>
      </c>
      <c r="B914" t="s">
        <v>2931</v>
      </c>
      <c r="C914" t="s">
        <v>21</v>
      </c>
      <c r="D914" s="9">
        <v>18</v>
      </c>
      <c r="E914" s="7">
        <v>375.83</v>
      </c>
      <c r="F914" t="s">
        <v>28</v>
      </c>
      <c r="G914" t="s">
        <v>31</v>
      </c>
      <c r="H914" s="12">
        <v>0.1</v>
      </c>
      <c r="I914" t="s">
        <v>35</v>
      </c>
      <c r="J914" s="7">
        <f>Table2[[#This Row],[UnitPrice]]*Table2[[#This Row],[Quantity]]*(1-Table2[[#This Row],[Discount]])</f>
        <v>6088.4459999999999</v>
      </c>
      <c r="K914" t="s">
        <v>39</v>
      </c>
      <c r="L914" t="s">
        <v>2937</v>
      </c>
      <c r="M914">
        <v>0</v>
      </c>
      <c r="N914" t="s">
        <v>958</v>
      </c>
      <c r="O914" t="s">
        <v>2412</v>
      </c>
      <c r="P914" s="7">
        <v>15.13</v>
      </c>
      <c r="Q914" s="1">
        <v>45672</v>
      </c>
      <c r="R914">
        <f>WEEKNUM(Table2[[#This Row],[OrderDate]])</f>
        <v>3</v>
      </c>
      <c r="S914" s="1">
        <v>45680</v>
      </c>
      <c r="T914" t="s">
        <v>2919</v>
      </c>
    </row>
    <row r="915" spans="1:20" x14ac:dyDescent="0.35">
      <c r="A915" s="1">
        <v>45626</v>
      </c>
      <c r="B915" t="s">
        <v>2930</v>
      </c>
      <c r="C915" t="s">
        <v>22</v>
      </c>
      <c r="D915" s="9">
        <v>18</v>
      </c>
      <c r="E915" s="7">
        <v>130.36000000000001</v>
      </c>
      <c r="F915" t="s">
        <v>26</v>
      </c>
      <c r="G915" t="s">
        <v>30</v>
      </c>
      <c r="H915" s="12">
        <v>0</v>
      </c>
      <c r="I915" t="s">
        <v>36</v>
      </c>
      <c r="J915" s="7">
        <f>Table2[[#This Row],[UnitPrice]]*Table2[[#This Row],[Quantity]]*(1-Table2[[#This Row],[Discount]])</f>
        <v>2346.4800000000005</v>
      </c>
      <c r="K915" t="s">
        <v>41</v>
      </c>
      <c r="L915" t="s">
        <v>44</v>
      </c>
      <c r="M915">
        <v>0</v>
      </c>
      <c r="N915" t="s">
        <v>959</v>
      </c>
      <c r="O915" t="s">
        <v>2413</v>
      </c>
      <c r="P915" s="7">
        <v>34.6</v>
      </c>
      <c r="Q915" s="1">
        <v>45626</v>
      </c>
      <c r="R915">
        <f>WEEKNUM(Table2[[#This Row],[OrderDate]])</f>
        <v>48</v>
      </c>
      <c r="S915" s="1">
        <v>45631</v>
      </c>
      <c r="T915" t="s">
        <v>2917</v>
      </c>
    </row>
    <row r="916" spans="1:20" x14ac:dyDescent="0.35">
      <c r="A916" s="1">
        <v>45348</v>
      </c>
      <c r="B916" t="s">
        <v>2930</v>
      </c>
      <c r="C916" t="s">
        <v>23</v>
      </c>
      <c r="D916" s="9">
        <v>13</v>
      </c>
      <c r="E916" s="7">
        <v>585.88</v>
      </c>
      <c r="F916" t="s">
        <v>26</v>
      </c>
      <c r="G916" t="s">
        <v>31</v>
      </c>
      <c r="H916" s="12">
        <v>0.15</v>
      </c>
      <c r="I916" t="s">
        <v>35</v>
      </c>
      <c r="J916" s="7">
        <f>Table2[[#This Row],[UnitPrice]]*Table2[[#This Row],[Quantity]]*(1-Table2[[#This Row],[Discount]])</f>
        <v>6473.9739999999993</v>
      </c>
      <c r="K916" t="s">
        <v>40</v>
      </c>
      <c r="L916" t="s">
        <v>45</v>
      </c>
      <c r="M916">
        <v>0</v>
      </c>
      <c r="N916" t="s">
        <v>960</v>
      </c>
      <c r="O916" t="s">
        <v>2414</v>
      </c>
      <c r="P916" s="7">
        <v>42.18</v>
      </c>
      <c r="Q916" s="1">
        <v>45348</v>
      </c>
      <c r="R916">
        <f>WEEKNUM(Table2[[#This Row],[OrderDate]])</f>
        <v>9</v>
      </c>
      <c r="S916" s="1">
        <v>45358</v>
      </c>
      <c r="T916" t="s">
        <v>2917</v>
      </c>
    </row>
    <row r="917" spans="1:20" x14ac:dyDescent="0.35">
      <c r="A917" s="1">
        <v>45819</v>
      </c>
      <c r="B917" t="s">
        <v>2931</v>
      </c>
      <c r="C917" t="s">
        <v>21</v>
      </c>
      <c r="D917" s="9">
        <v>19</v>
      </c>
      <c r="E917" s="7">
        <v>278.04000000000002</v>
      </c>
      <c r="F917" t="s">
        <v>26</v>
      </c>
      <c r="G917" t="s">
        <v>31</v>
      </c>
      <c r="H917" s="12">
        <v>0.05</v>
      </c>
      <c r="I917" t="s">
        <v>37</v>
      </c>
      <c r="J917" s="7">
        <f>Table2[[#This Row],[UnitPrice]]*Table2[[#This Row],[Quantity]]*(1-Table2[[#This Row],[Discount]])</f>
        <v>5018.6220000000003</v>
      </c>
      <c r="K917" t="s">
        <v>40</v>
      </c>
      <c r="L917" t="s">
        <v>44</v>
      </c>
      <c r="M917">
        <v>0</v>
      </c>
      <c r="N917" t="s">
        <v>961</v>
      </c>
      <c r="O917" t="s">
        <v>2415</v>
      </c>
      <c r="P917" s="7">
        <v>16.399999999999999</v>
      </c>
      <c r="Q917" s="1">
        <v>45819</v>
      </c>
      <c r="R917">
        <f>WEEKNUM(Table2[[#This Row],[OrderDate]])</f>
        <v>24</v>
      </c>
      <c r="S917" s="1">
        <v>45823</v>
      </c>
      <c r="T917" t="s">
        <v>2919</v>
      </c>
    </row>
    <row r="918" spans="1:20" x14ac:dyDescent="0.35">
      <c r="A918" s="1">
        <v>45259</v>
      </c>
      <c r="B918" t="s">
        <v>2934</v>
      </c>
      <c r="C918" t="s">
        <v>20</v>
      </c>
      <c r="D918" s="9">
        <v>11</v>
      </c>
      <c r="E918" s="7">
        <v>267.91000000000003</v>
      </c>
      <c r="F918" t="s">
        <v>26</v>
      </c>
      <c r="G918" t="s">
        <v>31</v>
      </c>
      <c r="H918" s="12">
        <v>0</v>
      </c>
      <c r="I918" t="s">
        <v>32</v>
      </c>
      <c r="J918" s="7">
        <f>Table2[[#This Row],[UnitPrice]]*Table2[[#This Row],[Quantity]]*(1-Table2[[#This Row],[Discount]])</f>
        <v>2947.01</v>
      </c>
      <c r="K918" t="s">
        <v>41</v>
      </c>
      <c r="L918" t="s">
        <v>2937</v>
      </c>
      <c r="M918">
        <v>0</v>
      </c>
      <c r="N918" t="s">
        <v>962</v>
      </c>
      <c r="O918" t="s">
        <v>2416</v>
      </c>
      <c r="P918" s="7">
        <v>12.05</v>
      </c>
      <c r="Q918" s="1">
        <v>45259</v>
      </c>
      <c r="R918">
        <f>WEEKNUM(Table2[[#This Row],[OrderDate]])</f>
        <v>48</v>
      </c>
      <c r="S918" s="1">
        <v>45264</v>
      </c>
      <c r="T918" t="s">
        <v>2920</v>
      </c>
    </row>
    <row r="919" spans="1:20" x14ac:dyDescent="0.35">
      <c r="A919" s="1">
        <v>45470</v>
      </c>
      <c r="B919" t="s">
        <v>2932</v>
      </c>
      <c r="C919" t="s">
        <v>22</v>
      </c>
      <c r="D919" s="9">
        <v>12</v>
      </c>
      <c r="E919" s="7">
        <v>369.54</v>
      </c>
      <c r="F919" t="s">
        <v>26</v>
      </c>
      <c r="G919" t="s">
        <v>31</v>
      </c>
      <c r="H919" s="12">
        <v>0.05</v>
      </c>
      <c r="I919" t="s">
        <v>36</v>
      </c>
      <c r="J919" s="7">
        <f>Table2[[#This Row],[UnitPrice]]*Table2[[#This Row],[Quantity]]*(1-Table2[[#This Row],[Discount]])</f>
        <v>4212.7560000000003</v>
      </c>
      <c r="K919" t="s">
        <v>41</v>
      </c>
      <c r="L919" t="s">
        <v>45</v>
      </c>
      <c r="M919">
        <v>1</v>
      </c>
      <c r="N919" t="s">
        <v>963</v>
      </c>
      <c r="O919" t="s">
        <v>2417</v>
      </c>
      <c r="P919" s="7">
        <v>39.159999999999997</v>
      </c>
      <c r="Q919" s="1">
        <v>45470</v>
      </c>
      <c r="R919">
        <f>WEEKNUM(Table2[[#This Row],[OrderDate]])</f>
        <v>26</v>
      </c>
      <c r="S919" s="1">
        <v>45478</v>
      </c>
      <c r="T919" t="s">
        <v>2918</v>
      </c>
    </row>
    <row r="920" spans="1:20" x14ac:dyDescent="0.35">
      <c r="A920" s="1">
        <v>45432</v>
      </c>
      <c r="B920" t="s">
        <v>2932</v>
      </c>
      <c r="C920" t="s">
        <v>23</v>
      </c>
      <c r="D920" s="9">
        <v>13</v>
      </c>
      <c r="E920" s="7">
        <v>284.3</v>
      </c>
      <c r="F920" t="s">
        <v>27</v>
      </c>
      <c r="G920" t="s">
        <v>30</v>
      </c>
      <c r="H920" s="12">
        <v>0.05</v>
      </c>
      <c r="I920" t="s">
        <v>37</v>
      </c>
      <c r="J920" s="7">
        <f>Table2[[#This Row],[UnitPrice]]*Table2[[#This Row],[Quantity]]*(1-Table2[[#This Row],[Discount]])</f>
        <v>3511.105</v>
      </c>
      <c r="K920" t="s">
        <v>38</v>
      </c>
      <c r="L920" t="s">
        <v>45</v>
      </c>
      <c r="M920">
        <v>0</v>
      </c>
      <c r="N920" t="s">
        <v>964</v>
      </c>
      <c r="O920" t="s">
        <v>2418</v>
      </c>
      <c r="P920" s="7">
        <v>48.73</v>
      </c>
      <c r="Q920" s="1">
        <v>45432</v>
      </c>
      <c r="R920">
        <f>WEEKNUM(Table2[[#This Row],[OrderDate]])</f>
        <v>21</v>
      </c>
      <c r="S920" s="1">
        <v>45439</v>
      </c>
      <c r="T920" t="s">
        <v>2918</v>
      </c>
    </row>
    <row r="921" spans="1:20" x14ac:dyDescent="0.35">
      <c r="A921" s="1">
        <v>45094</v>
      </c>
      <c r="B921" t="s">
        <v>2933</v>
      </c>
      <c r="C921" t="s">
        <v>22</v>
      </c>
      <c r="D921" s="9">
        <v>12</v>
      </c>
      <c r="E921" s="7">
        <v>427.1</v>
      </c>
      <c r="F921" t="s">
        <v>28</v>
      </c>
      <c r="G921" t="s">
        <v>31</v>
      </c>
      <c r="H921" s="12">
        <v>0</v>
      </c>
      <c r="I921" t="s">
        <v>35</v>
      </c>
      <c r="J921" s="7">
        <f>Table2[[#This Row],[UnitPrice]]*Table2[[#This Row],[Quantity]]*(1-Table2[[#This Row],[Discount]])</f>
        <v>5125.2000000000007</v>
      </c>
      <c r="K921" t="s">
        <v>39</v>
      </c>
      <c r="L921" t="s">
        <v>45</v>
      </c>
      <c r="M921">
        <v>1</v>
      </c>
      <c r="N921" t="s">
        <v>965</v>
      </c>
      <c r="O921" t="s">
        <v>2419</v>
      </c>
      <c r="P921" s="7">
        <v>8.11</v>
      </c>
      <c r="Q921" s="1">
        <v>45094</v>
      </c>
      <c r="R921">
        <f>WEEKNUM(Table2[[#This Row],[OrderDate]])</f>
        <v>24</v>
      </c>
      <c r="S921" s="1">
        <v>45099</v>
      </c>
      <c r="T921" t="s">
        <v>2921</v>
      </c>
    </row>
    <row r="922" spans="1:20" x14ac:dyDescent="0.35">
      <c r="A922" s="1">
        <v>45602</v>
      </c>
      <c r="B922" t="s">
        <v>2930</v>
      </c>
      <c r="C922" t="s">
        <v>23</v>
      </c>
      <c r="D922" s="9">
        <v>11</v>
      </c>
      <c r="E922" s="7">
        <v>200.3</v>
      </c>
      <c r="F922" t="s">
        <v>29</v>
      </c>
      <c r="G922" t="s">
        <v>31</v>
      </c>
      <c r="H922" s="12">
        <v>0.1</v>
      </c>
      <c r="I922" t="s">
        <v>32</v>
      </c>
      <c r="J922" s="7">
        <f>Table2[[#This Row],[UnitPrice]]*Table2[[#This Row],[Quantity]]*(1-Table2[[#This Row],[Discount]])</f>
        <v>1982.9700000000003</v>
      </c>
      <c r="K922" t="s">
        <v>41</v>
      </c>
      <c r="L922" t="s">
        <v>45</v>
      </c>
      <c r="M922">
        <v>1</v>
      </c>
      <c r="N922" t="s">
        <v>966</v>
      </c>
      <c r="O922" t="s">
        <v>2420</v>
      </c>
      <c r="P922" s="7">
        <v>48.27</v>
      </c>
      <c r="Q922" s="1">
        <v>45602</v>
      </c>
      <c r="R922">
        <f>WEEKNUM(Table2[[#This Row],[OrderDate]])</f>
        <v>45</v>
      </c>
      <c r="S922" s="1">
        <v>45609</v>
      </c>
      <c r="T922" t="s">
        <v>2917</v>
      </c>
    </row>
    <row r="923" spans="1:20" x14ac:dyDescent="0.35">
      <c r="A923" s="1">
        <v>45700</v>
      </c>
      <c r="B923" t="s">
        <v>2931</v>
      </c>
      <c r="C923" t="s">
        <v>25</v>
      </c>
      <c r="D923" s="9">
        <v>4</v>
      </c>
      <c r="E923" s="7">
        <v>75.8</v>
      </c>
      <c r="F923" t="s">
        <v>28</v>
      </c>
      <c r="G923" t="s">
        <v>31</v>
      </c>
      <c r="H923" s="12">
        <v>0.15</v>
      </c>
      <c r="I923" t="s">
        <v>35</v>
      </c>
      <c r="J923" s="7">
        <f>Table2[[#This Row],[UnitPrice]]*Table2[[#This Row],[Quantity]]*(1-Table2[[#This Row],[Discount]])</f>
        <v>257.71999999999997</v>
      </c>
      <c r="K923" t="s">
        <v>40</v>
      </c>
      <c r="L923" t="s">
        <v>44</v>
      </c>
      <c r="M923">
        <v>0</v>
      </c>
      <c r="N923" t="s">
        <v>967</v>
      </c>
      <c r="O923" t="s">
        <v>2421</v>
      </c>
      <c r="P923" s="7">
        <v>12.22</v>
      </c>
      <c r="Q923" s="1">
        <v>45700</v>
      </c>
      <c r="R923">
        <f>WEEKNUM(Table2[[#This Row],[OrderDate]])</f>
        <v>7</v>
      </c>
      <c r="S923" s="1">
        <v>45708</v>
      </c>
      <c r="T923" t="s">
        <v>2919</v>
      </c>
    </row>
    <row r="924" spans="1:20" x14ac:dyDescent="0.35">
      <c r="A924" s="1">
        <v>45756</v>
      </c>
      <c r="B924" t="s">
        <v>2931</v>
      </c>
      <c r="C924" t="s">
        <v>23</v>
      </c>
      <c r="D924" s="9">
        <v>4</v>
      </c>
      <c r="E924" s="7">
        <v>518.42999999999995</v>
      </c>
      <c r="F924" t="s">
        <v>27</v>
      </c>
      <c r="G924" t="s">
        <v>30</v>
      </c>
      <c r="H924" s="12">
        <v>0</v>
      </c>
      <c r="I924" t="s">
        <v>33</v>
      </c>
      <c r="J924" s="7">
        <f>Table2[[#This Row],[UnitPrice]]*Table2[[#This Row],[Quantity]]*(1-Table2[[#This Row],[Discount]])</f>
        <v>2073.7199999999998</v>
      </c>
      <c r="K924" t="s">
        <v>38</v>
      </c>
      <c r="L924" t="s">
        <v>44</v>
      </c>
      <c r="M924">
        <v>0</v>
      </c>
      <c r="N924" t="s">
        <v>968</v>
      </c>
      <c r="O924" t="s">
        <v>2126</v>
      </c>
      <c r="P924" s="7">
        <v>30.86</v>
      </c>
      <c r="Q924" s="1">
        <v>45756</v>
      </c>
      <c r="R924">
        <f>WEEKNUM(Table2[[#This Row],[OrderDate]])</f>
        <v>15</v>
      </c>
      <c r="S924" s="1">
        <v>45761</v>
      </c>
      <c r="T924" t="s">
        <v>2919</v>
      </c>
    </row>
    <row r="925" spans="1:20" x14ac:dyDescent="0.35">
      <c r="A925" s="1">
        <v>45522</v>
      </c>
      <c r="B925" t="s">
        <v>2931</v>
      </c>
      <c r="C925" t="s">
        <v>24</v>
      </c>
      <c r="D925" s="9">
        <v>19</v>
      </c>
      <c r="E925" s="7">
        <v>181.18</v>
      </c>
      <c r="F925" t="s">
        <v>27</v>
      </c>
      <c r="G925" t="s">
        <v>30</v>
      </c>
      <c r="H925" s="12">
        <v>0.05</v>
      </c>
      <c r="I925" t="s">
        <v>35</v>
      </c>
      <c r="J925" s="7">
        <f>Table2[[#This Row],[UnitPrice]]*Table2[[#This Row],[Quantity]]*(1-Table2[[#This Row],[Discount]])</f>
        <v>3270.299</v>
      </c>
      <c r="K925" t="s">
        <v>40</v>
      </c>
      <c r="L925" t="s">
        <v>43</v>
      </c>
      <c r="M925">
        <v>0</v>
      </c>
      <c r="N925" t="s">
        <v>969</v>
      </c>
      <c r="O925" t="s">
        <v>2422</v>
      </c>
      <c r="P925" s="7">
        <v>12.04</v>
      </c>
      <c r="Q925" s="1">
        <v>45522</v>
      </c>
      <c r="R925">
        <f>WEEKNUM(Table2[[#This Row],[OrderDate]])</f>
        <v>34</v>
      </c>
      <c r="S925" s="1">
        <v>45530</v>
      </c>
      <c r="T925" t="s">
        <v>2919</v>
      </c>
    </row>
    <row r="926" spans="1:20" x14ac:dyDescent="0.35">
      <c r="A926" s="1">
        <v>44977</v>
      </c>
      <c r="B926" t="s">
        <v>2934</v>
      </c>
      <c r="C926" t="s">
        <v>19</v>
      </c>
      <c r="D926" s="9">
        <v>3</v>
      </c>
      <c r="E926" s="7">
        <v>197.17</v>
      </c>
      <c r="F926" t="s">
        <v>27</v>
      </c>
      <c r="G926" t="s">
        <v>30</v>
      </c>
      <c r="H926" s="12">
        <v>0.05</v>
      </c>
      <c r="I926" t="s">
        <v>34</v>
      </c>
      <c r="J926" s="7">
        <f>Table2[[#This Row],[UnitPrice]]*Table2[[#This Row],[Quantity]]*(1-Table2[[#This Row],[Discount]])</f>
        <v>561.93449999999996</v>
      </c>
      <c r="K926" t="s">
        <v>39</v>
      </c>
      <c r="L926" t="s">
        <v>43</v>
      </c>
      <c r="M926">
        <v>1</v>
      </c>
      <c r="N926" t="s">
        <v>970</v>
      </c>
      <c r="O926" t="s">
        <v>2108</v>
      </c>
      <c r="P926" s="7">
        <v>30.29</v>
      </c>
      <c r="Q926" s="1">
        <v>44977</v>
      </c>
      <c r="R926">
        <f>WEEKNUM(Table2[[#This Row],[OrderDate]])</f>
        <v>8</v>
      </c>
      <c r="S926" s="1">
        <v>44980</v>
      </c>
      <c r="T926" t="s">
        <v>2920</v>
      </c>
    </row>
    <row r="927" spans="1:20" x14ac:dyDescent="0.35">
      <c r="A927" s="1">
        <v>45775</v>
      </c>
      <c r="B927" t="s">
        <v>2931</v>
      </c>
      <c r="C927" t="s">
        <v>19</v>
      </c>
      <c r="D927" s="9">
        <v>6</v>
      </c>
      <c r="E927" s="7">
        <v>81.96</v>
      </c>
      <c r="F927" t="s">
        <v>29</v>
      </c>
      <c r="G927" t="s">
        <v>30</v>
      </c>
      <c r="H927" s="12">
        <v>0.05</v>
      </c>
      <c r="I927" t="s">
        <v>36</v>
      </c>
      <c r="J927" s="7">
        <f>Table2[[#This Row],[UnitPrice]]*Table2[[#This Row],[Quantity]]*(1-Table2[[#This Row],[Discount]])</f>
        <v>467.17199999999997</v>
      </c>
      <c r="K927" t="s">
        <v>40</v>
      </c>
      <c r="L927" t="s">
        <v>45</v>
      </c>
      <c r="M927">
        <v>0</v>
      </c>
      <c r="N927" t="s">
        <v>971</v>
      </c>
      <c r="O927" t="s">
        <v>2423</v>
      </c>
      <c r="P927" s="7">
        <v>26.43</v>
      </c>
      <c r="Q927" s="1">
        <v>45775</v>
      </c>
      <c r="R927">
        <f>WEEKNUM(Table2[[#This Row],[OrderDate]])</f>
        <v>18</v>
      </c>
      <c r="S927" s="1">
        <v>45785</v>
      </c>
      <c r="T927" t="s">
        <v>2919</v>
      </c>
    </row>
    <row r="928" spans="1:20" x14ac:dyDescent="0.35">
      <c r="A928" s="1">
        <v>45148</v>
      </c>
      <c r="B928" t="s">
        <v>2934</v>
      </c>
      <c r="C928" t="s">
        <v>25</v>
      </c>
      <c r="D928" s="9">
        <v>3</v>
      </c>
      <c r="E928" s="7">
        <v>59.78</v>
      </c>
      <c r="F928" t="s">
        <v>28</v>
      </c>
      <c r="G928" t="s">
        <v>31</v>
      </c>
      <c r="H928" s="12">
        <v>0</v>
      </c>
      <c r="I928" t="s">
        <v>32</v>
      </c>
      <c r="J928" s="7">
        <f>Table2[[#This Row],[UnitPrice]]*Table2[[#This Row],[Quantity]]*(1-Table2[[#This Row],[Discount]])</f>
        <v>179.34</v>
      </c>
      <c r="K928" t="s">
        <v>38</v>
      </c>
      <c r="L928" t="s">
        <v>44</v>
      </c>
      <c r="M928">
        <v>0</v>
      </c>
      <c r="N928" t="s">
        <v>972</v>
      </c>
      <c r="O928" t="s">
        <v>2424</v>
      </c>
      <c r="P928" s="7">
        <v>46.98</v>
      </c>
      <c r="Q928" s="1">
        <v>45148</v>
      </c>
      <c r="R928">
        <f>WEEKNUM(Table2[[#This Row],[OrderDate]])</f>
        <v>32</v>
      </c>
      <c r="S928" s="1">
        <v>45151</v>
      </c>
      <c r="T928" t="s">
        <v>2920</v>
      </c>
    </row>
    <row r="929" spans="1:20" x14ac:dyDescent="0.35">
      <c r="A929" s="1">
        <v>45467</v>
      </c>
      <c r="B929" t="s">
        <v>2931</v>
      </c>
      <c r="C929" t="s">
        <v>24</v>
      </c>
      <c r="D929" s="9">
        <v>12</v>
      </c>
      <c r="E929" s="7">
        <v>211.66</v>
      </c>
      <c r="F929" t="s">
        <v>27</v>
      </c>
      <c r="G929" t="s">
        <v>30</v>
      </c>
      <c r="H929" s="12">
        <v>0.1</v>
      </c>
      <c r="I929" t="s">
        <v>35</v>
      </c>
      <c r="J929" s="7">
        <f>Table2[[#This Row],[UnitPrice]]*Table2[[#This Row],[Quantity]]*(1-Table2[[#This Row],[Discount]])</f>
        <v>2285.9280000000003</v>
      </c>
      <c r="K929" t="s">
        <v>40</v>
      </c>
      <c r="L929" t="s">
        <v>44</v>
      </c>
      <c r="M929">
        <v>0</v>
      </c>
      <c r="N929" t="s">
        <v>973</v>
      </c>
      <c r="O929" t="s">
        <v>2425</v>
      </c>
      <c r="P929" s="7">
        <v>10.36</v>
      </c>
      <c r="Q929" s="1">
        <v>45467</v>
      </c>
      <c r="R929">
        <f>WEEKNUM(Table2[[#This Row],[OrderDate]])</f>
        <v>26</v>
      </c>
      <c r="S929" s="1">
        <v>45472</v>
      </c>
      <c r="T929" t="s">
        <v>2919</v>
      </c>
    </row>
    <row r="930" spans="1:20" x14ac:dyDescent="0.35">
      <c r="A930" s="1">
        <v>45144</v>
      </c>
      <c r="B930" t="s">
        <v>2934</v>
      </c>
      <c r="C930" t="s">
        <v>25</v>
      </c>
      <c r="D930" s="9">
        <v>13</v>
      </c>
      <c r="E930" s="7">
        <v>69.97</v>
      </c>
      <c r="F930" t="s">
        <v>27</v>
      </c>
      <c r="G930" t="s">
        <v>30</v>
      </c>
      <c r="H930" s="12">
        <v>0.05</v>
      </c>
      <c r="I930" t="s">
        <v>33</v>
      </c>
      <c r="J930" s="7">
        <f>Table2[[#This Row],[UnitPrice]]*Table2[[#This Row],[Quantity]]*(1-Table2[[#This Row],[Discount]])</f>
        <v>864.12950000000001</v>
      </c>
      <c r="K930" t="s">
        <v>41</v>
      </c>
      <c r="L930" t="s">
        <v>2937</v>
      </c>
      <c r="M930">
        <v>0</v>
      </c>
      <c r="N930" t="s">
        <v>974</v>
      </c>
      <c r="O930" t="s">
        <v>2426</v>
      </c>
      <c r="P930" s="7">
        <v>27.66</v>
      </c>
      <c r="Q930" s="1">
        <v>45144</v>
      </c>
      <c r="R930">
        <f>WEEKNUM(Table2[[#This Row],[OrderDate]])</f>
        <v>32</v>
      </c>
      <c r="S930" s="1">
        <v>45150</v>
      </c>
      <c r="T930" t="s">
        <v>2920</v>
      </c>
    </row>
    <row r="931" spans="1:20" x14ac:dyDescent="0.35">
      <c r="A931" s="1">
        <v>45622</v>
      </c>
      <c r="B931" t="s">
        <v>2930</v>
      </c>
      <c r="C931" t="s">
        <v>24</v>
      </c>
      <c r="D931" s="9">
        <v>7</v>
      </c>
      <c r="E931" s="7">
        <v>438.33</v>
      </c>
      <c r="F931" t="s">
        <v>28</v>
      </c>
      <c r="G931" t="s">
        <v>31</v>
      </c>
      <c r="H931" s="12">
        <v>0.1</v>
      </c>
      <c r="I931" t="s">
        <v>34</v>
      </c>
      <c r="J931" s="7">
        <f>Table2[[#This Row],[UnitPrice]]*Table2[[#This Row],[Quantity]]*(1-Table2[[#This Row],[Discount]])</f>
        <v>2761.4789999999998</v>
      </c>
      <c r="K931" t="s">
        <v>42</v>
      </c>
      <c r="L931" t="s">
        <v>2937</v>
      </c>
      <c r="M931">
        <v>1</v>
      </c>
      <c r="N931" t="s">
        <v>975</v>
      </c>
      <c r="O931" t="s">
        <v>2095</v>
      </c>
      <c r="P931" s="7">
        <v>11.57</v>
      </c>
      <c r="Q931" s="1">
        <v>45622</v>
      </c>
      <c r="R931">
        <f>WEEKNUM(Table2[[#This Row],[OrderDate]])</f>
        <v>48</v>
      </c>
      <c r="S931" s="1">
        <v>45626</v>
      </c>
      <c r="T931" t="s">
        <v>2917</v>
      </c>
    </row>
    <row r="932" spans="1:20" x14ac:dyDescent="0.35">
      <c r="A932" s="1">
        <v>45694</v>
      </c>
      <c r="B932" t="s">
        <v>2930</v>
      </c>
      <c r="C932" t="s">
        <v>19</v>
      </c>
      <c r="D932" s="9">
        <v>7</v>
      </c>
      <c r="E932" s="7">
        <v>241.81</v>
      </c>
      <c r="F932" t="s">
        <v>28</v>
      </c>
      <c r="G932" t="s">
        <v>30</v>
      </c>
      <c r="H932" s="12">
        <v>0.1</v>
      </c>
      <c r="I932" t="s">
        <v>33</v>
      </c>
      <c r="J932" s="7">
        <f>Table2[[#This Row],[UnitPrice]]*Table2[[#This Row],[Quantity]]*(1-Table2[[#This Row],[Discount]])</f>
        <v>1523.403</v>
      </c>
      <c r="K932" t="s">
        <v>41</v>
      </c>
      <c r="L932" t="s">
        <v>43</v>
      </c>
      <c r="M932">
        <v>0</v>
      </c>
      <c r="N932" t="s">
        <v>976</v>
      </c>
      <c r="O932" t="s">
        <v>2427</v>
      </c>
      <c r="P932" s="7">
        <v>32.94</v>
      </c>
      <c r="Q932" s="1">
        <v>45694</v>
      </c>
      <c r="R932">
        <f>WEEKNUM(Table2[[#This Row],[OrderDate]])</f>
        <v>6</v>
      </c>
      <c r="S932" s="1">
        <v>45698</v>
      </c>
      <c r="T932" t="s">
        <v>2917</v>
      </c>
    </row>
    <row r="933" spans="1:20" x14ac:dyDescent="0.35">
      <c r="A933" s="1">
        <v>45736</v>
      </c>
      <c r="B933" t="s">
        <v>2930</v>
      </c>
      <c r="C933" t="s">
        <v>21</v>
      </c>
      <c r="D933" s="9">
        <v>3</v>
      </c>
      <c r="E933" s="7">
        <v>466.64</v>
      </c>
      <c r="F933" t="s">
        <v>27</v>
      </c>
      <c r="G933" t="s">
        <v>31</v>
      </c>
      <c r="H933" s="12">
        <v>0.15</v>
      </c>
      <c r="I933" t="s">
        <v>37</v>
      </c>
      <c r="J933" s="7">
        <f>Table2[[#This Row],[UnitPrice]]*Table2[[#This Row],[Quantity]]*(1-Table2[[#This Row],[Discount]])</f>
        <v>1189.932</v>
      </c>
      <c r="K933" t="s">
        <v>38</v>
      </c>
      <c r="L933" t="s">
        <v>43</v>
      </c>
      <c r="M933">
        <v>0</v>
      </c>
      <c r="N933" t="s">
        <v>977</v>
      </c>
      <c r="O933" t="s">
        <v>2428</v>
      </c>
      <c r="P933" s="7">
        <v>30.33</v>
      </c>
      <c r="Q933" s="1">
        <v>45736</v>
      </c>
      <c r="R933">
        <f>WEEKNUM(Table2[[#This Row],[OrderDate]])</f>
        <v>12</v>
      </c>
      <c r="S933" s="1">
        <v>45742</v>
      </c>
      <c r="T933" t="s">
        <v>2917</v>
      </c>
    </row>
    <row r="934" spans="1:20" x14ac:dyDescent="0.35">
      <c r="A934" s="1">
        <v>45545</v>
      </c>
      <c r="B934" t="s">
        <v>2932</v>
      </c>
      <c r="C934" t="s">
        <v>23</v>
      </c>
      <c r="D934" s="9">
        <v>9</v>
      </c>
      <c r="E934" s="7">
        <v>472.84</v>
      </c>
      <c r="F934" t="s">
        <v>29</v>
      </c>
      <c r="G934" t="s">
        <v>31</v>
      </c>
      <c r="H934" s="12">
        <v>0.05</v>
      </c>
      <c r="I934" t="s">
        <v>33</v>
      </c>
      <c r="J934" s="7">
        <f>Table2[[#This Row],[UnitPrice]]*Table2[[#This Row],[Quantity]]*(1-Table2[[#This Row],[Discount]])</f>
        <v>4042.7819999999992</v>
      </c>
      <c r="K934" t="s">
        <v>40</v>
      </c>
      <c r="L934" t="s">
        <v>45</v>
      </c>
      <c r="M934">
        <v>0</v>
      </c>
      <c r="N934" t="s">
        <v>978</v>
      </c>
      <c r="O934" t="s">
        <v>2429</v>
      </c>
      <c r="P934" s="7">
        <v>48.13</v>
      </c>
      <c r="Q934" s="1">
        <v>45545</v>
      </c>
      <c r="R934">
        <f>WEEKNUM(Table2[[#This Row],[OrderDate]])</f>
        <v>37</v>
      </c>
      <c r="S934" s="1">
        <v>45547</v>
      </c>
      <c r="T934" t="s">
        <v>2918</v>
      </c>
    </row>
    <row r="935" spans="1:20" x14ac:dyDescent="0.35">
      <c r="A935" s="1">
        <v>45708</v>
      </c>
      <c r="B935" t="s">
        <v>2932</v>
      </c>
      <c r="C935" t="s">
        <v>22</v>
      </c>
      <c r="D935" s="9">
        <v>19</v>
      </c>
      <c r="E935" s="7">
        <v>586.49</v>
      </c>
      <c r="F935" t="s">
        <v>27</v>
      </c>
      <c r="G935" t="s">
        <v>30</v>
      </c>
      <c r="H935" s="12">
        <v>0.1</v>
      </c>
      <c r="I935" t="s">
        <v>32</v>
      </c>
      <c r="J935" s="7">
        <f>Table2[[#This Row],[UnitPrice]]*Table2[[#This Row],[Quantity]]*(1-Table2[[#This Row],[Discount]])</f>
        <v>10028.978999999999</v>
      </c>
      <c r="K935" t="s">
        <v>42</v>
      </c>
      <c r="L935" t="s">
        <v>44</v>
      </c>
      <c r="M935">
        <v>0</v>
      </c>
      <c r="N935" t="s">
        <v>979</v>
      </c>
      <c r="O935" t="s">
        <v>2430</v>
      </c>
      <c r="P935" s="7">
        <v>19.850000000000001</v>
      </c>
      <c r="Q935" s="1">
        <v>45708</v>
      </c>
      <c r="R935">
        <f>WEEKNUM(Table2[[#This Row],[OrderDate]])</f>
        <v>8</v>
      </c>
      <c r="S935" s="1">
        <v>45718</v>
      </c>
      <c r="T935" t="s">
        <v>2918</v>
      </c>
    </row>
    <row r="936" spans="1:20" x14ac:dyDescent="0.35">
      <c r="A936" s="1">
        <v>44946</v>
      </c>
      <c r="B936" t="s">
        <v>2930</v>
      </c>
      <c r="C936" t="s">
        <v>22</v>
      </c>
      <c r="D936" s="9">
        <v>15</v>
      </c>
      <c r="E936" s="7">
        <v>462.85</v>
      </c>
      <c r="F936" t="s">
        <v>27</v>
      </c>
      <c r="G936" t="s">
        <v>31</v>
      </c>
      <c r="H936" s="12">
        <v>0.15</v>
      </c>
      <c r="I936" t="s">
        <v>36</v>
      </c>
      <c r="J936" s="7">
        <f>Table2[[#This Row],[UnitPrice]]*Table2[[#This Row],[Quantity]]*(1-Table2[[#This Row],[Discount]])</f>
        <v>5901.3374999999996</v>
      </c>
      <c r="K936" t="s">
        <v>40</v>
      </c>
      <c r="L936" t="s">
        <v>2937</v>
      </c>
      <c r="M936">
        <v>0</v>
      </c>
      <c r="N936" t="s">
        <v>980</v>
      </c>
      <c r="O936" t="s">
        <v>2431</v>
      </c>
      <c r="P936" s="7">
        <v>46.12</v>
      </c>
      <c r="Q936" s="1">
        <v>44946</v>
      </c>
      <c r="R936">
        <f>WEEKNUM(Table2[[#This Row],[OrderDate]])</f>
        <v>3</v>
      </c>
      <c r="S936" s="1">
        <v>44952</v>
      </c>
      <c r="T936" t="s">
        <v>2917</v>
      </c>
    </row>
    <row r="937" spans="1:20" x14ac:dyDescent="0.35">
      <c r="A937" s="1">
        <v>45354</v>
      </c>
      <c r="B937" t="s">
        <v>2930</v>
      </c>
      <c r="C937" t="s">
        <v>19</v>
      </c>
      <c r="D937" s="9">
        <v>1</v>
      </c>
      <c r="E937" s="7">
        <v>176.17</v>
      </c>
      <c r="F937" t="s">
        <v>28</v>
      </c>
      <c r="G937" t="s">
        <v>31</v>
      </c>
      <c r="H937" s="12">
        <v>0.05</v>
      </c>
      <c r="I937" t="s">
        <v>33</v>
      </c>
      <c r="J937" s="7">
        <f>Table2[[#This Row],[UnitPrice]]*Table2[[#This Row],[Quantity]]*(1-Table2[[#This Row],[Discount]])</f>
        <v>167.36149999999998</v>
      </c>
      <c r="K937" t="s">
        <v>41</v>
      </c>
      <c r="L937" t="s">
        <v>2937</v>
      </c>
      <c r="M937">
        <v>1</v>
      </c>
      <c r="N937" t="s">
        <v>981</v>
      </c>
      <c r="O937" t="s">
        <v>2432</v>
      </c>
      <c r="P937" s="7">
        <v>35.770000000000003</v>
      </c>
      <c r="Q937" s="1">
        <v>45354</v>
      </c>
      <c r="R937">
        <f>WEEKNUM(Table2[[#This Row],[OrderDate]])</f>
        <v>10</v>
      </c>
      <c r="S937" s="1">
        <v>45357</v>
      </c>
      <c r="T937" t="s">
        <v>2917</v>
      </c>
    </row>
    <row r="938" spans="1:20" x14ac:dyDescent="0.35">
      <c r="A938" s="1">
        <v>45257</v>
      </c>
      <c r="B938" t="s">
        <v>2933</v>
      </c>
      <c r="C938" t="s">
        <v>25</v>
      </c>
      <c r="D938" s="9">
        <v>1</v>
      </c>
      <c r="E938" s="7">
        <v>71.239999999999995</v>
      </c>
      <c r="F938" t="s">
        <v>27</v>
      </c>
      <c r="G938" t="s">
        <v>31</v>
      </c>
      <c r="H938" s="12">
        <v>0.1</v>
      </c>
      <c r="I938" t="s">
        <v>35</v>
      </c>
      <c r="J938" s="7">
        <f>Table2[[#This Row],[UnitPrice]]*Table2[[#This Row],[Quantity]]*(1-Table2[[#This Row],[Discount]])</f>
        <v>64.116</v>
      </c>
      <c r="K938" t="s">
        <v>41</v>
      </c>
      <c r="L938" t="s">
        <v>2937</v>
      </c>
      <c r="M938">
        <v>1</v>
      </c>
      <c r="N938" t="s">
        <v>982</v>
      </c>
      <c r="O938" t="s">
        <v>2433</v>
      </c>
      <c r="P938" s="7">
        <v>43.69</v>
      </c>
      <c r="Q938" s="1">
        <v>45257</v>
      </c>
      <c r="R938">
        <f>WEEKNUM(Table2[[#This Row],[OrderDate]])</f>
        <v>48</v>
      </c>
      <c r="S938" s="1">
        <v>45263</v>
      </c>
      <c r="T938" t="s">
        <v>2921</v>
      </c>
    </row>
    <row r="939" spans="1:20" x14ac:dyDescent="0.35">
      <c r="A939" s="1">
        <v>45606</v>
      </c>
      <c r="B939" t="s">
        <v>2930</v>
      </c>
      <c r="C939" t="s">
        <v>19</v>
      </c>
      <c r="D939" s="9">
        <v>6</v>
      </c>
      <c r="E939" s="7">
        <v>62.43</v>
      </c>
      <c r="F939" t="s">
        <v>27</v>
      </c>
      <c r="G939" t="s">
        <v>30</v>
      </c>
      <c r="H939" s="12">
        <v>0</v>
      </c>
      <c r="I939" t="s">
        <v>36</v>
      </c>
      <c r="J939" s="7">
        <f>Table2[[#This Row],[UnitPrice]]*Table2[[#This Row],[Quantity]]*(1-Table2[[#This Row],[Discount]])</f>
        <v>374.58</v>
      </c>
      <c r="K939" t="s">
        <v>39</v>
      </c>
      <c r="L939" t="s">
        <v>45</v>
      </c>
      <c r="M939">
        <v>0</v>
      </c>
      <c r="N939" t="s">
        <v>983</v>
      </c>
      <c r="O939" t="s">
        <v>2434</v>
      </c>
      <c r="P939" s="7">
        <v>17.850000000000001</v>
      </c>
      <c r="Q939" s="1">
        <v>45606</v>
      </c>
      <c r="R939">
        <f>WEEKNUM(Table2[[#This Row],[OrderDate]])</f>
        <v>46</v>
      </c>
      <c r="S939" s="1">
        <v>45614</v>
      </c>
      <c r="T939" t="s">
        <v>2917</v>
      </c>
    </row>
    <row r="940" spans="1:20" x14ac:dyDescent="0.35">
      <c r="A940" s="1">
        <v>45692</v>
      </c>
      <c r="B940" t="s">
        <v>2934</v>
      </c>
      <c r="C940" t="s">
        <v>24</v>
      </c>
      <c r="D940" s="9">
        <v>7</v>
      </c>
      <c r="E940" s="7">
        <v>569.89</v>
      </c>
      <c r="F940" t="s">
        <v>29</v>
      </c>
      <c r="G940" t="s">
        <v>30</v>
      </c>
      <c r="H940" s="12">
        <v>0.1</v>
      </c>
      <c r="I940" t="s">
        <v>33</v>
      </c>
      <c r="J940" s="7">
        <f>Table2[[#This Row],[UnitPrice]]*Table2[[#This Row],[Quantity]]*(1-Table2[[#This Row],[Discount]])</f>
        <v>3590.3070000000002</v>
      </c>
      <c r="K940" t="s">
        <v>42</v>
      </c>
      <c r="L940" t="s">
        <v>44</v>
      </c>
      <c r="M940">
        <v>0</v>
      </c>
      <c r="N940" t="s">
        <v>984</v>
      </c>
      <c r="O940" t="s">
        <v>2435</v>
      </c>
      <c r="P940" s="7">
        <v>26.81</v>
      </c>
      <c r="Q940" s="1">
        <v>45692</v>
      </c>
      <c r="R940">
        <f>WEEKNUM(Table2[[#This Row],[OrderDate]])</f>
        <v>6</v>
      </c>
      <c r="S940" s="1">
        <v>45696</v>
      </c>
      <c r="T940" t="s">
        <v>2920</v>
      </c>
    </row>
    <row r="941" spans="1:20" x14ac:dyDescent="0.35">
      <c r="A941" s="1">
        <v>45343</v>
      </c>
      <c r="B941" t="s">
        <v>2930</v>
      </c>
      <c r="C941" t="s">
        <v>21</v>
      </c>
      <c r="D941" s="9">
        <v>5</v>
      </c>
      <c r="E941" s="7">
        <v>34.06</v>
      </c>
      <c r="F941" t="s">
        <v>29</v>
      </c>
      <c r="G941" t="s">
        <v>30</v>
      </c>
      <c r="H941" s="12">
        <v>0.05</v>
      </c>
      <c r="I941" t="s">
        <v>36</v>
      </c>
      <c r="J941" s="7">
        <f>Table2[[#This Row],[UnitPrice]]*Table2[[#This Row],[Quantity]]*(1-Table2[[#This Row],[Discount]])</f>
        <v>161.785</v>
      </c>
      <c r="K941" t="s">
        <v>39</v>
      </c>
      <c r="L941" t="s">
        <v>2937</v>
      </c>
      <c r="M941">
        <v>0</v>
      </c>
      <c r="N941" t="s">
        <v>985</v>
      </c>
      <c r="O941" t="s">
        <v>2436</v>
      </c>
      <c r="P941" s="7">
        <v>19.72</v>
      </c>
      <c r="Q941" s="1">
        <v>45343</v>
      </c>
      <c r="R941">
        <f>WEEKNUM(Table2[[#This Row],[OrderDate]])</f>
        <v>8</v>
      </c>
      <c r="S941" s="1">
        <v>45353</v>
      </c>
      <c r="T941" t="s">
        <v>2917</v>
      </c>
    </row>
    <row r="942" spans="1:20" x14ac:dyDescent="0.35">
      <c r="A942" s="1">
        <v>45009</v>
      </c>
      <c r="B942" t="s">
        <v>2930</v>
      </c>
      <c r="C942" t="s">
        <v>21</v>
      </c>
      <c r="D942" s="9">
        <v>17</v>
      </c>
      <c r="E942" s="7">
        <v>502.6</v>
      </c>
      <c r="F942" t="s">
        <v>27</v>
      </c>
      <c r="G942" t="s">
        <v>30</v>
      </c>
      <c r="H942" s="12">
        <v>0.1</v>
      </c>
      <c r="I942" t="s">
        <v>34</v>
      </c>
      <c r="J942" s="7">
        <f>Table2[[#This Row],[UnitPrice]]*Table2[[#This Row],[Quantity]]*(1-Table2[[#This Row],[Discount]])</f>
        <v>7689.7800000000007</v>
      </c>
      <c r="K942" t="s">
        <v>42</v>
      </c>
      <c r="L942" t="s">
        <v>2937</v>
      </c>
      <c r="M942">
        <v>0</v>
      </c>
      <c r="N942" t="s">
        <v>986</v>
      </c>
      <c r="O942" t="s">
        <v>2437</v>
      </c>
      <c r="P942" s="7">
        <v>15.38</v>
      </c>
      <c r="Q942" s="1">
        <v>45009</v>
      </c>
      <c r="R942">
        <f>WEEKNUM(Table2[[#This Row],[OrderDate]])</f>
        <v>12</v>
      </c>
      <c r="S942" s="1">
        <v>45014</v>
      </c>
      <c r="T942" t="s">
        <v>2917</v>
      </c>
    </row>
    <row r="943" spans="1:20" x14ac:dyDescent="0.35">
      <c r="A943" s="1">
        <v>45417</v>
      </c>
      <c r="B943" t="s">
        <v>2932</v>
      </c>
      <c r="C943" t="s">
        <v>25</v>
      </c>
      <c r="D943" s="9">
        <v>3</v>
      </c>
      <c r="E943" s="7">
        <v>89.72</v>
      </c>
      <c r="F943" t="s">
        <v>29</v>
      </c>
      <c r="G943" t="s">
        <v>30</v>
      </c>
      <c r="H943" s="12">
        <v>0.1</v>
      </c>
      <c r="I943" t="s">
        <v>33</v>
      </c>
      <c r="J943" s="7">
        <f>Table2[[#This Row],[UnitPrice]]*Table2[[#This Row],[Quantity]]*(1-Table2[[#This Row],[Discount]])</f>
        <v>242.24399999999997</v>
      </c>
      <c r="K943" t="s">
        <v>39</v>
      </c>
      <c r="L943" t="s">
        <v>45</v>
      </c>
      <c r="M943">
        <v>0</v>
      </c>
      <c r="N943" t="s">
        <v>987</v>
      </c>
      <c r="O943" t="s">
        <v>2438</v>
      </c>
      <c r="P943" s="7">
        <v>32.67</v>
      </c>
      <c r="Q943" s="1">
        <v>45417</v>
      </c>
      <c r="R943">
        <f>WEEKNUM(Table2[[#This Row],[OrderDate]])</f>
        <v>19</v>
      </c>
      <c r="S943" s="1">
        <v>45425</v>
      </c>
      <c r="T943" t="s">
        <v>2918</v>
      </c>
    </row>
    <row r="944" spans="1:20" x14ac:dyDescent="0.35">
      <c r="A944" s="1">
        <v>45569</v>
      </c>
      <c r="B944" t="s">
        <v>2932</v>
      </c>
      <c r="C944" t="s">
        <v>19</v>
      </c>
      <c r="D944" s="9">
        <v>18</v>
      </c>
      <c r="E944" s="7">
        <v>403.53</v>
      </c>
      <c r="F944" t="s">
        <v>29</v>
      </c>
      <c r="G944" t="s">
        <v>30</v>
      </c>
      <c r="H944" s="12">
        <v>0.1</v>
      </c>
      <c r="I944" t="s">
        <v>33</v>
      </c>
      <c r="J944" s="7">
        <f>Table2[[#This Row],[UnitPrice]]*Table2[[#This Row],[Quantity]]*(1-Table2[[#This Row],[Discount]])</f>
        <v>6537.1859999999997</v>
      </c>
      <c r="K944" t="s">
        <v>38</v>
      </c>
      <c r="L944" t="s">
        <v>2937</v>
      </c>
      <c r="M944">
        <v>0</v>
      </c>
      <c r="N944" t="s">
        <v>988</v>
      </c>
      <c r="O944" t="s">
        <v>2439</v>
      </c>
      <c r="P944" s="7">
        <v>35.729999999999997</v>
      </c>
      <c r="Q944" s="1">
        <v>45569</v>
      </c>
      <c r="R944">
        <f>WEEKNUM(Table2[[#This Row],[OrderDate]])</f>
        <v>40</v>
      </c>
      <c r="S944" s="1">
        <v>45572</v>
      </c>
      <c r="T944" t="s">
        <v>2918</v>
      </c>
    </row>
    <row r="945" spans="1:20" x14ac:dyDescent="0.35">
      <c r="A945" s="1">
        <v>45661</v>
      </c>
      <c r="B945" t="s">
        <v>2932</v>
      </c>
      <c r="C945" t="s">
        <v>22</v>
      </c>
      <c r="D945" s="9">
        <v>2</v>
      </c>
      <c r="E945" s="7">
        <v>194.97</v>
      </c>
      <c r="F945" t="s">
        <v>27</v>
      </c>
      <c r="G945" t="s">
        <v>31</v>
      </c>
      <c r="H945" s="12">
        <v>0</v>
      </c>
      <c r="I945" t="s">
        <v>36</v>
      </c>
      <c r="J945" s="7">
        <f>Table2[[#This Row],[UnitPrice]]*Table2[[#This Row],[Quantity]]*(1-Table2[[#This Row],[Discount]])</f>
        <v>389.94</v>
      </c>
      <c r="K945" t="s">
        <v>40</v>
      </c>
      <c r="L945" t="s">
        <v>44</v>
      </c>
      <c r="M945">
        <v>0</v>
      </c>
      <c r="N945" t="s">
        <v>989</v>
      </c>
      <c r="O945" t="s">
        <v>1927</v>
      </c>
      <c r="P945" s="7">
        <v>9.89</v>
      </c>
      <c r="Q945" s="1">
        <v>45661</v>
      </c>
      <c r="R945">
        <f>WEEKNUM(Table2[[#This Row],[OrderDate]])</f>
        <v>1</v>
      </c>
      <c r="S945" s="1">
        <v>45671</v>
      </c>
      <c r="T945" t="s">
        <v>2918</v>
      </c>
    </row>
    <row r="946" spans="1:20" x14ac:dyDescent="0.35">
      <c r="A946" s="1">
        <v>45649</v>
      </c>
      <c r="B946" t="s">
        <v>2934</v>
      </c>
      <c r="C946" t="s">
        <v>25</v>
      </c>
      <c r="D946" s="9">
        <v>12</v>
      </c>
      <c r="E946" s="7">
        <v>171.91</v>
      </c>
      <c r="F946" t="s">
        <v>26</v>
      </c>
      <c r="G946" t="s">
        <v>31</v>
      </c>
      <c r="H946" s="12">
        <v>0.05</v>
      </c>
      <c r="I946" t="s">
        <v>32</v>
      </c>
      <c r="J946" s="7">
        <f>Table2[[#This Row],[UnitPrice]]*Table2[[#This Row],[Quantity]]*(1-Table2[[#This Row],[Discount]])</f>
        <v>1959.7739999999999</v>
      </c>
      <c r="K946" t="s">
        <v>40</v>
      </c>
      <c r="L946" t="s">
        <v>45</v>
      </c>
      <c r="M946">
        <v>0</v>
      </c>
      <c r="N946" t="s">
        <v>990</v>
      </c>
      <c r="O946" t="s">
        <v>2440</v>
      </c>
      <c r="P946" s="7">
        <v>34.36</v>
      </c>
      <c r="Q946" s="1">
        <v>45649</v>
      </c>
      <c r="R946">
        <f>WEEKNUM(Table2[[#This Row],[OrderDate]])</f>
        <v>52</v>
      </c>
      <c r="S946" s="1">
        <v>45659</v>
      </c>
      <c r="T946" t="s">
        <v>2920</v>
      </c>
    </row>
    <row r="947" spans="1:20" x14ac:dyDescent="0.35">
      <c r="A947" s="1">
        <v>44955</v>
      </c>
      <c r="B947" t="s">
        <v>2934</v>
      </c>
      <c r="C947" t="s">
        <v>19</v>
      </c>
      <c r="D947" s="9">
        <v>17</v>
      </c>
      <c r="E947" s="7">
        <v>535.88</v>
      </c>
      <c r="F947" t="s">
        <v>27</v>
      </c>
      <c r="G947" t="s">
        <v>30</v>
      </c>
      <c r="H947" s="12">
        <v>0.05</v>
      </c>
      <c r="I947" t="s">
        <v>37</v>
      </c>
      <c r="J947" s="7">
        <f>Table2[[#This Row],[UnitPrice]]*Table2[[#This Row],[Quantity]]*(1-Table2[[#This Row],[Discount]])</f>
        <v>8654.4619999999995</v>
      </c>
      <c r="K947" t="s">
        <v>39</v>
      </c>
      <c r="L947" t="s">
        <v>2937</v>
      </c>
      <c r="M947">
        <v>0</v>
      </c>
      <c r="N947" t="s">
        <v>991</v>
      </c>
      <c r="O947" t="s">
        <v>2441</v>
      </c>
      <c r="P947" s="7">
        <v>26.12</v>
      </c>
      <c r="Q947" s="1">
        <v>44955</v>
      </c>
      <c r="R947">
        <f>WEEKNUM(Table2[[#This Row],[OrderDate]])</f>
        <v>5</v>
      </c>
      <c r="S947" s="1">
        <v>44965</v>
      </c>
      <c r="T947" t="s">
        <v>2920</v>
      </c>
    </row>
    <row r="948" spans="1:20" x14ac:dyDescent="0.35">
      <c r="A948" s="1">
        <v>45515</v>
      </c>
      <c r="B948" t="s">
        <v>2933</v>
      </c>
      <c r="C948" t="s">
        <v>22</v>
      </c>
      <c r="D948" s="9">
        <v>12</v>
      </c>
      <c r="E948" s="7">
        <v>248.13</v>
      </c>
      <c r="F948" t="s">
        <v>27</v>
      </c>
      <c r="G948" t="s">
        <v>31</v>
      </c>
      <c r="H948" s="12">
        <v>0.05</v>
      </c>
      <c r="I948" t="s">
        <v>33</v>
      </c>
      <c r="J948" s="7">
        <f>Table2[[#This Row],[UnitPrice]]*Table2[[#This Row],[Quantity]]*(1-Table2[[#This Row],[Discount]])</f>
        <v>2828.6819999999998</v>
      </c>
      <c r="K948" t="s">
        <v>42</v>
      </c>
      <c r="L948" t="s">
        <v>43</v>
      </c>
      <c r="M948">
        <v>0</v>
      </c>
      <c r="N948" t="s">
        <v>992</v>
      </c>
      <c r="O948" t="s">
        <v>2442</v>
      </c>
      <c r="P948" s="7">
        <v>26.03</v>
      </c>
      <c r="Q948" s="1">
        <v>45515</v>
      </c>
      <c r="R948">
        <f>WEEKNUM(Table2[[#This Row],[OrderDate]])</f>
        <v>33</v>
      </c>
      <c r="S948" s="1">
        <v>45521</v>
      </c>
      <c r="T948" t="s">
        <v>2921</v>
      </c>
    </row>
    <row r="949" spans="1:20" x14ac:dyDescent="0.35">
      <c r="A949" s="1">
        <v>45255</v>
      </c>
      <c r="B949" t="s">
        <v>2931</v>
      </c>
      <c r="C949" t="s">
        <v>20</v>
      </c>
      <c r="D949" s="9">
        <v>2</v>
      </c>
      <c r="E949" s="7">
        <v>482.1</v>
      </c>
      <c r="F949" t="s">
        <v>28</v>
      </c>
      <c r="G949" t="s">
        <v>31</v>
      </c>
      <c r="H949" s="12">
        <v>0</v>
      </c>
      <c r="I949" t="s">
        <v>35</v>
      </c>
      <c r="J949" s="7">
        <f>Table2[[#This Row],[UnitPrice]]*Table2[[#This Row],[Quantity]]*(1-Table2[[#This Row],[Discount]])</f>
        <v>964.2</v>
      </c>
      <c r="K949" t="s">
        <v>38</v>
      </c>
      <c r="L949" t="s">
        <v>43</v>
      </c>
      <c r="M949">
        <v>0</v>
      </c>
      <c r="N949" t="s">
        <v>993</v>
      </c>
      <c r="O949" t="s">
        <v>2443</v>
      </c>
      <c r="P949" s="7">
        <v>45.35</v>
      </c>
      <c r="Q949" s="1">
        <v>45255</v>
      </c>
      <c r="R949">
        <f>WEEKNUM(Table2[[#This Row],[OrderDate]])</f>
        <v>47</v>
      </c>
      <c r="S949" s="1">
        <v>45260</v>
      </c>
      <c r="T949" t="s">
        <v>2919</v>
      </c>
    </row>
    <row r="950" spans="1:20" x14ac:dyDescent="0.35">
      <c r="A950" s="1">
        <v>45720</v>
      </c>
      <c r="B950" t="s">
        <v>2931</v>
      </c>
      <c r="C950" t="s">
        <v>23</v>
      </c>
      <c r="D950" s="9">
        <v>18</v>
      </c>
      <c r="E950" s="7">
        <v>382.01</v>
      </c>
      <c r="F950" t="s">
        <v>29</v>
      </c>
      <c r="G950" t="s">
        <v>30</v>
      </c>
      <c r="H950" s="12">
        <v>0.1</v>
      </c>
      <c r="I950" t="s">
        <v>33</v>
      </c>
      <c r="J950" s="7">
        <f>Table2[[#This Row],[UnitPrice]]*Table2[[#This Row],[Quantity]]*(1-Table2[[#This Row],[Discount]])</f>
        <v>6188.5620000000008</v>
      </c>
      <c r="K950" t="s">
        <v>38</v>
      </c>
      <c r="L950" t="s">
        <v>44</v>
      </c>
      <c r="M950">
        <v>0</v>
      </c>
      <c r="N950" t="s">
        <v>994</v>
      </c>
      <c r="O950" t="s">
        <v>2444</v>
      </c>
      <c r="P950" s="7">
        <v>36.549999999999997</v>
      </c>
      <c r="Q950" s="1">
        <v>45720</v>
      </c>
      <c r="R950">
        <f>WEEKNUM(Table2[[#This Row],[OrderDate]])</f>
        <v>10</v>
      </c>
      <c r="S950" s="1">
        <v>45724</v>
      </c>
      <c r="T950" t="s">
        <v>2919</v>
      </c>
    </row>
    <row r="951" spans="1:20" x14ac:dyDescent="0.35">
      <c r="A951" s="1">
        <v>45709</v>
      </c>
      <c r="B951" t="s">
        <v>2931</v>
      </c>
      <c r="C951" t="s">
        <v>20</v>
      </c>
      <c r="D951" s="9">
        <v>13</v>
      </c>
      <c r="E951" s="7">
        <v>135.97999999999999</v>
      </c>
      <c r="F951" t="s">
        <v>28</v>
      </c>
      <c r="G951" t="s">
        <v>30</v>
      </c>
      <c r="H951" s="12">
        <v>0</v>
      </c>
      <c r="I951" t="s">
        <v>34</v>
      </c>
      <c r="J951" s="7">
        <f>Table2[[#This Row],[UnitPrice]]*Table2[[#This Row],[Quantity]]*(1-Table2[[#This Row],[Discount]])</f>
        <v>1767.7399999999998</v>
      </c>
      <c r="K951" t="s">
        <v>38</v>
      </c>
      <c r="L951" t="s">
        <v>45</v>
      </c>
      <c r="M951">
        <v>0</v>
      </c>
      <c r="N951" t="s">
        <v>995</v>
      </c>
      <c r="O951" t="s">
        <v>2297</v>
      </c>
      <c r="P951" s="7">
        <v>28.35</v>
      </c>
      <c r="Q951" s="1">
        <v>45709</v>
      </c>
      <c r="R951">
        <f>WEEKNUM(Table2[[#This Row],[OrderDate]])</f>
        <v>8</v>
      </c>
      <c r="S951" s="1">
        <v>45717</v>
      </c>
      <c r="T951" t="s">
        <v>2919</v>
      </c>
    </row>
    <row r="952" spans="1:20" x14ac:dyDescent="0.35">
      <c r="A952" s="1">
        <v>45714</v>
      </c>
      <c r="B952" t="s">
        <v>2930</v>
      </c>
      <c r="C952" t="s">
        <v>21</v>
      </c>
      <c r="D952" s="9">
        <v>9</v>
      </c>
      <c r="E952" s="7">
        <v>562.54</v>
      </c>
      <c r="F952" t="s">
        <v>27</v>
      </c>
      <c r="G952" t="s">
        <v>30</v>
      </c>
      <c r="H952" s="12">
        <v>0</v>
      </c>
      <c r="I952" t="s">
        <v>33</v>
      </c>
      <c r="J952" s="7">
        <f>Table2[[#This Row],[UnitPrice]]*Table2[[#This Row],[Quantity]]*(1-Table2[[#This Row],[Discount]])</f>
        <v>5062.8599999999997</v>
      </c>
      <c r="K952" t="s">
        <v>40</v>
      </c>
      <c r="L952" t="s">
        <v>43</v>
      </c>
      <c r="M952">
        <v>0</v>
      </c>
      <c r="N952" t="s">
        <v>996</v>
      </c>
      <c r="O952" t="s">
        <v>2445</v>
      </c>
      <c r="P952" s="7">
        <v>30.27</v>
      </c>
      <c r="Q952" s="1">
        <v>45714</v>
      </c>
      <c r="R952">
        <f>WEEKNUM(Table2[[#This Row],[OrderDate]])</f>
        <v>9</v>
      </c>
      <c r="S952" s="1">
        <v>45716</v>
      </c>
      <c r="T952" t="s">
        <v>2917</v>
      </c>
    </row>
    <row r="953" spans="1:20" x14ac:dyDescent="0.35">
      <c r="A953" s="1">
        <v>45380</v>
      </c>
      <c r="B953" t="s">
        <v>2930</v>
      </c>
      <c r="C953" t="s">
        <v>23</v>
      </c>
      <c r="D953" s="9">
        <v>6</v>
      </c>
      <c r="E953" s="7">
        <v>509.48</v>
      </c>
      <c r="F953" t="s">
        <v>26</v>
      </c>
      <c r="G953" t="s">
        <v>30</v>
      </c>
      <c r="H953" s="12">
        <v>0</v>
      </c>
      <c r="I953" t="s">
        <v>33</v>
      </c>
      <c r="J953" s="7">
        <f>Table2[[#This Row],[UnitPrice]]*Table2[[#This Row],[Quantity]]*(1-Table2[[#This Row],[Discount]])</f>
        <v>3056.88</v>
      </c>
      <c r="K953" t="s">
        <v>41</v>
      </c>
      <c r="L953" t="s">
        <v>45</v>
      </c>
      <c r="M953">
        <v>0</v>
      </c>
      <c r="N953" t="s">
        <v>997</v>
      </c>
      <c r="O953" t="s">
        <v>2446</v>
      </c>
      <c r="P953" s="7">
        <v>35.92</v>
      </c>
      <c r="Q953" s="1">
        <v>45380</v>
      </c>
      <c r="R953">
        <f>WEEKNUM(Table2[[#This Row],[OrderDate]])</f>
        <v>13</v>
      </c>
      <c r="S953" s="1">
        <v>45388</v>
      </c>
      <c r="T953" t="s">
        <v>2917</v>
      </c>
    </row>
    <row r="954" spans="1:20" x14ac:dyDescent="0.35">
      <c r="A954" s="1">
        <v>45805</v>
      </c>
      <c r="B954" t="s">
        <v>2933</v>
      </c>
      <c r="C954" t="s">
        <v>21</v>
      </c>
      <c r="D954" s="9">
        <v>3</v>
      </c>
      <c r="E954" s="7">
        <v>470.09</v>
      </c>
      <c r="F954" t="s">
        <v>26</v>
      </c>
      <c r="G954" t="s">
        <v>30</v>
      </c>
      <c r="H954" s="12">
        <v>0</v>
      </c>
      <c r="I954" t="s">
        <v>32</v>
      </c>
      <c r="J954" s="7">
        <f>Table2[[#This Row],[UnitPrice]]*Table2[[#This Row],[Quantity]]*(1-Table2[[#This Row],[Discount]])</f>
        <v>1410.27</v>
      </c>
      <c r="K954" t="s">
        <v>39</v>
      </c>
      <c r="L954" t="s">
        <v>2937</v>
      </c>
      <c r="M954">
        <v>0</v>
      </c>
      <c r="N954" t="s">
        <v>998</v>
      </c>
      <c r="O954" t="s">
        <v>2447</v>
      </c>
      <c r="P954" s="7">
        <v>38.29</v>
      </c>
      <c r="Q954" s="1">
        <v>45805</v>
      </c>
      <c r="R954">
        <f>WEEKNUM(Table2[[#This Row],[OrderDate]])</f>
        <v>22</v>
      </c>
      <c r="S954" s="1">
        <v>45809</v>
      </c>
      <c r="T954" t="s">
        <v>2921</v>
      </c>
    </row>
    <row r="955" spans="1:20" x14ac:dyDescent="0.35">
      <c r="A955" s="1">
        <v>45436</v>
      </c>
      <c r="B955" t="s">
        <v>2933</v>
      </c>
      <c r="C955" t="s">
        <v>25</v>
      </c>
      <c r="D955" s="9">
        <v>10</v>
      </c>
      <c r="E955" s="7">
        <v>280.8</v>
      </c>
      <c r="F955" t="s">
        <v>28</v>
      </c>
      <c r="G955" t="s">
        <v>31</v>
      </c>
      <c r="H955" s="12">
        <v>0</v>
      </c>
      <c r="I955" t="s">
        <v>33</v>
      </c>
      <c r="J955" s="7">
        <f>Table2[[#This Row],[UnitPrice]]*Table2[[#This Row],[Quantity]]*(1-Table2[[#This Row],[Discount]])</f>
        <v>2808</v>
      </c>
      <c r="K955" t="s">
        <v>40</v>
      </c>
      <c r="L955" t="s">
        <v>44</v>
      </c>
      <c r="M955">
        <v>0</v>
      </c>
      <c r="N955" t="s">
        <v>999</v>
      </c>
      <c r="O955" t="s">
        <v>2448</v>
      </c>
      <c r="P955" s="7">
        <v>49.98</v>
      </c>
      <c r="Q955" s="1">
        <v>45436</v>
      </c>
      <c r="R955">
        <f>WEEKNUM(Table2[[#This Row],[OrderDate]])</f>
        <v>21</v>
      </c>
      <c r="S955" s="1">
        <v>45442</v>
      </c>
      <c r="T955" t="s">
        <v>2921</v>
      </c>
    </row>
    <row r="956" spans="1:20" x14ac:dyDescent="0.35">
      <c r="A956" s="1">
        <v>45058</v>
      </c>
      <c r="B956" t="s">
        <v>2932</v>
      </c>
      <c r="C956" t="s">
        <v>22</v>
      </c>
      <c r="D956" s="9">
        <v>9</v>
      </c>
      <c r="E956" s="7">
        <v>251.43</v>
      </c>
      <c r="F956" t="s">
        <v>28</v>
      </c>
      <c r="G956" t="s">
        <v>31</v>
      </c>
      <c r="H956" s="12">
        <v>0.1</v>
      </c>
      <c r="I956" t="s">
        <v>34</v>
      </c>
      <c r="J956" s="7">
        <f>Table2[[#This Row],[UnitPrice]]*Table2[[#This Row],[Quantity]]*(1-Table2[[#This Row],[Discount]])</f>
        <v>2036.5829999999999</v>
      </c>
      <c r="K956" t="s">
        <v>40</v>
      </c>
      <c r="L956" t="s">
        <v>2937</v>
      </c>
      <c r="M956">
        <v>0</v>
      </c>
      <c r="N956" t="s">
        <v>1000</v>
      </c>
      <c r="O956" t="s">
        <v>2449</v>
      </c>
      <c r="P956" s="7">
        <v>22.57</v>
      </c>
      <c r="Q956" s="1">
        <v>45058</v>
      </c>
      <c r="R956">
        <f>WEEKNUM(Table2[[#This Row],[OrderDate]])</f>
        <v>19</v>
      </c>
      <c r="S956" s="1">
        <v>45063</v>
      </c>
      <c r="T956" t="s">
        <v>2918</v>
      </c>
    </row>
    <row r="957" spans="1:20" x14ac:dyDescent="0.35">
      <c r="A957" s="1">
        <v>45210</v>
      </c>
      <c r="B957" t="s">
        <v>2932</v>
      </c>
      <c r="C957" t="s">
        <v>20</v>
      </c>
      <c r="D957" s="9">
        <v>4</v>
      </c>
      <c r="E957" s="7">
        <v>408.28</v>
      </c>
      <c r="F957" t="s">
        <v>27</v>
      </c>
      <c r="G957" t="s">
        <v>31</v>
      </c>
      <c r="H957" s="12">
        <v>0.15</v>
      </c>
      <c r="I957" t="s">
        <v>33</v>
      </c>
      <c r="J957" s="7">
        <f>Table2[[#This Row],[UnitPrice]]*Table2[[#This Row],[Quantity]]*(1-Table2[[#This Row],[Discount]])</f>
        <v>1388.1519999999998</v>
      </c>
      <c r="K957" t="s">
        <v>42</v>
      </c>
      <c r="L957" t="s">
        <v>45</v>
      </c>
      <c r="M957">
        <v>0</v>
      </c>
      <c r="N957" t="s">
        <v>1001</v>
      </c>
      <c r="O957" t="s">
        <v>2230</v>
      </c>
      <c r="P957" s="7">
        <v>5.38</v>
      </c>
      <c r="Q957" s="1">
        <v>45210</v>
      </c>
      <c r="R957">
        <f>WEEKNUM(Table2[[#This Row],[OrderDate]])</f>
        <v>41</v>
      </c>
      <c r="S957" s="1">
        <v>45214</v>
      </c>
      <c r="T957" t="s">
        <v>2918</v>
      </c>
    </row>
    <row r="958" spans="1:20" x14ac:dyDescent="0.35">
      <c r="A958" s="1">
        <v>45316</v>
      </c>
      <c r="B958" t="s">
        <v>2931</v>
      </c>
      <c r="C958" t="s">
        <v>25</v>
      </c>
      <c r="D958" s="9">
        <v>2</v>
      </c>
      <c r="E958" s="7">
        <v>27.43</v>
      </c>
      <c r="F958" t="s">
        <v>26</v>
      </c>
      <c r="G958" t="s">
        <v>31</v>
      </c>
      <c r="H958" s="12">
        <v>0.15</v>
      </c>
      <c r="I958" t="s">
        <v>34</v>
      </c>
      <c r="J958" s="7">
        <f>Table2[[#This Row],[UnitPrice]]*Table2[[#This Row],[Quantity]]*(1-Table2[[#This Row],[Discount]])</f>
        <v>46.631</v>
      </c>
      <c r="K958" t="s">
        <v>38</v>
      </c>
      <c r="L958" t="s">
        <v>45</v>
      </c>
      <c r="M958">
        <v>0</v>
      </c>
      <c r="N958" t="s">
        <v>1002</v>
      </c>
      <c r="O958" t="s">
        <v>2450</v>
      </c>
      <c r="P958" s="7">
        <v>6.15</v>
      </c>
      <c r="Q958" s="1">
        <v>45316</v>
      </c>
      <c r="R958">
        <f>WEEKNUM(Table2[[#This Row],[OrderDate]])</f>
        <v>4</v>
      </c>
      <c r="S958" s="1">
        <v>45323</v>
      </c>
      <c r="T958" t="s">
        <v>2919</v>
      </c>
    </row>
    <row r="959" spans="1:20" x14ac:dyDescent="0.35">
      <c r="A959" s="1">
        <v>44960</v>
      </c>
      <c r="B959" t="s">
        <v>2930</v>
      </c>
      <c r="C959" t="s">
        <v>20</v>
      </c>
      <c r="D959" s="9">
        <v>11</v>
      </c>
      <c r="E959" s="7">
        <v>321.72000000000003</v>
      </c>
      <c r="F959" t="s">
        <v>27</v>
      </c>
      <c r="G959" t="s">
        <v>31</v>
      </c>
      <c r="H959" s="12">
        <v>0.1</v>
      </c>
      <c r="I959" t="s">
        <v>35</v>
      </c>
      <c r="J959" s="7">
        <f>Table2[[#This Row],[UnitPrice]]*Table2[[#This Row],[Quantity]]*(1-Table2[[#This Row],[Discount]])</f>
        <v>3185.0280000000002</v>
      </c>
      <c r="K959" t="s">
        <v>38</v>
      </c>
      <c r="L959" t="s">
        <v>45</v>
      </c>
      <c r="M959">
        <v>1</v>
      </c>
      <c r="N959" t="s">
        <v>1003</v>
      </c>
      <c r="O959" t="s">
        <v>2451</v>
      </c>
      <c r="P959" s="7">
        <v>17.940000000000001</v>
      </c>
      <c r="Q959" s="1">
        <v>44960</v>
      </c>
      <c r="R959">
        <f>WEEKNUM(Table2[[#This Row],[OrderDate]])</f>
        <v>5</v>
      </c>
      <c r="S959" s="1">
        <v>44963</v>
      </c>
      <c r="T959" t="s">
        <v>2917</v>
      </c>
    </row>
    <row r="960" spans="1:20" x14ac:dyDescent="0.35">
      <c r="A960" s="1">
        <v>45481</v>
      </c>
      <c r="B960" t="s">
        <v>2931</v>
      </c>
      <c r="C960" t="s">
        <v>21</v>
      </c>
      <c r="D960" s="9">
        <v>5</v>
      </c>
      <c r="E960" s="7">
        <v>186.32</v>
      </c>
      <c r="F960" t="s">
        <v>27</v>
      </c>
      <c r="G960" t="s">
        <v>30</v>
      </c>
      <c r="H960" s="12">
        <v>0.1</v>
      </c>
      <c r="I960" t="s">
        <v>35</v>
      </c>
      <c r="J960" s="7">
        <f>Table2[[#This Row],[UnitPrice]]*Table2[[#This Row],[Quantity]]*(1-Table2[[#This Row],[Discount]])</f>
        <v>838.43999999999994</v>
      </c>
      <c r="K960" t="s">
        <v>39</v>
      </c>
      <c r="L960" t="s">
        <v>45</v>
      </c>
      <c r="M960">
        <v>0</v>
      </c>
      <c r="N960" t="s">
        <v>1004</v>
      </c>
      <c r="O960" t="s">
        <v>1670</v>
      </c>
      <c r="P960" s="7">
        <v>17.09</v>
      </c>
      <c r="Q960" s="1">
        <v>45481</v>
      </c>
      <c r="R960">
        <f>WEEKNUM(Table2[[#This Row],[OrderDate]])</f>
        <v>28</v>
      </c>
      <c r="S960" s="1">
        <v>45487</v>
      </c>
      <c r="T960" t="s">
        <v>2919</v>
      </c>
    </row>
    <row r="961" spans="1:20" x14ac:dyDescent="0.35">
      <c r="A961" s="1">
        <v>45808</v>
      </c>
      <c r="B961" t="s">
        <v>2932</v>
      </c>
      <c r="C961" t="s">
        <v>23</v>
      </c>
      <c r="D961" s="9">
        <v>3</v>
      </c>
      <c r="E961" s="7">
        <v>390.28</v>
      </c>
      <c r="F961" t="s">
        <v>26</v>
      </c>
      <c r="G961" t="s">
        <v>31</v>
      </c>
      <c r="H961" s="12">
        <v>0</v>
      </c>
      <c r="I961" t="s">
        <v>34</v>
      </c>
      <c r="J961" s="7">
        <f>Table2[[#This Row],[UnitPrice]]*Table2[[#This Row],[Quantity]]*(1-Table2[[#This Row],[Discount]])</f>
        <v>1170.8399999999999</v>
      </c>
      <c r="K961" t="s">
        <v>38</v>
      </c>
      <c r="L961" t="s">
        <v>45</v>
      </c>
      <c r="M961">
        <v>1</v>
      </c>
      <c r="N961" t="s">
        <v>1005</v>
      </c>
      <c r="O961" t="s">
        <v>2452</v>
      </c>
      <c r="P961" s="7">
        <v>45.22</v>
      </c>
      <c r="Q961" s="1">
        <v>45808</v>
      </c>
      <c r="R961">
        <f>WEEKNUM(Table2[[#This Row],[OrderDate]])</f>
        <v>22</v>
      </c>
      <c r="S961" s="1">
        <v>45818</v>
      </c>
      <c r="T961" t="s">
        <v>2918</v>
      </c>
    </row>
    <row r="962" spans="1:20" x14ac:dyDescent="0.35">
      <c r="A962" s="1">
        <v>45239</v>
      </c>
      <c r="B962" t="s">
        <v>2932</v>
      </c>
      <c r="C962" t="s">
        <v>23</v>
      </c>
      <c r="D962" s="9">
        <v>13</v>
      </c>
      <c r="E962" s="7">
        <v>174.9</v>
      </c>
      <c r="F962" t="s">
        <v>27</v>
      </c>
      <c r="G962" t="s">
        <v>30</v>
      </c>
      <c r="H962" s="12">
        <v>0.15</v>
      </c>
      <c r="I962" t="s">
        <v>35</v>
      </c>
      <c r="J962" s="7">
        <f>Table2[[#This Row],[UnitPrice]]*Table2[[#This Row],[Quantity]]*(1-Table2[[#This Row],[Discount]])</f>
        <v>1932.6450000000002</v>
      </c>
      <c r="K962" t="s">
        <v>38</v>
      </c>
      <c r="L962" t="s">
        <v>45</v>
      </c>
      <c r="M962">
        <v>0</v>
      </c>
      <c r="N962" t="s">
        <v>1006</v>
      </c>
      <c r="O962" t="s">
        <v>2453</v>
      </c>
      <c r="P962" s="7">
        <v>31.26</v>
      </c>
      <c r="Q962" s="1">
        <v>45239</v>
      </c>
      <c r="R962">
        <f>WEEKNUM(Table2[[#This Row],[OrderDate]])</f>
        <v>45</v>
      </c>
      <c r="S962" s="1">
        <v>45242</v>
      </c>
      <c r="T962" t="s">
        <v>2918</v>
      </c>
    </row>
    <row r="963" spans="1:20" x14ac:dyDescent="0.35">
      <c r="A963" s="1">
        <v>45113</v>
      </c>
      <c r="B963" t="s">
        <v>2931</v>
      </c>
      <c r="C963" t="s">
        <v>22</v>
      </c>
      <c r="D963" s="9">
        <v>8</v>
      </c>
      <c r="E963" s="7">
        <v>419.13</v>
      </c>
      <c r="F963" t="s">
        <v>27</v>
      </c>
      <c r="G963" t="s">
        <v>31</v>
      </c>
      <c r="H963" s="12">
        <v>0.1</v>
      </c>
      <c r="I963" t="s">
        <v>33</v>
      </c>
      <c r="J963" s="7">
        <f>Table2[[#This Row],[UnitPrice]]*Table2[[#This Row],[Quantity]]*(1-Table2[[#This Row],[Discount]])</f>
        <v>3017.7359999999999</v>
      </c>
      <c r="K963" t="s">
        <v>38</v>
      </c>
      <c r="L963" t="s">
        <v>2937</v>
      </c>
      <c r="M963">
        <v>1</v>
      </c>
      <c r="N963" t="s">
        <v>1007</v>
      </c>
      <c r="O963" t="s">
        <v>2454</v>
      </c>
      <c r="P963" s="7">
        <v>11.02</v>
      </c>
      <c r="Q963" s="1">
        <v>45113</v>
      </c>
      <c r="R963">
        <f>WEEKNUM(Table2[[#This Row],[OrderDate]])</f>
        <v>27</v>
      </c>
      <c r="S963" s="1">
        <v>45117</v>
      </c>
      <c r="T963" t="s">
        <v>2919</v>
      </c>
    </row>
    <row r="964" spans="1:20" x14ac:dyDescent="0.35">
      <c r="A964" s="1">
        <v>45121</v>
      </c>
      <c r="B964" t="s">
        <v>2931</v>
      </c>
      <c r="C964" t="s">
        <v>22</v>
      </c>
      <c r="D964" s="9">
        <v>12</v>
      </c>
      <c r="E964" s="7">
        <v>116.96</v>
      </c>
      <c r="F964" t="s">
        <v>29</v>
      </c>
      <c r="G964" t="s">
        <v>30</v>
      </c>
      <c r="H964" s="12">
        <v>0</v>
      </c>
      <c r="I964" t="s">
        <v>33</v>
      </c>
      <c r="J964" s="7">
        <f>Table2[[#This Row],[UnitPrice]]*Table2[[#This Row],[Quantity]]*(1-Table2[[#This Row],[Discount]])</f>
        <v>1403.52</v>
      </c>
      <c r="K964" t="s">
        <v>39</v>
      </c>
      <c r="L964" t="s">
        <v>45</v>
      </c>
      <c r="M964">
        <v>0</v>
      </c>
      <c r="N964" t="s">
        <v>1008</v>
      </c>
      <c r="O964" t="s">
        <v>2455</v>
      </c>
      <c r="P964" s="7">
        <v>22.04</v>
      </c>
      <c r="Q964" s="1">
        <v>45121</v>
      </c>
      <c r="R964">
        <f>WEEKNUM(Table2[[#This Row],[OrderDate]])</f>
        <v>28</v>
      </c>
      <c r="S964" s="1">
        <v>45129</v>
      </c>
      <c r="T964" t="s">
        <v>2919</v>
      </c>
    </row>
    <row r="965" spans="1:20" x14ac:dyDescent="0.35">
      <c r="A965" s="1">
        <v>45243</v>
      </c>
      <c r="B965" t="s">
        <v>2933</v>
      </c>
      <c r="C965" t="s">
        <v>22</v>
      </c>
      <c r="D965" s="9">
        <v>11</v>
      </c>
      <c r="E965" s="7">
        <v>323.72000000000003</v>
      </c>
      <c r="F965" t="s">
        <v>27</v>
      </c>
      <c r="G965" t="s">
        <v>30</v>
      </c>
      <c r="H965" s="12">
        <v>0.1</v>
      </c>
      <c r="I965" t="s">
        <v>37</v>
      </c>
      <c r="J965" s="7">
        <f>Table2[[#This Row],[UnitPrice]]*Table2[[#This Row],[Quantity]]*(1-Table2[[#This Row],[Discount]])</f>
        <v>3204.828</v>
      </c>
      <c r="K965" t="s">
        <v>39</v>
      </c>
      <c r="L965" t="s">
        <v>45</v>
      </c>
      <c r="M965">
        <v>0</v>
      </c>
      <c r="N965" t="s">
        <v>1009</v>
      </c>
      <c r="O965" t="s">
        <v>2456</v>
      </c>
      <c r="P965" s="7">
        <v>7.52</v>
      </c>
      <c r="Q965" s="1">
        <v>45243</v>
      </c>
      <c r="R965">
        <f>WEEKNUM(Table2[[#This Row],[OrderDate]])</f>
        <v>46</v>
      </c>
      <c r="S965" s="1">
        <v>45245</v>
      </c>
      <c r="T965" t="s">
        <v>2921</v>
      </c>
    </row>
    <row r="966" spans="1:20" x14ac:dyDescent="0.35">
      <c r="A966" s="1">
        <v>45690</v>
      </c>
      <c r="B966" t="s">
        <v>2933</v>
      </c>
      <c r="C966" t="s">
        <v>24</v>
      </c>
      <c r="D966" s="9">
        <v>11</v>
      </c>
      <c r="E966" s="7">
        <v>155.49</v>
      </c>
      <c r="F966" t="s">
        <v>29</v>
      </c>
      <c r="G966" t="s">
        <v>31</v>
      </c>
      <c r="H966" s="12">
        <v>0.05</v>
      </c>
      <c r="I966" t="s">
        <v>34</v>
      </c>
      <c r="J966" s="7">
        <f>Table2[[#This Row],[UnitPrice]]*Table2[[#This Row],[Quantity]]*(1-Table2[[#This Row],[Discount]])</f>
        <v>1624.8705</v>
      </c>
      <c r="K966" t="s">
        <v>42</v>
      </c>
      <c r="L966" t="s">
        <v>2937</v>
      </c>
      <c r="M966">
        <v>0</v>
      </c>
      <c r="N966" t="s">
        <v>1010</v>
      </c>
      <c r="O966" t="s">
        <v>2457</v>
      </c>
      <c r="P966" s="7">
        <v>47.01</v>
      </c>
      <c r="Q966" s="1">
        <v>45690</v>
      </c>
      <c r="R966">
        <f>WEEKNUM(Table2[[#This Row],[OrderDate]])</f>
        <v>6</v>
      </c>
      <c r="S966" s="1">
        <v>45700</v>
      </c>
      <c r="T966" t="s">
        <v>2921</v>
      </c>
    </row>
    <row r="967" spans="1:20" x14ac:dyDescent="0.35">
      <c r="A967" s="1">
        <v>45418</v>
      </c>
      <c r="B967" t="s">
        <v>2932</v>
      </c>
      <c r="C967" t="s">
        <v>25</v>
      </c>
      <c r="D967" s="9">
        <v>20</v>
      </c>
      <c r="E967" s="7">
        <v>270.2</v>
      </c>
      <c r="F967" t="s">
        <v>27</v>
      </c>
      <c r="G967" t="s">
        <v>30</v>
      </c>
      <c r="H967" s="12">
        <v>0</v>
      </c>
      <c r="I967" t="s">
        <v>36</v>
      </c>
      <c r="J967" s="7">
        <f>Table2[[#This Row],[UnitPrice]]*Table2[[#This Row],[Quantity]]*(1-Table2[[#This Row],[Discount]])</f>
        <v>5404</v>
      </c>
      <c r="K967" t="s">
        <v>40</v>
      </c>
      <c r="L967" t="s">
        <v>45</v>
      </c>
      <c r="M967">
        <v>0</v>
      </c>
      <c r="N967" t="s">
        <v>1011</v>
      </c>
      <c r="O967" t="s">
        <v>2458</v>
      </c>
      <c r="P967" s="7">
        <v>6.8</v>
      </c>
      <c r="Q967" s="1">
        <v>45418</v>
      </c>
      <c r="R967">
        <f>WEEKNUM(Table2[[#This Row],[OrderDate]])</f>
        <v>19</v>
      </c>
      <c r="S967" s="1">
        <v>45427</v>
      </c>
      <c r="T967" t="s">
        <v>2918</v>
      </c>
    </row>
    <row r="968" spans="1:20" x14ac:dyDescent="0.35">
      <c r="A968" s="1">
        <v>45582</v>
      </c>
      <c r="B968" t="s">
        <v>2932</v>
      </c>
      <c r="C968" t="s">
        <v>25</v>
      </c>
      <c r="D968" s="9">
        <v>15</v>
      </c>
      <c r="E968" s="7">
        <v>482.08</v>
      </c>
      <c r="F968" t="s">
        <v>29</v>
      </c>
      <c r="G968" t="s">
        <v>31</v>
      </c>
      <c r="H968" s="12">
        <v>0.1</v>
      </c>
      <c r="I968" t="s">
        <v>32</v>
      </c>
      <c r="J968" s="7">
        <f>Table2[[#This Row],[UnitPrice]]*Table2[[#This Row],[Quantity]]*(1-Table2[[#This Row],[Discount]])</f>
        <v>6508.08</v>
      </c>
      <c r="K968" t="s">
        <v>41</v>
      </c>
      <c r="L968" t="s">
        <v>43</v>
      </c>
      <c r="M968">
        <v>1</v>
      </c>
      <c r="N968" t="s">
        <v>1012</v>
      </c>
      <c r="O968" t="s">
        <v>2134</v>
      </c>
      <c r="P968" s="7">
        <v>13.35</v>
      </c>
      <c r="Q968" s="1">
        <v>45582</v>
      </c>
      <c r="R968">
        <f>WEEKNUM(Table2[[#This Row],[OrderDate]])</f>
        <v>42</v>
      </c>
      <c r="S968" s="1">
        <v>45584</v>
      </c>
      <c r="T968" t="s">
        <v>2918</v>
      </c>
    </row>
    <row r="969" spans="1:20" x14ac:dyDescent="0.35">
      <c r="A969" s="1">
        <v>45686</v>
      </c>
      <c r="B969" t="s">
        <v>2931</v>
      </c>
      <c r="C969" t="s">
        <v>19</v>
      </c>
      <c r="D969" s="9">
        <v>11</v>
      </c>
      <c r="E969" s="7">
        <v>431.51</v>
      </c>
      <c r="F969" t="s">
        <v>28</v>
      </c>
      <c r="G969" t="s">
        <v>30</v>
      </c>
      <c r="H969" s="12">
        <v>0.1</v>
      </c>
      <c r="I969" t="s">
        <v>35</v>
      </c>
      <c r="J969" s="7">
        <f>Table2[[#This Row],[UnitPrice]]*Table2[[#This Row],[Quantity]]*(1-Table2[[#This Row],[Discount]])</f>
        <v>4271.9489999999996</v>
      </c>
      <c r="K969" t="s">
        <v>41</v>
      </c>
      <c r="L969" t="s">
        <v>44</v>
      </c>
      <c r="M969">
        <v>0</v>
      </c>
      <c r="N969" t="s">
        <v>1013</v>
      </c>
      <c r="O969" t="s">
        <v>2459</v>
      </c>
      <c r="P969" s="7">
        <v>22.83</v>
      </c>
      <c r="Q969" s="1">
        <v>45686</v>
      </c>
      <c r="R969">
        <f>WEEKNUM(Table2[[#This Row],[OrderDate]])</f>
        <v>5</v>
      </c>
      <c r="S969" s="1">
        <v>45693</v>
      </c>
      <c r="T969" t="s">
        <v>2919</v>
      </c>
    </row>
    <row r="970" spans="1:20" x14ac:dyDescent="0.35">
      <c r="A970" s="1">
        <v>45739</v>
      </c>
      <c r="B970" t="s">
        <v>2934</v>
      </c>
      <c r="C970" t="s">
        <v>22</v>
      </c>
      <c r="D970" s="9">
        <v>5</v>
      </c>
      <c r="E970" s="7">
        <v>302.76</v>
      </c>
      <c r="F970" t="s">
        <v>29</v>
      </c>
      <c r="G970" t="s">
        <v>30</v>
      </c>
      <c r="H970" s="12">
        <v>0</v>
      </c>
      <c r="I970" t="s">
        <v>35</v>
      </c>
      <c r="J970" s="7">
        <f>Table2[[#This Row],[UnitPrice]]*Table2[[#This Row],[Quantity]]*(1-Table2[[#This Row],[Discount]])</f>
        <v>1513.8</v>
      </c>
      <c r="K970" t="s">
        <v>39</v>
      </c>
      <c r="L970" t="s">
        <v>43</v>
      </c>
      <c r="M970">
        <v>1</v>
      </c>
      <c r="N970" t="s">
        <v>1014</v>
      </c>
      <c r="O970" t="s">
        <v>2460</v>
      </c>
      <c r="P970" s="7">
        <v>46.69</v>
      </c>
      <c r="Q970" s="1">
        <v>45739</v>
      </c>
      <c r="R970">
        <f>WEEKNUM(Table2[[#This Row],[OrderDate]])</f>
        <v>13</v>
      </c>
      <c r="S970" s="1">
        <v>45745</v>
      </c>
      <c r="T970" t="s">
        <v>2920</v>
      </c>
    </row>
    <row r="971" spans="1:20" x14ac:dyDescent="0.35">
      <c r="A971" s="1">
        <v>45393</v>
      </c>
      <c r="B971" t="s">
        <v>2933</v>
      </c>
      <c r="C971" t="s">
        <v>22</v>
      </c>
      <c r="D971" s="9">
        <v>19</v>
      </c>
      <c r="E971" s="7">
        <v>344.92</v>
      </c>
      <c r="F971" t="s">
        <v>28</v>
      </c>
      <c r="G971" t="s">
        <v>30</v>
      </c>
      <c r="H971" s="12">
        <v>0</v>
      </c>
      <c r="I971" t="s">
        <v>32</v>
      </c>
      <c r="J971" s="7">
        <f>Table2[[#This Row],[UnitPrice]]*Table2[[#This Row],[Quantity]]*(1-Table2[[#This Row],[Discount]])</f>
        <v>6553.4800000000005</v>
      </c>
      <c r="K971" t="s">
        <v>42</v>
      </c>
      <c r="L971" t="s">
        <v>45</v>
      </c>
      <c r="M971">
        <v>0</v>
      </c>
      <c r="N971" t="s">
        <v>1015</v>
      </c>
      <c r="O971" t="s">
        <v>2461</v>
      </c>
      <c r="P971" s="7">
        <v>6.91</v>
      </c>
      <c r="Q971" s="1">
        <v>45393</v>
      </c>
      <c r="R971">
        <f>WEEKNUM(Table2[[#This Row],[OrderDate]])</f>
        <v>15</v>
      </c>
      <c r="S971" s="1">
        <v>45402</v>
      </c>
      <c r="T971" t="s">
        <v>2921</v>
      </c>
    </row>
    <row r="972" spans="1:20" x14ac:dyDescent="0.35">
      <c r="A972" s="1">
        <v>45415</v>
      </c>
      <c r="B972" t="s">
        <v>2934</v>
      </c>
      <c r="C972" t="s">
        <v>22</v>
      </c>
      <c r="D972" s="9">
        <v>7</v>
      </c>
      <c r="E972" s="7">
        <v>511.46</v>
      </c>
      <c r="F972" t="s">
        <v>28</v>
      </c>
      <c r="G972" t="s">
        <v>31</v>
      </c>
      <c r="H972" s="12">
        <v>0.1</v>
      </c>
      <c r="I972" t="s">
        <v>32</v>
      </c>
      <c r="J972" s="7">
        <f>Table2[[#This Row],[UnitPrice]]*Table2[[#This Row],[Quantity]]*(1-Table2[[#This Row],[Discount]])</f>
        <v>3222.1979999999999</v>
      </c>
      <c r="K972" t="s">
        <v>42</v>
      </c>
      <c r="L972" t="s">
        <v>43</v>
      </c>
      <c r="M972">
        <v>0</v>
      </c>
      <c r="N972" t="s">
        <v>1016</v>
      </c>
      <c r="O972" t="s">
        <v>2462</v>
      </c>
      <c r="P972" s="7">
        <v>19.2</v>
      </c>
      <c r="Q972" s="1">
        <v>45415</v>
      </c>
      <c r="R972">
        <f>WEEKNUM(Table2[[#This Row],[OrderDate]])</f>
        <v>18</v>
      </c>
      <c r="S972" s="1">
        <v>45424</v>
      </c>
      <c r="T972" t="s">
        <v>2920</v>
      </c>
    </row>
    <row r="973" spans="1:20" x14ac:dyDescent="0.35">
      <c r="A973" s="1">
        <v>45579</v>
      </c>
      <c r="B973" t="s">
        <v>2930</v>
      </c>
      <c r="C973" t="s">
        <v>23</v>
      </c>
      <c r="D973" s="9">
        <v>7</v>
      </c>
      <c r="E973" s="7">
        <v>150.6</v>
      </c>
      <c r="F973" t="s">
        <v>27</v>
      </c>
      <c r="G973" t="s">
        <v>30</v>
      </c>
      <c r="H973" s="12">
        <v>0.15</v>
      </c>
      <c r="I973" t="s">
        <v>37</v>
      </c>
      <c r="J973" s="7">
        <f>Table2[[#This Row],[UnitPrice]]*Table2[[#This Row],[Quantity]]*(1-Table2[[#This Row],[Discount]])</f>
        <v>896.07</v>
      </c>
      <c r="K973" t="s">
        <v>42</v>
      </c>
      <c r="L973" t="s">
        <v>45</v>
      </c>
      <c r="M973">
        <v>1</v>
      </c>
      <c r="N973" t="s">
        <v>1017</v>
      </c>
      <c r="O973" t="s">
        <v>2463</v>
      </c>
      <c r="P973" s="7">
        <v>15.52</v>
      </c>
      <c r="Q973" s="1">
        <v>45579</v>
      </c>
      <c r="R973">
        <f>WEEKNUM(Table2[[#This Row],[OrderDate]])</f>
        <v>42</v>
      </c>
      <c r="S973" s="1">
        <v>45586</v>
      </c>
      <c r="T973" t="s">
        <v>2917</v>
      </c>
    </row>
    <row r="974" spans="1:20" x14ac:dyDescent="0.35">
      <c r="A974" s="1">
        <v>45330</v>
      </c>
      <c r="B974" t="s">
        <v>2933</v>
      </c>
      <c r="C974" t="s">
        <v>20</v>
      </c>
      <c r="D974" s="9">
        <v>8</v>
      </c>
      <c r="E974" s="7">
        <v>158.02000000000001</v>
      </c>
      <c r="F974" t="s">
        <v>28</v>
      </c>
      <c r="G974" t="s">
        <v>30</v>
      </c>
      <c r="H974" s="12">
        <v>0.15</v>
      </c>
      <c r="I974" t="s">
        <v>36</v>
      </c>
      <c r="J974" s="7">
        <f>Table2[[#This Row],[UnitPrice]]*Table2[[#This Row],[Quantity]]*(1-Table2[[#This Row],[Discount]])</f>
        <v>1074.5360000000001</v>
      </c>
      <c r="K974" t="s">
        <v>40</v>
      </c>
      <c r="L974" t="s">
        <v>43</v>
      </c>
      <c r="M974">
        <v>0</v>
      </c>
      <c r="N974" t="s">
        <v>1018</v>
      </c>
      <c r="O974" t="s">
        <v>2464</v>
      </c>
      <c r="P974" s="7">
        <v>47.43</v>
      </c>
      <c r="Q974" s="1">
        <v>45330</v>
      </c>
      <c r="R974">
        <f>WEEKNUM(Table2[[#This Row],[OrderDate]])</f>
        <v>6</v>
      </c>
      <c r="S974" s="1">
        <v>45335</v>
      </c>
      <c r="T974" t="s">
        <v>2921</v>
      </c>
    </row>
    <row r="975" spans="1:20" x14ac:dyDescent="0.35">
      <c r="A975" s="1">
        <v>45056</v>
      </c>
      <c r="B975" t="s">
        <v>2934</v>
      </c>
      <c r="C975" t="s">
        <v>24</v>
      </c>
      <c r="D975" s="9">
        <v>2</v>
      </c>
      <c r="E975" s="7">
        <v>536.17999999999995</v>
      </c>
      <c r="F975" t="s">
        <v>26</v>
      </c>
      <c r="G975" t="s">
        <v>31</v>
      </c>
      <c r="H975" s="12">
        <v>0.1</v>
      </c>
      <c r="I975" t="s">
        <v>34</v>
      </c>
      <c r="J975" s="7">
        <f>Table2[[#This Row],[UnitPrice]]*Table2[[#This Row],[Quantity]]*(1-Table2[[#This Row],[Discount]])</f>
        <v>965.12399999999991</v>
      </c>
      <c r="K975" t="s">
        <v>40</v>
      </c>
      <c r="L975" t="s">
        <v>43</v>
      </c>
      <c r="M975">
        <v>0</v>
      </c>
      <c r="N975" t="s">
        <v>1019</v>
      </c>
      <c r="O975" t="s">
        <v>2465</v>
      </c>
      <c r="P975" s="7">
        <v>34.75</v>
      </c>
      <c r="Q975" s="1">
        <v>45056</v>
      </c>
      <c r="R975">
        <f>WEEKNUM(Table2[[#This Row],[OrderDate]])</f>
        <v>19</v>
      </c>
      <c r="S975" s="1">
        <v>45059</v>
      </c>
      <c r="T975" t="s">
        <v>2920</v>
      </c>
    </row>
    <row r="976" spans="1:20" x14ac:dyDescent="0.35">
      <c r="A976" s="1">
        <v>44988</v>
      </c>
      <c r="B976" t="s">
        <v>2931</v>
      </c>
      <c r="C976" t="s">
        <v>22</v>
      </c>
      <c r="D976" s="9">
        <v>16</v>
      </c>
      <c r="E976" s="7">
        <v>571.26</v>
      </c>
      <c r="F976" t="s">
        <v>28</v>
      </c>
      <c r="G976" t="s">
        <v>30</v>
      </c>
      <c r="H976" s="12">
        <v>0.15</v>
      </c>
      <c r="I976" t="s">
        <v>37</v>
      </c>
      <c r="J976" s="7">
        <f>Table2[[#This Row],[UnitPrice]]*Table2[[#This Row],[Quantity]]*(1-Table2[[#This Row],[Discount]])</f>
        <v>7769.1359999999995</v>
      </c>
      <c r="K976" t="s">
        <v>39</v>
      </c>
      <c r="L976" t="s">
        <v>44</v>
      </c>
      <c r="M976">
        <v>0</v>
      </c>
      <c r="N976" t="s">
        <v>1020</v>
      </c>
      <c r="O976" t="s">
        <v>2466</v>
      </c>
      <c r="P976" s="7">
        <v>6.13</v>
      </c>
      <c r="Q976" s="1">
        <v>44988</v>
      </c>
      <c r="R976">
        <f>WEEKNUM(Table2[[#This Row],[OrderDate]])</f>
        <v>9</v>
      </c>
      <c r="S976" s="1">
        <v>44997</v>
      </c>
      <c r="T976" t="s">
        <v>2919</v>
      </c>
    </row>
    <row r="977" spans="1:20" x14ac:dyDescent="0.35">
      <c r="A977" s="1">
        <v>45798</v>
      </c>
      <c r="B977" t="s">
        <v>2934</v>
      </c>
      <c r="C977" t="s">
        <v>24</v>
      </c>
      <c r="D977" s="9">
        <v>12</v>
      </c>
      <c r="E977" s="7">
        <v>134.41999999999999</v>
      </c>
      <c r="F977" t="s">
        <v>29</v>
      </c>
      <c r="G977" t="s">
        <v>31</v>
      </c>
      <c r="H977" s="12">
        <v>0.1</v>
      </c>
      <c r="I977" t="s">
        <v>36</v>
      </c>
      <c r="J977" s="7">
        <f>Table2[[#This Row],[UnitPrice]]*Table2[[#This Row],[Quantity]]*(1-Table2[[#This Row],[Discount]])</f>
        <v>1451.7360000000001</v>
      </c>
      <c r="K977" t="s">
        <v>39</v>
      </c>
      <c r="L977" t="s">
        <v>43</v>
      </c>
      <c r="M977">
        <v>0</v>
      </c>
      <c r="N977" t="s">
        <v>1021</v>
      </c>
      <c r="O977" t="s">
        <v>2260</v>
      </c>
      <c r="P977" s="7">
        <v>33.979999999999997</v>
      </c>
      <c r="Q977" s="1">
        <v>45798</v>
      </c>
      <c r="R977">
        <f>WEEKNUM(Table2[[#This Row],[OrderDate]])</f>
        <v>21</v>
      </c>
      <c r="S977" s="1">
        <v>45804</v>
      </c>
      <c r="T977" t="s">
        <v>2920</v>
      </c>
    </row>
    <row r="978" spans="1:20" x14ac:dyDescent="0.35">
      <c r="A978" s="1">
        <v>45777</v>
      </c>
      <c r="B978" t="s">
        <v>2934</v>
      </c>
      <c r="C978" t="s">
        <v>19</v>
      </c>
      <c r="D978" s="9">
        <v>5</v>
      </c>
      <c r="E978" s="7">
        <v>563.70000000000005</v>
      </c>
      <c r="F978" t="s">
        <v>27</v>
      </c>
      <c r="G978" t="s">
        <v>31</v>
      </c>
      <c r="H978" s="12">
        <v>0</v>
      </c>
      <c r="I978" t="s">
        <v>37</v>
      </c>
      <c r="J978" s="7">
        <f>Table2[[#This Row],[UnitPrice]]*Table2[[#This Row],[Quantity]]*(1-Table2[[#This Row],[Discount]])</f>
        <v>2818.5</v>
      </c>
      <c r="K978" t="s">
        <v>38</v>
      </c>
      <c r="L978" t="s">
        <v>44</v>
      </c>
      <c r="M978">
        <v>0</v>
      </c>
      <c r="N978" t="s">
        <v>1022</v>
      </c>
      <c r="O978" t="s">
        <v>2467</v>
      </c>
      <c r="P978" s="7">
        <v>29.28</v>
      </c>
      <c r="Q978" s="1">
        <v>45777</v>
      </c>
      <c r="R978">
        <f>WEEKNUM(Table2[[#This Row],[OrderDate]])</f>
        <v>18</v>
      </c>
      <c r="S978" s="1">
        <v>45784</v>
      </c>
      <c r="T978" t="s">
        <v>2920</v>
      </c>
    </row>
    <row r="979" spans="1:20" x14ac:dyDescent="0.35">
      <c r="A979" s="1">
        <v>45018</v>
      </c>
      <c r="B979" t="s">
        <v>2931</v>
      </c>
      <c r="C979" t="s">
        <v>20</v>
      </c>
      <c r="D979" s="9">
        <v>11</v>
      </c>
      <c r="E979" s="7">
        <v>546.57000000000005</v>
      </c>
      <c r="F979" t="s">
        <v>29</v>
      </c>
      <c r="G979" t="s">
        <v>31</v>
      </c>
      <c r="H979" s="12">
        <v>0.15</v>
      </c>
      <c r="I979" t="s">
        <v>37</v>
      </c>
      <c r="J979" s="7">
        <f>Table2[[#This Row],[UnitPrice]]*Table2[[#This Row],[Quantity]]*(1-Table2[[#This Row],[Discount]])</f>
        <v>5110.4295000000002</v>
      </c>
      <c r="K979" t="s">
        <v>40</v>
      </c>
      <c r="L979" t="s">
        <v>44</v>
      </c>
      <c r="M979">
        <v>1</v>
      </c>
      <c r="N979" t="s">
        <v>1023</v>
      </c>
      <c r="O979" t="s">
        <v>2468</v>
      </c>
      <c r="P979" s="7">
        <v>24.77</v>
      </c>
      <c r="Q979" s="1">
        <v>45018</v>
      </c>
      <c r="R979">
        <f>WEEKNUM(Table2[[#This Row],[OrderDate]])</f>
        <v>14</v>
      </c>
      <c r="S979" s="1">
        <v>45020</v>
      </c>
      <c r="T979" t="s">
        <v>2919</v>
      </c>
    </row>
    <row r="980" spans="1:20" x14ac:dyDescent="0.35">
      <c r="A980" s="1">
        <v>45530</v>
      </c>
      <c r="B980" t="s">
        <v>2931</v>
      </c>
      <c r="C980" t="s">
        <v>23</v>
      </c>
      <c r="D980" s="9">
        <v>9</v>
      </c>
      <c r="E980" s="7">
        <v>364.88</v>
      </c>
      <c r="F980" t="s">
        <v>28</v>
      </c>
      <c r="G980" t="s">
        <v>30</v>
      </c>
      <c r="H980" s="12">
        <v>0.05</v>
      </c>
      <c r="I980" t="s">
        <v>37</v>
      </c>
      <c r="J980" s="7">
        <f>Table2[[#This Row],[UnitPrice]]*Table2[[#This Row],[Quantity]]*(1-Table2[[#This Row],[Discount]])</f>
        <v>3119.7239999999997</v>
      </c>
      <c r="K980" t="s">
        <v>42</v>
      </c>
      <c r="L980" t="s">
        <v>44</v>
      </c>
      <c r="M980">
        <v>0</v>
      </c>
      <c r="N980" t="s">
        <v>1024</v>
      </c>
      <c r="O980" t="s">
        <v>1825</v>
      </c>
      <c r="P980" s="7">
        <v>40.26</v>
      </c>
      <c r="Q980" s="1">
        <v>45530</v>
      </c>
      <c r="R980">
        <f>WEEKNUM(Table2[[#This Row],[OrderDate]])</f>
        <v>35</v>
      </c>
      <c r="S980" s="1">
        <v>45540</v>
      </c>
      <c r="T980" t="s">
        <v>2919</v>
      </c>
    </row>
    <row r="981" spans="1:20" x14ac:dyDescent="0.35">
      <c r="A981" s="1">
        <v>45240</v>
      </c>
      <c r="B981" t="s">
        <v>2932</v>
      </c>
      <c r="C981" t="s">
        <v>23</v>
      </c>
      <c r="D981" s="9">
        <v>7</v>
      </c>
      <c r="E981" s="7">
        <v>368.27</v>
      </c>
      <c r="F981" t="s">
        <v>28</v>
      </c>
      <c r="G981" t="s">
        <v>30</v>
      </c>
      <c r="H981" s="12">
        <v>0.15</v>
      </c>
      <c r="I981" t="s">
        <v>35</v>
      </c>
      <c r="J981" s="7">
        <f>Table2[[#This Row],[UnitPrice]]*Table2[[#This Row],[Quantity]]*(1-Table2[[#This Row],[Discount]])</f>
        <v>2191.2064999999998</v>
      </c>
      <c r="K981" t="s">
        <v>38</v>
      </c>
      <c r="L981" t="s">
        <v>45</v>
      </c>
      <c r="M981">
        <v>0</v>
      </c>
      <c r="N981" t="s">
        <v>1025</v>
      </c>
      <c r="O981" t="s">
        <v>2469</v>
      </c>
      <c r="P981" s="7">
        <v>28.98</v>
      </c>
      <c r="Q981" s="1">
        <v>45240</v>
      </c>
      <c r="R981">
        <f>WEEKNUM(Table2[[#This Row],[OrderDate]])</f>
        <v>45</v>
      </c>
      <c r="S981" s="1">
        <v>45250</v>
      </c>
      <c r="T981" t="s">
        <v>2918</v>
      </c>
    </row>
    <row r="982" spans="1:20" x14ac:dyDescent="0.35">
      <c r="A982" s="1">
        <v>45684</v>
      </c>
      <c r="B982" t="s">
        <v>2934</v>
      </c>
      <c r="C982" t="s">
        <v>25</v>
      </c>
      <c r="D982" s="9">
        <v>20</v>
      </c>
      <c r="E982" s="7">
        <v>537.28</v>
      </c>
      <c r="F982" t="s">
        <v>28</v>
      </c>
      <c r="G982" t="s">
        <v>30</v>
      </c>
      <c r="H982" s="12">
        <v>0</v>
      </c>
      <c r="I982" t="s">
        <v>34</v>
      </c>
      <c r="J982" s="7">
        <f>Table2[[#This Row],[UnitPrice]]*Table2[[#This Row],[Quantity]]*(1-Table2[[#This Row],[Discount]])</f>
        <v>10745.599999999999</v>
      </c>
      <c r="K982" t="s">
        <v>38</v>
      </c>
      <c r="L982" t="s">
        <v>2937</v>
      </c>
      <c r="M982">
        <v>1</v>
      </c>
      <c r="N982" t="s">
        <v>1026</v>
      </c>
      <c r="O982" t="s">
        <v>2470</v>
      </c>
      <c r="P982" s="7">
        <v>15.6</v>
      </c>
      <c r="Q982" s="1">
        <v>45684</v>
      </c>
      <c r="R982">
        <f>WEEKNUM(Table2[[#This Row],[OrderDate]])</f>
        <v>5</v>
      </c>
      <c r="S982" s="1">
        <v>45690</v>
      </c>
      <c r="T982" t="s">
        <v>2920</v>
      </c>
    </row>
    <row r="983" spans="1:20" x14ac:dyDescent="0.35">
      <c r="A983" s="1">
        <v>45408</v>
      </c>
      <c r="B983" t="s">
        <v>2932</v>
      </c>
      <c r="C983" t="s">
        <v>20</v>
      </c>
      <c r="D983" s="9">
        <v>3</v>
      </c>
      <c r="E983" s="7">
        <v>103.09</v>
      </c>
      <c r="F983" t="s">
        <v>29</v>
      </c>
      <c r="G983" t="s">
        <v>30</v>
      </c>
      <c r="H983" s="12">
        <v>0</v>
      </c>
      <c r="I983" t="s">
        <v>35</v>
      </c>
      <c r="J983" s="7">
        <f>Table2[[#This Row],[UnitPrice]]*Table2[[#This Row],[Quantity]]*(1-Table2[[#This Row],[Discount]])</f>
        <v>309.27</v>
      </c>
      <c r="K983" t="s">
        <v>39</v>
      </c>
      <c r="L983" t="s">
        <v>44</v>
      </c>
      <c r="M983">
        <v>1</v>
      </c>
      <c r="N983" t="s">
        <v>1027</v>
      </c>
      <c r="O983" t="s">
        <v>2471</v>
      </c>
      <c r="P983" s="7">
        <v>46.47</v>
      </c>
      <c r="Q983" s="1">
        <v>45408</v>
      </c>
      <c r="R983">
        <f>WEEKNUM(Table2[[#This Row],[OrderDate]])</f>
        <v>17</v>
      </c>
      <c r="S983" s="1">
        <v>45412</v>
      </c>
      <c r="T983" t="s">
        <v>2918</v>
      </c>
    </row>
    <row r="984" spans="1:20" x14ac:dyDescent="0.35">
      <c r="A984" s="1">
        <v>45257</v>
      </c>
      <c r="B984" t="s">
        <v>2930</v>
      </c>
      <c r="C984" t="s">
        <v>24</v>
      </c>
      <c r="D984" s="9">
        <v>9</v>
      </c>
      <c r="E984" s="7">
        <v>97.56</v>
      </c>
      <c r="F984" t="s">
        <v>27</v>
      </c>
      <c r="G984" t="s">
        <v>30</v>
      </c>
      <c r="H984" s="12">
        <v>0</v>
      </c>
      <c r="I984" t="s">
        <v>33</v>
      </c>
      <c r="J984" s="7">
        <f>Table2[[#This Row],[UnitPrice]]*Table2[[#This Row],[Quantity]]*(1-Table2[[#This Row],[Discount]])</f>
        <v>878.04</v>
      </c>
      <c r="K984" t="s">
        <v>38</v>
      </c>
      <c r="L984" t="s">
        <v>2937</v>
      </c>
      <c r="M984">
        <v>0</v>
      </c>
      <c r="N984" t="s">
        <v>1028</v>
      </c>
      <c r="O984" t="s">
        <v>2472</v>
      </c>
      <c r="P984" s="7">
        <v>48.84</v>
      </c>
      <c r="Q984" s="1">
        <v>45257</v>
      </c>
      <c r="R984">
        <f>WEEKNUM(Table2[[#This Row],[OrderDate]])</f>
        <v>48</v>
      </c>
      <c r="S984" s="1">
        <v>45261</v>
      </c>
      <c r="T984" t="s">
        <v>2917</v>
      </c>
    </row>
    <row r="985" spans="1:20" x14ac:dyDescent="0.35">
      <c r="A985" s="1">
        <v>45015</v>
      </c>
      <c r="B985" t="s">
        <v>2934</v>
      </c>
      <c r="C985" t="s">
        <v>24</v>
      </c>
      <c r="D985" s="9">
        <v>10</v>
      </c>
      <c r="E985" s="7">
        <v>338.75</v>
      </c>
      <c r="F985" t="s">
        <v>27</v>
      </c>
      <c r="G985" t="s">
        <v>30</v>
      </c>
      <c r="H985" s="12">
        <v>0.15</v>
      </c>
      <c r="I985" t="s">
        <v>35</v>
      </c>
      <c r="J985" s="7">
        <f>Table2[[#This Row],[UnitPrice]]*Table2[[#This Row],[Quantity]]*(1-Table2[[#This Row],[Discount]])</f>
        <v>2879.375</v>
      </c>
      <c r="K985" t="s">
        <v>42</v>
      </c>
      <c r="L985" t="s">
        <v>45</v>
      </c>
      <c r="M985">
        <v>1</v>
      </c>
      <c r="N985" t="s">
        <v>1029</v>
      </c>
      <c r="O985" t="s">
        <v>2473</v>
      </c>
      <c r="P985" s="7">
        <v>36.56</v>
      </c>
      <c r="Q985" s="1">
        <v>45015</v>
      </c>
      <c r="R985">
        <f>WEEKNUM(Table2[[#This Row],[OrderDate]])</f>
        <v>13</v>
      </c>
      <c r="S985" s="1">
        <v>45022</v>
      </c>
      <c r="T985" t="s">
        <v>2920</v>
      </c>
    </row>
    <row r="986" spans="1:20" x14ac:dyDescent="0.35">
      <c r="A986" s="1">
        <v>45355</v>
      </c>
      <c r="B986" t="s">
        <v>2931</v>
      </c>
      <c r="C986" t="s">
        <v>21</v>
      </c>
      <c r="D986" s="9">
        <v>2</v>
      </c>
      <c r="E986" s="7">
        <v>239.04</v>
      </c>
      <c r="F986" t="s">
        <v>27</v>
      </c>
      <c r="G986" t="s">
        <v>30</v>
      </c>
      <c r="H986" s="12">
        <v>0</v>
      </c>
      <c r="I986" t="s">
        <v>37</v>
      </c>
      <c r="J986" s="7">
        <f>Table2[[#This Row],[UnitPrice]]*Table2[[#This Row],[Quantity]]*(1-Table2[[#This Row],[Discount]])</f>
        <v>478.08</v>
      </c>
      <c r="K986" t="s">
        <v>41</v>
      </c>
      <c r="L986" t="s">
        <v>44</v>
      </c>
      <c r="M986">
        <v>1</v>
      </c>
      <c r="N986" t="s">
        <v>1030</v>
      </c>
      <c r="O986" t="s">
        <v>2474</v>
      </c>
      <c r="P986" s="7">
        <v>43.84</v>
      </c>
      <c r="Q986" s="1">
        <v>45355</v>
      </c>
      <c r="R986">
        <f>WEEKNUM(Table2[[#This Row],[OrderDate]])</f>
        <v>10</v>
      </c>
      <c r="S986" s="1">
        <v>45362</v>
      </c>
      <c r="T986" t="s">
        <v>2919</v>
      </c>
    </row>
    <row r="987" spans="1:20" x14ac:dyDescent="0.35">
      <c r="A987" s="1">
        <v>45118</v>
      </c>
      <c r="B987" t="s">
        <v>2932</v>
      </c>
      <c r="C987" t="s">
        <v>19</v>
      </c>
      <c r="D987" s="9">
        <v>14</v>
      </c>
      <c r="E987" s="7">
        <v>362.44</v>
      </c>
      <c r="F987" t="s">
        <v>28</v>
      </c>
      <c r="G987" t="s">
        <v>30</v>
      </c>
      <c r="H987" s="12">
        <v>0.1</v>
      </c>
      <c r="I987" t="s">
        <v>37</v>
      </c>
      <c r="J987" s="7">
        <f>Table2[[#This Row],[UnitPrice]]*Table2[[#This Row],[Quantity]]*(1-Table2[[#This Row],[Discount]])</f>
        <v>4566.7439999999997</v>
      </c>
      <c r="K987" t="s">
        <v>42</v>
      </c>
      <c r="L987" t="s">
        <v>45</v>
      </c>
      <c r="M987">
        <v>0</v>
      </c>
      <c r="N987" t="s">
        <v>1031</v>
      </c>
      <c r="O987" t="s">
        <v>2475</v>
      </c>
      <c r="P987" s="7">
        <v>36.729999999999997</v>
      </c>
      <c r="Q987" s="1">
        <v>45118</v>
      </c>
      <c r="R987">
        <f>WEEKNUM(Table2[[#This Row],[OrderDate]])</f>
        <v>28</v>
      </c>
      <c r="S987" s="1">
        <v>45122</v>
      </c>
      <c r="T987" t="s">
        <v>2918</v>
      </c>
    </row>
    <row r="988" spans="1:20" x14ac:dyDescent="0.35">
      <c r="A988" s="1">
        <v>45555</v>
      </c>
      <c r="B988" t="s">
        <v>2933</v>
      </c>
      <c r="C988" t="s">
        <v>23</v>
      </c>
      <c r="D988" s="9">
        <v>6</v>
      </c>
      <c r="E988" s="7">
        <v>551.13</v>
      </c>
      <c r="F988" t="s">
        <v>29</v>
      </c>
      <c r="G988" t="s">
        <v>31</v>
      </c>
      <c r="H988" s="12">
        <v>0</v>
      </c>
      <c r="I988" t="s">
        <v>35</v>
      </c>
      <c r="J988" s="7">
        <f>Table2[[#This Row],[UnitPrice]]*Table2[[#This Row],[Quantity]]*(1-Table2[[#This Row],[Discount]])</f>
        <v>3306.7799999999997</v>
      </c>
      <c r="K988" t="s">
        <v>39</v>
      </c>
      <c r="L988" t="s">
        <v>43</v>
      </c>
      <c r="M988">
        <v>0</v>
      </c>
      <c r="N988" t="s">
        <v>1032</v>
      </c>
      <c r="O988" t="s">
        <v>2476</v>
      </c>
      <c r="P988" s="7">
        <v>14.67</v>
      </c>
      <c r="Q988" s="1">
        <v>45555</v>
      </c>
      <c r="R988">
        <f>WEEKNUM(Table2[[#This Row],[OrderDate]])</f>
        <v>38</v>
      </c>
      <c r="S988" s="1">
        <v>45564</v>
      </c>
      <c r="T988" t="s">
        <v>2921</v>
      </c>
    </row>
    <row r="989" spans="1:20" x14ac:dyDescent="0.35">
      <c r="A989" s="1">
        <v>45706</v>
      </c>
      <c r="B989" t="s">
        <v>2933</v>
      </c>
      <c r="C989" t="s">
        <v>19</v>
      </c>
      <c r="D989" s="9">
        <v>1</v>
      </c>
      <c r="E989" s="7">
        <v>82.06</v>
      </c>
      <c r="F989" t="s">
        <v>29</v>
      </c>
      <c r="G989" t="s">
        <v>31</v>
      </c>
      <c r="H989" s="12">
        <v>0.1</v>
      </c>
      <c r="I989" t="s">
        <v>32</v>
      </c>
      <c r="J989" s="7">
        <f>Table2[[#This Row],[UnitPrice]]*Table2[[#This Row],[Quantity]]*(1-Table2[[#This Row],[Discount]])</f>
        <v>73.853999999999999</v>
      </c>
      <c r="K989" t="s">
        <v>40</v>
      </c>
      <c r="L989" t="s">
        <v>43</v>
      </c>
      <c r="M989">
        <v>0</v>
      </c>
      <c r="N989" t="s">
        <v>1033</v>
      </c>
      <c r="O989" t="s">
        <v>2477</v>
      </c>
      <c r="P989" s="7">
        <v>11.11</v>
      </c>
      <c r="Q989" s="1">
        <v>45706</v>
      </c>
      <c r="R989">
        <f>WEEKNUM(Table2[[#This Row],[OrderDate]])</f>
        <v>8</v>
      </c>
      <c r="S989" s="1">
        <v>45712</v>
      </c>
      <c r="T989" t="s">
        <v>2921</v>
      </c>
    </row>
    <row r="990" spans="1:20" x14ac:dyDescent="0.35">
      <c r="A990" s="1">
        <v>45489</v>
      </c>
      <c r="B990" t="s">
        <v>2930</v>
      </c>
      <c r="C990" t="s">
        <v>24</v>
      </c>
      <c r="D990" s="9">
        <v>7</v>
      </c>
      <c r="E990" s="7">
        <v>498.46</v>
      </c>
      <c r="F990" t="s">
        <v>28</v>
      </c>
      <c r="G990" t="s">
        <v>30</v>
      </c>
      <c r="H990" s="12">
        <v>0.15</v>
      </c>
      <c r="I990" t="s">
        <v>35</v>
      </c>
      <c r="J990" s="7">
        <f>Table2[[#This Row],[UnitPrice]]*Table2[[#This Row],[Quantity]]*(1-Table2[[#This Row],[Discount]])</f>
        <v>2965.8369999999995</v>
      </c>
      <c r="K990" t="s">
        <v>39</v>
      </c>
      <c r="L990" t="s">
        <v>2937</v>
      </c>
      <c r="M990">
        <v>0</v>
      </c>
      <c r="N990" t="s">
        <v>1034</v>
      </c>
      <c r="O990" t="s">
        <v>2478</v>
      </c>
      <c r="P990" s="7">
        <v>42.72</v>
      </c>
      <c r="Q990" s="1">
        <v>45489</v>
      </c>
      <c r="R990">
        <f>WEEKNUM(Table2[[#This Row],[OrderDate]])</f>
        <v>29</v>
      </c>
      <c r="S990" s="1">
        <v>45493</v>
      </c>
      <c r="T990" t="s">
        <v>2917</v>
      </c>
    </row>
    <row r="991" spans="1:20" x14ac:dyDescent="0.35">
      <c r="A991" s="1">
        <v>45253</v>
      </c>
      <c r="B991" t="s">
        <v>2930</v>
      </c>
      <c r="C991" t="s">
        <v>22</v>
      </c>
      <c r="D991" s="9">
        <v>2</v>
      </c>
      <c r="E991" s="7">
        <v>253.41</v>
      </c>
      <c r="F991" t="s">
        <v>29</v>
      </c>
      <c r="G991" t="s">
        <v>31</v>
      </c>
      <c r="H991" s="12">
        <v>0.1</v>
      </c>
      <c r="I991" t="s">
        <v>34</v>
      </c>
      <c r="J991" s="7">
        <f>Table2[[#This Row],[UnitPrice]]*Table2[[#This Row],[Quantity]]*(1-Table2[[#This Row],[Discount]])</f>
        <v>456.13799999999998</v>
      </c>
      <c r="K991" t="s">
        <v>42</v>
      </c>
      <c r="L991" t="s">
        <v>43</v>
      </c>
      <c r="M991">
        <v>0</v>
      </c>
      <c r="N991" t="s">
        <v>1035</v>
      </c>
      <c r="O991" t="s">
        <v>2479</v>
      </c>
      <c r="P991" s="7">
        <v>49.64</v>
      </c>
      <c r="Q991" s="1">
        <v>45253</v>
      </c>
      <c r="R991">
        <f>WEEKNUM(Table2[[#This Row],[OrderDate]])</f>
        <v>47</v>
      </c>
      <c r="S991" s="1">
        <v>45255</v>
      </c>
      <c r="T991" t="s">
        <v>2917</v>
      </c>
    </row>
    <row r="992" spans="1:20" x14ac:dyDescent="0.35">
      <c r="A992" s="1">
        <v>45176</v>
      </c>
      <c r="B992" t="s">
        <v>2932</v>
      </c>
      <c r="C992" t="s">
        <v>20</v>
      </c>
      <c r="D992" s="9">
        <v>16</v>
      </c>
      <c r="E992" s="7">
        <v>144.07</v>
      </c>
      <c r="F992" t="s">
        <v>29</v>
      </c>
      <c r="G992" t="s">
        <v>30</v>
      </c>
      <c r="H992" s="12">
        <v>0.1</v>
      </c>
      <c r="I992" t="s">
        <v>32</v>
      </c>
      <c r="J992" s="7">
        <f>Table2[[#This Row],[UnitPrice]]*Table2[[#This Row],[Quantity]]*(1-Table2[[#This Row],[Discount]])</f>
        <v>2074.6080000000002</v>
      </c>
      <c r="K992" t="s">
        <v>41</v>
      </c>
      <c r="L992" t="s">
        <v>43</v>
      </c>
      <c r="M992">
        <v>0</v>
      </c>
      <c r="N992" t="s">
        <v>1036</v>
      </c>
      <c r="O992" t="s">
        <v>2480</v>
      </c>
      <c r="P992" s="7">
        <v>7.33</v>
      </c>
      <c r="Q992" s="1">
        <v>45176</v>
      </c>
      <c r="R992">
        <f>WEEKNUM(Table2[[#This Row],[OrderDate]])</f>
        <v>36</v>
      </c>
      <c r="S992" s="1">
        <v>45178</v>
      </c>
      <c r="T992" t="s">
        <v>2918</v>
      </c>
    </row>
    <row r="993" spans="1:20" x14ac:dyDescent="0.35">
      <c r="A993" s="1">
        <v>45323</v>
      </c>
      <c r="B993" t="s">
        <v>2933</v>
      </c>
      <c r="C993" t="s">
        <v>23</v>
      </c>
      <c r="D993" s="9">
        <v>11</v>
      </c>
      <c r="E993" s="7">
        <v>201.09</v>
      </c>
      <c r="F993" t="s">
        <v>28</v>
      </c>
      <c r="G993" t="s">
        <v>31</v>
      </c>
      <c r="H993" s="12">
        <v>0.15</v>
      </c>
      <c r="I993" t="s">
        <v>35</v>
      </c>
      <c r="J993" s="7">
        <f>Table2[[#This Row],[UnitPrice]]*Table2[[#This Row],[Quantity]]*(1-Table2[[#This Row],[Discount]])</f>
        <v>1880.1915000000001</v>
      </c>
      <c r="K993" t="s">
        <v>42</v>
      </c>
      <c r="L993" t="s">
        <v>2937</v>
      </c>
      <c r="M993">
        <v>1</v>
      </c>
      <c r="N993" t="s">
        <v>1037</v>
      </c>
      <c r="O993" t="s">
        <v>2481</v>
      </c>
      <c r="P993" s="7">
        <v>48.42</v>
      </c>
      <c r="Q993" s="1">
        <v>45323</v>
      </c>
      <c r="R993">
        <f>WEEKNUM(Table2[[#This Row],[OrderDate]])</f>
        <v>5</v>
      </c>
      <c r="S993" s="1">
        <v>45326</v>
      </c>
      <c r="T993" t="s">
        <v>2921</v>
      </c>
    </row>
    <row r="994" spans="1:20" x14ac:dyDescent="0.35">
      <c r="A994" s="1">
        <v>45785</v>
      </c>
      <c r="B994" t="s">
        <v>2932</v>
      </c>
      <c r="C994" t="s">
        <v>22</v>
      </c>
      <c r="D994" s="9">
        <v>11</v>
      </c>
      <c r="E994" s="7">
        <v>585.45000000000005</v>
      </c>
      <c r="F994" t="s">
        <v>29</v>
      </c>
      <c r="G994" t="s">
        <v>30</v>
      </c>
      <c r="H994" s="12">
        <v>0.1</v>
      </c>
      <c r="I994" t="s">
        <v>33</v>
      </c>
      <c r="J994" s="7">
        <f>Table2[[#This Row],[UnitPrice]]*Table2[[#This Row],[Quantity]]*(1-Table2[[#This Row],[Discount]])</f>
        <v>5795.9550000000008</v>
      </c>
      <c r="K994" t="s">
        <v>40</v>
      </c>
      <c r="L994" t="s">
        <v>45</v>
      </c>
      <c r="M994">
        <v>0</v>
      </c>
      <c r="N994" t="s">
        <v>1038</v>
      </c>
      <c r="O994" t="s">
        <v>2482</v>
      </c>
      <c r="P994" s="7">
        <v>36.590000000000003</v>
      </c>
      <c r="Q994" s="1">
        <v>45785</v>
      </c>
      <c r="R994">
        <f>WEEKNUM(Table2[[#This Row],[OrderDate]])</f>
        <v>19</v>
      </c>
      <c r="S994" s="1">
        <v>45789</v>
      </c>
      <c r="T994" t="s">
        <v>2918</v>
      </c>
    </row>
    <row r="995" spans="1:20" x14ac:dyDescent="0.35">
      <c r="A995" s="1">
        <v>45674</v>
      </c>
      <c r="B995" t="s">
        <v>2931</v>
      </c>
      <c r="C995" t="s">
        <v>19</v>
      </c>
      <c r="D995" s="9">
        <v>3</v>
      </c>
      <c r="E995" s="7">
        <v>448.77</v>
      </c>
      <c r="F995" t="s">
        <v>27</v>
      </c>
      <c r="G995" t="s">
        <v>31</v>
      </c>
      <c r="H995" s="12">
        <v>0</v>
      </c>
      <c r="I995" t="s">
        <v>33</v>
      </c>
      <c r="J995" s="7">
        <f>Table2[[#This Row],[UnitPrice]]*Table2[[#This Row],[Quantity]]*(1-Table2[[#This Row],[Discount]])</f>
        <v>1346.31</v>
      </c>
      <c r="K995" t="s">
        <v>38</v>
      </c>
      <c r="L995" t="s">
        <v>43</v>
      </c>
      <c r="M995">
        <v>0</v>
      </c>
      <c r="N995" t="s">
        <v>1039</v>
      </c>
      <c r="O995" t="s">
        <v>2128</v>
      </c>
      <c r="P995" s="7">
        <v>28.5</v>
      </c>
      <c r="Q995" s="1">
        <v>45674</v>
      </c>
      <c r="R995">
        <f>WEEKNUM(Table2[[#This Row],[OrderDate]])</f>
        <v>3</v>
      </c>
      <c r="S995" s="1">
        <v>45681</v>
      </c>
      <c r="T995" t="s">
        <v>2919</v>
      </c>
    </row>
    <row r="996" spans="1:20" x14ac:dyDescent="0.35">
      <c r="A996" s="1">
        <v>45171</v>
      </c>
      <c r="B996" t="s">
        <v>2930</v>
      </c>
      <c r="C996" t="s">
        <v>23</v>
      </c>
      <c r="D996" s="9">
        <v>9</v>
      </c>
      <c r="E996" s="7">
        <v>184.43</v>
      </c>
      <c r="F996" t="s">
        <v>29</v>
      </c>
      <c r="G996" t="s">
        <v>30</v>
      </c>
      <c r="H996" s="12">
        <v>0</v>
      </c>
      <c r="I996" t="s">
        <v>35</v>
      </c>
      <c r="J996" s="7">
        <f>Table2[[#This Row],[UnitPrice]]*Table2[[#This Row],[Quantity]]*(1-Table2[[#This Row],[Discount]])</f>
        <v>1659.8700000000001</v>
      </c>
      <c r="K996" t="s">
        <v>38</v>
      </c>
      <c r="L996" t="s">
        <v>45</v>
      </c>
      <c r="M996">
        <v>0</v>
      </c>
      <c r="N996" t="s">
        <v>1040</v>
      </c>
      <c r="O996" t="s">
        <v>2483</v>
      </c>
      <c r="P996" s="7">
        <v>30.78</v>
      </c>
      <c r="Q996" s="1">
        <v>45171</v>
      </c>
      <c r="R996">
        <f>WEEKNUM(Table2[[#This Row],[OrderDate]])</f>
        <v>35</v>
      </c>
      <c r="S996" s="1">
        <v>45177</v>
      </c>
      <c r="T996" t="s">
        <v>2917</v>
      </c>
    </row>
    <row r="997" spans="1:20" x14ac:dyDescent="0.35">
      <c r="A997" s="1">
        <v>45100</v>
      </c>
      <c r="B997" t="s">
        <v>2934</v>
      </c>
      <c r="C997" t="s">
        <v>19</v>
      </c>
      <c r="D997" s="9">
        <v>16</v>
      </c>
      <c r="E997" s="7">
        <v>594.1</v>
      </c>
      <c r="F997" t="s">
        <v>29</v>
      </c>
      <c r="G997" t="s">
        <v>31</v>
      </c>
      <c r="H997" s="12">
        <v>0</v>
      </c>
      <c r="I997" t="s">
        <v>37</v>
      </c>
      <c r="J997" s="7">
        <f>Table2[[#This Row],[UnitPrice]]*Table2[[#This Row],[Quantity]]*(1-Table2[[#This Row],[Discount]])</f>
        <v>9505.6</v>
      </c>
      <c r="K997" t="s">
        <v>39</v>
      </c>
      <c r="L997" t="s">
        <v>43</v>
      </c>
      <c r="M997">
        <v>0</v>
      </c>
      <c r="N997" t="s">
        <v>1041</v>
      </c>
      <c r="O997" t="s">
        <v>2484</v>
      </c>
      <c r="P997" s="7">
        <v>18.2</v>
      </c>
      <c r="Q997" s="1">
        <v>45100</v>
      </c>
      <c r="R997">
        <f>WEEKNUM(Table2[[#This Row],[OrderDate]])</f>
        <v>25</v>
      </c>
      <c r="S997" s="1">
        <v>45108</v>
      </c>
      <c r="T997" t="s">
        <v>2920</v>
      </c>
    </row>
    <row r="998" spans="1:20" x14ac:dyDescent="0.35">
      <c r="A998" s="1">
        <v>45311</v>
      </c>
      <c r="B998" t="s">
        <v>2930</v>
      </c>
      <c r="C998" t="s">
        <v>19</v>
      </c>
      <c r="D998" s="9">
        <v>19</v>
      </c>
      <c r="E998" s="7">
        <v>482.07</v>
      </c>
      <c r="F998" t="s">
        <v>26</v>
      </c>
      <c r="G998" t="s">
        <v>30</v>
      </c>
      <c r="H998" s="12">
        <v>0.1</v>
      </c>
      <c r="I998" t="s">
        <v>37</v>
      </c>
      <c r="J998" s="7">
        <f>Table2[[#This Row],[UnitPrice]]*Table2[[#This Row],[Quantity]]*(1-Table2[[#This Row],[Discount]])</f>
        <v>8243.3970000000008</v>
      </c>
      <c r="K998" t="s">
        <v>40</v>
      </c>
      <c r="L998" t="s">
        <v>2937</v>
      </c>
      <c r="M998">
        <v>0</v>
      </c>
      <c r="N998" t="s">
        <v>1042</v>
      </c>
      <c r="O998" t="s">
        <v>2485</v>
      </c>
      <c r="P998" s="7">
        <v>25.96</v>
      </c>
      <c r="Q998" s="1">
        <v>45311</v>
      </c>
      <c r="R998">
        <f>WEEKNUM(Table2[[#This Row],[OrderDate]])</f>
        <v>3</v>
      </c>
      <c r="S998" s="1">
        <v>45317</v>
      </c>
      <c r="T998" t="s">
        <v>2917</v>
      </c>
    </row>
    <row r="999" spans="1:20" x14ac:dyDescent="0.35">
      <c r="A999" s="1">
        <v>45469</v>
      </c>
      <c r="B999" t="s">
        <v>2930</v>
      </c>
      <c r="C999" t="s">
        <v>22</v>
      </c>
      <c r="D999" s="9">
        <v>20</v>
      </c>
      <c r="E999" s="7">
        <v>75.45</v>
      </c>
      <c r="F999" t="s">
        <v>26</v>
      </c>
      <c r="G999" t="s">
        <v>30</v>
      </c>
      <c r="H999" s="12">
        <v>0.05</v>
      </c>
      <c r="I999" t="s">
        <v>32</v>
      </c>
      <c r="J999" s="7">
        <f>Table2[[#This Row],[UnitPrice]]*Table2[[#This Row],[Quantity]]*(1-Table2[[#This Row],[Discount]])</f>
        <v>1433.55</v>
      </c>
      <c r="K999" t="s">
        <v>40</v>
      </c>
      <c r="L999" t="s">
        <v>44</v>
      </c>
      <c r="M999">
        <v>0</v>
      </c>
      <c r="N999" t="s">
        <v>1043</v>
      </c>
      <c r="O999" t="s">
        <v>1655</v>
      </c>
      <c r="P999" s="7">
        <v>44.77</v>
      </c>
      <c r="Q999" s="1">
        <v>45469</v>
      </c>
      <c r="R999">
        <f>WEEKNUM(Table2[[#This Row],[OrderDate]])</f>
        <v>26</v>
      </c>
      <c r="S999" s="1">
        <v>45479</v>
      </c>
      <c r="T999" t="s">
        <v>2917</v>
      </c>
    </row>
    <row r="1000" spans="1:20" x14ac:dyDescent="0.35">
      <c r="A1000" s="1">
        <v>45638</v>
      </c>
      <c r="B1000" t="s">
        <v>2934</v>
      </c>
      <c r="C1000" t="s">
        <v>23</v>
      </c>
      <c r="D1000" s="9">
        <v>2</v>
      </c>
      <c r="E1000" s="7">
        <v>494.22</v>
      </c>
      <c r="F1000" t="s">
        <v>28</v>
      </c>
      <c r="G1000" t="s">
        <v>31</v>
      </c>
      <c r="H1000" s="12">
        <v>0.1</v>
      </c>
      <c r="I1000" t="s">
        <v>35</v>
      </c>
      <c r="J1000" s="7">
        <f>Table2[[#This Row],[UnitPrice]]*Table2[[#This Row],[Quantity]]*(1-Table2[[#This Row],[Discount]])</f>
        <v>889.59600000000012</v>
      </c>
      <c r="K1000" t="s">
        <v>39</v>
      </c>
      <c r="L1000" t="s">
        <v>43</v>
      </c>
      <c r="M1000">
        <v>0</v>
      </c>
      <c r="N1000" t="s">
        <v>1044</v>
      </c>
      <c r="O1000" t="s">
        <v>2486</v>
      </c>
      <c r="P1000" s="7">
        <v>13.45</v>
      </c>
      <c r="Q1000" s="1">
        <v>45638</v>
      </c>
      <c r="R1000">
        <f>WEEKNUM(Table2[[#This Row],[OrderDate]])</f>
        <v>50</v>
      </c>
      <c r="S1000" s="1">
        <v>45643</v>
      </c>
      <c r="T1000" t="s">
        <v>2920</v>
      </c>
    </row>
    <row r="1001" spans="1:20" x14ac:dyDescent="0.35">
      <c r="A1001" s="1">
        <v>45343</v>
      </c>
      <c r="B1001" t="s">
        <v>2930</v>
      </c>
      <c r="C1001" t="s">
        <v>19</v>
      </c>
      <c r="D1001" s="9">
        <v>15</v>
      </c>
      <c r="E1001" s="7">
        <v>112.82</v>
      </c>
      <c r="F1001" t="s">
        <v>26</v>
      </c>
      <c r="G1001" t="s">
        <v>30</v>
      </c>
      <c r="H1001" s="12">
        <v>0.05</v>
      </c>
      <c r="I1001" t="s">
        <v>34</v>
      </c>
      <c r="J1001" s="7">
        <f>Table2[[#This Row],[UnitPrice]]*Table2[[#This Row],[Quantity]]*(1-Table2[[#This Row],[Discount]])</f>
        <v>1607.6849999999999</v>
      </c>
      <c r="K1001" t="s">
        <v>40</v>
      </c>
      <c r="L1001" t="s">
        <v>45</v>
      </c>
      <c r="M1001">
        <v>0</v>
      </c>
      <c r="N1001" t="s">
        <v>1045</v>
      </c>
      <c r="O1001" t="s">
        <v>2487</v>
      </c>
      <c r="P1001" s="7">
        <v>18.21</v>
      </c>
      <c r="Q1001" s="1">
        <v>45343</v>
      </c>
      <c r="R1001">
        <f>WEEKNUM(Table2[[#This Row],[OrderDate]])</f>
        <v>8</v>
      </c>
      <c r="S1001" s="1">
        <v>45352</v>
      </c>
      <c r="T1001" t="s">
        <v>2917</v>
      </c>
    </row>
    <row r="1002" spans="1:20" x14ac:dyDescent="0.35">
      <c r="A1002" s="1">
        <v>45125</v>
      </c>
      <c r="B1002" t="s">
        <v>2930</v>
      </c>
      <c r="C1002" t="s">
        <v>21</v>
      </c>
      <c r="D1002" s="9">
        <v>3</v>
      </c>
      <c r="E1002" s="7">
        <v>121.56</v>
      </c>
      <c r="F1002" t="s">
        <v>29</v>
      </c>
      <c r="G1002" t="s">
        <v>30</v>
      </c>
      <c r="H1002" s="12">
        <v>0</v>
      </c>
      <c r="I1002" t="s">
        <v>32</v>
      </c>
      <c r="J1002" s="7">
        <f>Table2[[#This Row],[UnitPrice]]*Table2[[#This Row],[Quantity]]*(1-Table2[[#This Row],[Discount]])</f>
        <v>364.68</v>
      </c>
      <c r="K1002" t="s">
        <v>41</v>
      </c>
      <c r="L1002" t="s">
        <v>45</v>
      </c>
      <c r="M1002">
        <v>0</v>
      </c>
      <c r="N1002" t="s">
        <v>1046</v>
      </c>
      <c r="O1002" t="s">
        <v>2488</v>
      </c>
      <c r="P1002" s="7">
        <v>29.06</v>
      </c>
      <c r="Q1002" s="1">
        <v>45125</v>
      </c>
      <c r="R1002">
        <f>WEEKNUM(Table2[[#This Row],[OrderDate]])</f>
        <v>29</v>
      </c>
      <c r="S1002" s="1">
        <v>45132</v>
      </c>
      <c r="T1002" t="s">
        <v>2917</v>
      </c>
    </row>
    <row r="1003" spans="1:20" x14ac:dyDescent="0.35">
      <c r="A1003" s="1">
        <v>45567</v>
      </c>
      <c r="B1003" t="s">
        <v>2931</v>
      </c>
      <c r="C1003" t="s">
        <v>21</v>
      </c>
      <c r="D1003" s="9">
        <v>12</v>
      </c>
      <c r="E1003" s="7">
        <v>465.94</v>
      </c>
      <c r="F1003" t="s">
        <v>29</v>
      </c>
      <c r="G1003" t="s">
        <v>30</v>
      </c>
      <c r="H1003" s="12">
        <v>0</v>
      </c>
      <c r="I1003" t="s">
        <v>33</v>
      </c>
      <c r="J1003" s="7">
        <f>Table2[[#This Row],[UnitPrice]]*Table2[[#This Row],[Quantity]]*(1-Table2[[#This Row],[Discount]])</f>
        <v>5591.28</v>
      </c>
      <c r="K1003" t="s">
        <v>40</v>
      </c>
      <c r="L1003" t="s">
        <v>45</v>
      </c>
      <c r="M1003">
        <v>0</v>
      </c>
      <c r="N1003" t="s">
        <v>1047</v>
      </c>
      <c r="O1003" t="s">
        <v>2489</v>
      </c>
      <c r="P1003" s="7">
        <v>34.159999999999997</v>
      </c>
      <c r="Q1003" s="1">
        <v>45567</v>
      </c>
      <c r="R1003">
        <f>WEEKNUM(Table2[[#This Row],[OrderDate]])</f>
        <v>40</v>
      </c>
      <c r="S1003" s="1">
        <v>45571</v>
      </c>
      <c r="T1003" t="s">
        <v>2919</v>
      </c>
    </row>
    <row r="1004" spans="1:20" x14ac:dyDescent="0.35">
      <c r="A1004" s="1">
        <v>45627</v>
      </c>
      <c r="B1004" t="s">
        <v>2933</v>
      </c>
      <c r="C1004" t="s">
        <v>20</v>
      </c>
      <c r="D1004" s="9">
        <v>12</v>
      </c>
      <c r="E1004" s="7">
        <v>187.8</v>
      </c>
      <c r="F1004" t="s">
        <v>29</v>
      </c>
      <c r="G1004" t="s">
        <v>30</v>
      </c>
      <c r="H1004" s="12">
        <v>0.15</v>
      </c>
      <c r="I1004" t="s">
        <v>36</v>
      </c>
      <c r="J1004" s="7">
        <f>Table2[[#This Row],[UnitPrice]]*Table2[[#This Row],[Quantity]]*(1-Table2[[#This Row],[Discount]])</f>
        <v>1915.5600000000002</v>
      </c>
      <c r="K1004" t="s">
        <v>38</v>
      </c>
      <c r="L1004" t="s">
        <v>43</v>
      </c>
      <c r="M1004">
        <v>0</v>
      </c>
      <c r="N1004" t="s">
        <v>1048</v>
      </c>
      <c r="O1004" t="s">
        <v>2490</v>
      </c>
      <c r="P1004" s="7">
        <v>17.739999999999998</v>
      </c>
      <c r="Q1004" s="1">
        <v>45627</v>
      </c>
      <c r="R1004">
        <f>WEEKNUM(Table2[[#This Row],[OrderDate]])</f>
        <v>49</v>
      </c>
      <c r="S1004" s="1">
        <v>45630</v>
      </c>
      <c r="T1004" t="s">
        <v>2921</v>
      </c>
    </row>
    <row r="1005" spans="1:20" x14ac:dyDescent="0.35">
      <c r="A1005" s="1">
        <v>45538</v>
      </c>
      <c r="B1005" t="s">
        <v>2930</v>
      </c>
      <c r="C1005" t="s">
        <v>21</v>
      </c>
      <c r="D1005" s="9">
        <v>1</v>
      </c>
      <c r="E1005" s="7">
        <v>561.29999999999995</v>
      </c>
      <c r="F1005" t="s">
        <v>29</v>
      </c>
      <c r="G1005" t="s">
        <v>31</v>
      </c>
      <c r="H1005" s="12">
        <v>0.15</v>
      </c>
      <c r="I1005" t="s">
        <v>34</v>
      </c>
      <c r="J1005" s="7">
        <f>Table2[[#This Row],[UnitPrice]]*Table2[[#This Row],[Quantity]]*(1-Table2[[#This Row],[Discount]])</f>
        <v>477.10499999999996</v>
      </c>
      <c r="K1005" t="s">
        <v>39</v>
      </c>
      <c r="L1005" t="s">
        <v>2937</v>
      </c>
      <c r="M1005">
        <v>0</v>
      </c>
      <c r="N1005" t="s">
        <v>1049</v>
      </c>
      <c r="O1005" t="s">
        <v>2491</v>
      </c>
      <c r="P1005" s="7">
        <v>5.19</v>
      </c>
      <c r="Q1005" s="1">
        <v>45538</v>
      </c>
      <c r="R1005">
        <f>WEEKNUM(Table2[[#This Row],[OrderDate]])</f>
        <v>36</v>
      </c>
      <c r="S1005" s="1">
        <v>45547</v>
      </c>
      <c r="T1005" t="s">
        <v>2917</v>
      </c>
    </row>
    <row r="1006" spans="1:20" x14ac:dyDescent="0.35">
      <c r="A1006" s="1">
        <v>45710</v>
      </c>
      <c r="B1006" t="s">
        <v>2933</v>
      </c>
      <c r="C1006" t="s">
        <v>25</v>
      </c>
      <c r="D1006" s="9">
        <v>7</v>
      </c>
      <c r="E1006" s="7">
        <v>178.26</v>
      </c>
      <c r="F1006" t="s">
        <v>28</v>
      </c>
      <c r="G1006" t="s">
        <v>31</v>
      </c>
      <c r="H1006" s="12">
        <v>0.15</v>
      </c>
      <c r="I1006" t="s">
        <v>37</v>
      </c>
      <c r="J1006" s="7">
        <f>Table2[[#This Row],[UnitPrice]]*Table2[[#This Row],[Quantity]]*(1-Table2[[#This Row],[Discount]])</f>
        <v>1060.6469999999999</v>
      </c>
      <c r="K1006" t="s">
        <v>38</v>
      </c>
      <c r="L1006" t="s">
        <v>43</v>
      </c>
      <c r="M1006">
        <v>0</v>
      </c>
      <c r="N1006" t="s">
        <v>1050</v>
      </c>
      <c r="O1006" t="s">
        <v>2492</v>
      </c>
      <c r="P1006" s="7">
        <v>44.91</v>
      </c>
      <c r="Q1006" s="1">
        <v>45710</v>
      </c>
      <c r="R1006">
        <f>WEEKNUM(Table2[[#This Row],[OrderDate]])</f>
        <v>8</v>
      </c>
      <c r="S1006" s="1">
        <v>45717</v>
      </c>
      <c r="T1006" t="s">
        <v>2921</v>
      </c>
    </row>
    <row r="1007" spans="1:20" x14ac:dyDescent="0.35">
      <c r="A1007" s="1">
        <v>45788</v>
      </c>
      <c r="B1007" t="s">
        <v>2933</v>
      </c>
      <c r="C1007" t="s">
        <v>23</v>
      </c>
      <c r="D1007" s="9">
        <v>20</v>
      </c>
      <c r="E1007" s="7">
        <v>552.83000000000004</v>
      </c>
      <c r="F1007" t="s">
        <v>29</v>
      </c>
      <c r="G1007" t="s">
        <v>31</v>
      </c>
      <c r="H1007" s="12">
        <v>0.15</v>
      </c>
      <c r="I1007" t="s">
        <v>32</v>
      </c>
      <c r="J1007" s="7">
        <f>Table2[[#This Row],[UnitPrice]]*Table2[[#This Row],[Quantity]]*(1-Table2[[#This Row],[Discount]])</f>
        <v>9398.11</v>
      </c>
      <c r="K1007" t="s">
        <v>38</v>
      </c>
      <c r="L1007" t="s">
        <v>43</v>
      </c>
      <c r="M1007">
        <v>1</v>
      </c>
      <c r="N1007" t="s">
        <v>1051</v>
      </c>
      <c r="O1007" t="s">
        <v>2493</v>
      </c>
      <c r="P1007" s="7">
        <v>20.5</v>
      </c>
      <c r="Q1007" s="1">
        <v>45788</v>
      </c>
      <c r="R1007">
        <f>WEEKNUM(Table2[[#This Row],[OrderDate]])</f>
        <v>20</v>
      </c>
      <c r="S1007" s="1">
        <v>45790</v>
      </c>
      <c r="T1007" t="s">
        <v>2921</v>
      </c>
    </row>
    <row r="1008" spans="1:20" x14ac:dyDescent="0.35">
      <c r="A1008" s="1">
        <v>45646</v>
      </c>
      <c r="B1008" t="s">
        <v>2934</v>
      </c>
      <c r="C1008" t="s">
        <v>24</v>
      </c>
      <c r="D1008" s="9">
        <v>2</v>
      </c>
      <c r="E1008" s="7">
        <v>458.25</v>
      </c>
      <c r="F1008" t="s">
        <v>26</v>
      </c>
      <c r="G1008" t="s">
        <v>30</v>
      </c>
      <c r="H1008" s="12">
        <v>0</v>
      </c>
      <c r="I1008" t="s">
        <v>32</v>
      </c>
      <c r="J1008" s="7">
        <f>Table2[[#This Row],[UnitPrice]]*Table2[[#This Row],[Quantity]]*(1-Table2[[#This Row],[Discount]])</f>
        <v>916.5</v>
      </c>
      <c r="K1008" t="s">
        <v>39</v>
      </c>
      <c r="L1008" t="s">
        <v>44</v>
      </c>
      <c r="M1008">
        <v>0</v>
      </c>
      <c r="N1008" t="s">
        <v>1052</v>
      </c>
      <c r="O1008" t="s">
        <v>2494</v>
      </c>
      <c r="P1008" s="7">
        <v>25.94</v>
      </c>
      <c r="Q1008" s="1">
        <v>45646</v>
      </c>
      <c r="R1008">
        <f>WEEKNUM(Table2[[#This Row],[OrderDate]])</f>
        <v>51</v>
      </c>
      <c r="S1008" s="1">
        <v>45655</v>
      </c>
      <c r="T1008" t="s">
        <v>2920</v>
      </c>
    </row>
    <row r="1009" spans="1:20" x14ac:dyDescent="0.35">
      <c r="A1009" s="1">
        <v>45034</v>
      </c>
      <c r="B1009" t="s">
        <v>2930</v>
      </c>
      <c r="C1009" t="s">
        <v>19</v>
      </c>
      <c r="D1009" s="9">
        <v>2</v>
      </c>
      <c r="E1009" s="7">
        <v>129.43</v>
      </c>
      <c r="F1009" t="s">
        <v>29</v>
      </c>
      <c r="G1009" t="s">
        <v>31</v>
      </c>
      <c r="H1009" s="12">
        <v>0.05</v>
      </c>
      <c r="I1009" t="s">
        <v>33</v>
      </c>
      <c r="J1009" s="7">
        <f>Table2[[#This Row],[UnitPrice]]*Table2[[#This Row],[Quantity]]*(1-Table2[[#This Row],[Discount]])</f>
        <v>245.917</v>
      </c>
      <c r="K1009" t="s">
        <v>41</v>
      </c>
      <c r="L1009" t="s">
        <v>43</v>
      </c>
      <c r="M1009">
        <v>0</v>
      </c>
      <c r="N1009" t="s">
        <v>1053</v>
      </c>
      <c r="O1009" t="s">
        <v>2495</v>
      </c>
      <c r="P1009" s="7">
        <v>6.91</v>
      </c>
      <c r="Q1009" s="1">
        <v>45034</v>
      </c>
      <c r="R1009">
        <f>WEEKNUM(Table2[[#This Row],[OrderDate]])</f>
        <v>16</v>
      </c>
      <c r="S1009" s="1">
        <v>45037</v>
      </c>
      <c r="T1009" t="s">
        <v>2917</v>
      </c>
    </row>
    <row r="1010" spans="1:20" x14ac:dyDescent="0.35">
      <c r="A1010" s="1">
        <v>45533</v>
      </c>
      <c r="B1010" t="s">
        <v>2930</v>
      </c>
      <c r="C1010" t="s">
        <v>25</v>
      </c>
      <c r="D1010" s="9">
        <v>19</v>
      </c>
      <c r="E1010" s="7">
        <v>448.21</v>
      </c>
      <c r="F1010" t="s">
        <v>28</v>
      </c>
      <c r="G1010" t="s">
        <v>30</v>
      </c>
      <c r="H1010" s="12">
        <v>0.1</v>
      </c>
      <c r="I1010" t="s">
        <v>33</v>
      </c>
      <c r="J1010" s="7">
        <f>Table2[[#This Row],[UnitPrice]]*Table2[[#This Row],[Quantity]]*(1-Table2[[#This Row],[Discount]])</f>
        <v>7664.3909999999996</v>
      </c>
      <c r="K1010" t="s">
        <v>41</v>
      </c>
      <c r="L1010" t="s">
        <v>45</v>
      </c>
      <c r="M1010">
        <v>0</v>
      </c>
      <c r="N1010" t="s">
        <v>1054</v>
      </c>
      <c r="O1010" t="s">
        <v>1999</v>
      </c>
      <c r="P1010" s="7">
        <v>30.71</v>
      </c>
      <c r="Q1010" s="1">
        <v>45533</v>
      </c>
      <c r="R1010">
        <f>WEEKNUM(Table2[[#This Row],[OrderDate]])</f>
        <v>35</v>
      </c>
      <c r="S1010" s="1">
        <v>45538</v>
      </c>
      <c r="T1010" t="s">
        <v>2917</v>
      </c>
    </row>
    <row r="1011" spans="1:20" x14ac:dyDescent="0.35">
      <c r="A1011" s="1">
        <v>45172</v>
      </c>
      <c r="B1011" t="s">
        <v>2931</v>
      </c>
      <c r="C1011" t="s">
        <v>21</v>
      </c>
      <c r="D1011" s="9">
        <v>16</v>
      </c>
      <c r="E1011" s="7">
        <v>440.48</v>
      </c>
      <c r="F1011" t="s">
        <v>26</v>
      </c>
      <c r="G1011" t="s">
        <v>31</v>
      </c>
      <c r="H1011" s="12">
        <v>0.05</v>
      </c>
      <c r="I1011" t="s">
        <v>34</v>
      </c>
      <c r="J1011" s="7">
        <f>Table2[[#This Row],[UnitPrice]]*Table2[[#This Row],[Quantity]]*(1-Table2[[#This Row],[Discount]])</f>
        <v>6695.2960000000003</v>
      </c>
      <c r="K1011" t="s">
        <v>42</v>
      </c>
      <c r="L1011" t="s">
        <v>43</v>
      </c>
      <c r="M1011">
        <v>1</v>
      </c>
      <c r="N1011" t="s">
        <v>1055</v>
      </c>
      <c r="O1011" t="s">
        <v>2496</v>
      </c>
      <c r="P1011" s="7">
        <v>26.87</v>
      </c>
      <c r="Q1011" s="1">
        <v>45172</v>
      </c>
      <c r="R1011">
        <f>WEEKNUM(Table2[[#This Row],[OrderDate]])</f>
        <v>36</v>
      </c>
      <c r="S1011" s="1">
        <v>45179</v>
      </c>
      <c r="T1011" t="s">
        <v>2919</v>
      </c>
    </row>
    <row r="1012" spans="1:20" x14ac:dyDescent="0.35">
      <c r="A1012" s="1">
        <v>45796</v>
      </c>
      <c r="B1012" t="s">
        <v>2930</v>
      </c>
      <c r="C1012" t="s">
        <v>19</v>
      </c>
      <c r="D1012" s="9">
        <v>8</v>
      </c>
      <c r="E1012" s="7">
        <v>262.62</v>
      </c>
      <c r="F1012" t="s">
        <v>28</v>
      </c>
      <c r="G1012" t="s">
        <v>30</v>
      </c>
      <c r="H1012" s="12">
        <v>0</v>
      </c>
      <c r="I1012" t="s">
        <v>33</v>
      </c>
      <c r="J1012" s="7">
        <f>Table2[[#This Row],[UnitPrice]]*Table2[[#This Row],[Quantity]]*(1-Table2[[#This Row],[Discount]])</f>
        <v>2100.96</v>
      </c>
      <c r="K1012" t="s">
        <v>42</v>
      </c>
      <c r="L1012" t="s">
        <v>43</v>
      </c>
      <c r="M1012">
        <v>1</v>
      </c>
      <c r="N1012" t="s">
        <v>1056</v>
      </c>
      <c r="O1012" t="s">
        <v>2497</v>
      </c>
      <c r="P1012" s="7">
        <v>36.729999999999997</v>
      </c>
      <c r="Q1012" s="1">
        <v>45796</v>
      </c>
      <c r="R1012">
        <f>WEEKNUM(Table2[[#This Row],[OrderDate]])</f>
        <v>21</v>
      </c>
      <c r="S1012" s="1">
        <v>45801</v>
      </c>
      <c r="T1012" t="s">
        <v>2917</v>
      </c>
    </row>
    <row r="1013" spans="1:20" x14ac:dyDescent="0.35">
      <c r="A1013" s="1">
        <v>45095</v>
      </c>
      <c r="B1013" t="s">
        <v>2930</v>
      </c>
      <c r="C1013" t="s">
        <v>24</v>
      </c>
      <c r="D1013" s="9">
        <v>15</v>
      </c>
      <c r="E1013" s="7">
        <v>124.91</v>
      </c>
      <c r="F1013" t="s">
        <v>27</v>
      </c>
      <c r="G1013" t="s">
        <v>30</v>
      </c>
      <c r="H1013" s="12">
        <v>0.1</v>
      </c>
      <c r="I1013" t="s">
        <v>32</v>
      </c>
      <c r="J1013" s="7">
        <f>Table2[[#This Row],[UnitPrice]]*Table2[[#This Row],[Quantity]]*(1-Table2[[#This Row],[Discount]])</f>
        <v>1686.2849999999999</v>
      </c>
      <c r="K1013" t="s">
        <v>39</v>
      </c>
      <c r="L1013" t="s">
        <v>43</v>
      </c>
      <c r="M1013">
        <v>0</v>
      </c>
      <c r="N1013" t="s">
        <v>1057</v>
      </c>
      <c r="O1013" t="s">
        <v>2498</v>
      </c>
      <c r="P1013" s="7">
        <v>31.95</v>
      </c>
      <c r="Q1013" s="1">
        <v>45095</v>
      </c>
      <c r="R1013">
        <f>WEEKNUM(Table2[[#This Row],[OrderDate]])</f>
        <v>25</v>
      </c>
      <c r="S1013" s="1">
        <v>45103</v>
      </c>
      <c r="T1013" t="s">
        <v>2917</v>
      </c>
    </row>
    <row r="1014" spans="1:20" x14ac:dyDescent="0.35">
      <c r="A1014" s="1">
        <v>45826</v>
      </c>
      <c r="B1014" t="s">
        <v>2933</v>
      </c>
      <c r="C1014" t="s">
        <v>23</v>
      </c>
      <c r="D1014" s="9">
        <v>9</v>
      </c>
      <c r="E1014" s="7">
        <v>391</v>
      </c>
      <c r="F1014" t="s">
        <v>29</v>
      </c>
      <c r="G1014" t="s">
        <v>30</v>
      </c>
      <c r="H1014" s="12">
        <v>0.1</v>
      </c>
      <c r="I1014" t="s">
        <v>32</v>
      </c>
      <c r="J1014" s="7">
        <f>Table2[[#This Row],[UnitPrice]]*Table2[[#This Row],[Quantity]]*(1-Table2[[#This Row],[Discount]])</f>
        <v>3167.1</v>
      </c>
      <c r="K1014" t="s">
        <v>41</v>
      </c>
      <c r="L1014" t="s">
        <v>45</v>
      </c>
      <c r="M1014">
        <v>0</v>
      </c>
      <c r="N1014" t="s">
        <v>1058</v>
      </c>
      <c r="O1014" t="s">
        <v>2499</v>
      </c>
      <c r="P1014" s="7">
        <v>46.76</v>
      </c>
      <c r="Q1014" s="1">
        <v>45826</v>
      </c>
      <c r="R1014">
        <f>WEEKNUM(Table2[[#This Row],[OrderDate]])</f>
        <v>25</v>
      </c>
      <c r="S1014" s="1">
        <v>45830</v>
      </c>
      <c r="T1014" t="s">
        <v>2921</v>
      </c>
    </row>
    <row r="1015" spans="1:20" x14ac:dyDescent="0.35">
      <c r="A1015" s="1">
        <v>45564</v>
      </c>
      <c r="B1015" t="s">
        <v>2932</v>
      </c>
      <c r="C1015" t="s">
        <v>19</v>
      </c>
      <c r="D1015" s="9">
        <v>12</v>
      </c>
      <c r="E1015" s="7">
        <v>204.15</v>
      </c>
      <c r="F1015" t="s">
        <v>28</v>
      </c>
      <c r="G1015" t="s">
        <v>31</v>
      </c>
      <c r="H1015" s="12">
        <v>0.05</v>
      </c>
      <c r="I1015" t="s">
        <v>33</v>
      </c>
      <c r="J1015" s="7">
        <f>Table2[[#This Row],[UnitPrice]]*Table2[[#This Row],[Quantity]]*(1-Table2[[#This Row],[Discount]])</f>
        <v>2327.31</v>
      </c>
      <c r="K1015" t="s">
        <v>41</v>
      </c>
      <c r="L1015" t="s">
        <v>43</v>
      </c>
      <c r="M1015">
        <v>1</v>
      </c>
      <c r="N1015" t="s">
        <v>1059</v>
      </c>
      <c r="O1015" t="s">
        <v>2500</v>
      </c>
      <c r="P1015" s="7">
        <v>26.4</v>
      </c>
      <c r="Q1015" s="1">
        <v>45564</v>
      </c>
      <c r="R1015">
        <f>WEEKNUM(Table2[[#This Row],[OrderDate]])</f>
        <v>40</v>
      </c>
      <c r="S1015" s="1">
        <v>45572</v>
      </c>
      <c r="T1015" t="s">
        <v>2918</v>
      </c>
    </row>
    <row r="1016" spans="1:20" x14ac:dyDescent="0.35">
      <c r="A1016" s="1">
        <v>45347</v>
      </c>
      <c r="B1016" t="s">
        <v>2930</v>
      </c>
      <c r="C1016" t="s">
        <v>19</v>
      </c>
      <c r="D1016" s="9">
        <v>20</v>
      </c>
      <c r="E1016" s="7">
        <v>13.64</v>
      </c>
      <c r="F1016" t="s">
        <v>28</v>
      </c>
      <c r="G1016" t="s">
        <v>31</v>
      </c>
      <c r="H1016" s="12">
        <v>0.15</v>
      </c>
      <c r="I1016" t="s">
        <v>34</v>
      </c>
      <c r="J1016" s="7">
        <f>Table2[[#This Row],[UnitPrice]]*Table2[[#This Row],[Quantity]]*(1-Table2[[#This Row],[Discount]])</f>
        <v>231.88</v>
      </c>
      <c r="K1016" t="s">
        <v>40</v>
      </c>
      <c r="L1016" t="s">
        <v>44</v>
      </c>
      <c r="M1016">
        <v>0</v>
      </c>
      <c r="N1016" t="s">
        <v>1060</v>
      </c>
      <c r="O1016" t="s">
        <v>2501</v>
      </c>
      <c r="P1016" s="7">
        <v>33.6</v>
      </c>
      <c r="Q1016" s="1">
        <v>45347</v>
      </c>
      <c r="R1016">
        <f>WEEKNUM(Table2[[#This Row],[OrderDate]])</f>
        <v>9</v>
      </c>
      <c r="S1016" s="1">
        <v>45355</v>
      </c>
      <c r="T1016" t="s">
        <v>2917</v>
      </c>
    </row>
    <row r="1017" spans="1:20" x14ac:dyDescent="0.35">
      <c r="A1017" s="1">
        <v>45372</v>
      </c>
      <c r="B1017" t="s">
        <v>2931</v>
      </c>
      <c r="C1017" t="s">
        <v>25</v>
      </c>
      <c r="D1017" s="9">
        <v>14</v>
      </c>
      <c r="E1017" s="7">
        <v>524.9</v>
      </c>
      <c r="F1017" t="s">
        <v>28</v>
      </c>
      <c r="G1017" t="s">
        <v>30</v>
      </c>
      <c r="H1017" s="12">
        <v>0.05</v>
      </c>
      <c r="I1017" t="s">
        <v>33</v>
      </c>
      <c r="J1017" s="7">
        <f>Table2[[#This Row],[UnitPrice]]*Table2[[#This Row],[Quantity]]*(1-Table2[[#This Row],[Discount]])</f>
        <v>6981.1699999999992</v>
      </c>
      <c r="K1017" t="s">
        <v>42</v>
      </c>
      <c r="L1017" t="s">
        <v>43</v>
      </c>
      <c r="M1017">
        <v>1</v>
      </c>
      <c r="N1017" t="s">
        <v>1061</v>
      </c>
      <c r="O1017" t="s">
        <v>2502</v>
      </c>
      <c r="P1017" s="7">
        <v>20.23</v>
      </c>
      <c r="Q1017" s="1">
        <v>45372</v>
      </c>
      <c r="R1017">
        <f>WEEKNUM(Table2[[#This Row],[OrderDate]])</f>
        <v>12</v>
      </c>
      <c r="S1017" s="1">
        <v>45381</v>
      </c>
      <c r="T1017" t="s">
        <v>2919</v>
      </c>
    </row>
    <row r="1018" spans="1:20" x14ac:dyDescent="0.35">
      <c r="A1018" s="1">
        <v>45325</v>
      </c>
      <c r="B1018" t="s">
        <v>2931</v>
      </c>
      <c r="C1018" t="s">
        <v>19</v>
      </c>
      <c r="D1018" s="9">
        <v>8</v>
      </c>
      <c r="E1018" s="7">
        <v>143.94999999999999</v>
      </c>
      <c r="F1018" t="s">
        <v>26</v>
      </c>
      <c r="G1018" t="s">
        <v>31</v>
      </c>
      <c r="H1018" s="12">
        <v>0.1</v>
      </c>
      <c r="I1018" t="s">
        <v>36</v>
      </c>
      <c r="J1018" s="7">
        <f>Table2[[#This Row],[UnitPrice]]*Table2[[#This Row],[Quantity]]*(1-Table2[[#This Row],[Discount]])</f>
        <v>1036.44</v>
      </c>
      <c r="K1018" t="s">
        <v>42</v>
      </c>
      <c r="L1018" t="s">
        <v>44</v>
      </c>
      <c r="M1018">
        <v>0</v>
      </c>
      <c r="N1018" t="s">
        <v>1062</v>
      </c>
      <c r="O1018" t="s">
        <v>2503</v>
      </c>
      <c r="P1018" s="7">
        <v>28.09</v>
      </c>
      <c r="Q1018" s="1">
        <v>45325</v>
      </c>
      <c r="R1018">
        <f>WEEKNUM(Table2[[#This Row],[OrderDate]])</f>
        <v>5</v>
      </c>
      <c r="S1018" s="1">
        <v>45331</v>
      </c>
      <c r="T1018" t="s">
        <v>2919</v>
      </c>
    </row>
    <row r="1019" spans="1:20" x14ac:dyDescent="0.35">
      <c r="A1019" s="1">
        <v>45251</v>
      </c>
      <c r="B1019" t="s">
        <v>2932</v>
      </c>
      <c r="C1019" t="s">
        <v>19</v>
      </c>
      <c r="D1019" s="9">
        <v>2</v>
      </c>
      <c r="E1019" s="7">
        <v>576.84</v>
      </c>
      <c r="F1019" t="s">
        <v>29</v>
      </c>
      <c r="G1019" t="s">
        <v>31</v>
      </c>
      <c r="H1019" s="12">
        <v>0.1</v>
      </c>
      <c r="I1019" t="s">
        <v>34</v>
      </c>
      <c r="J1019" s="7">
        <f>Table2[[#This Row],[UnitPrice]]*Table2[[#This Row],[Quantity]]*(1-Table2[[#This Row],[Discount]])</f>
        <v>1038.3120000000001</v>
      </c>
      <c r="K1019" t="s">
        <v>40</v>
      </c>
      <c r="L1019" t="s">
        <v>43</v>
      </c>
      <c r="M1019">
        <v>0</v>
      </c>
      <c r="N1019" t="s">
        <v>1063</v>
      </c>
      <c r="O1019" t="s">
        <v>2504</v>
      </c>
      <c r="P1019" s="7">
        <v>43.32</v>
      </c>
      <c r="Q1019" s="1">
        <v>45251</v>
      </c>
      <c r="R1019">
        <f>WEEKNUM(Table2[[#This Row],[OrderDate]])</f>
        <v>47</v>
      </c>
      <c r="S1019" s="1">
        <v>45254</v>
      </c>
      <c r="T1019" t="s">
        <v>2918</v>
      </c>
    </row>
    <row r="1020" spans="1:20" x14ac:dyDescent="0.35">
      <c r="A1020" s="1">
        <v>44936</v>
      </c>
      <c r="B1020" t="s">
        <v>2933</v>
      </c>
      <c r="C1020" t="s">
        <v>22</v>
      </c>
      <c r="D1020" s="9">
        <v>14</v>
      </c>
      <c r="E1020" s="7">
        <v>250.98</v>
      </c>
      <c r="F1020" t="s">
        <v>28</v>
      </c>
      <c r="G1020" t="s">
        <v>31</v>
      </c>
      <c r="H1020" s="12">
        <v>0</v>
      </c>
      <c r="I1020" t="s">
        <v>32</v>
      </c>
      <c r="J1020" s="7">
        <f>Table2[[#This Row],[UnitPrice]]*Table2[[#This Row],[Quantity]]*(1-Table2[[#This Row],[Discount]])</f>
        <v>3513.72</v>
      </c>
      <c r="K1020" t="s">
        <v>41</v>
      </c>
      <c r="L1020" t="s">
        <v>2937</v>
      </c>
      <c r="M1020">
        <v>0</v>
      </c>
      <c r="N1020" t="s">
        <v>1064</v>
      </c>
      <c r="O1020" t="s">
        <v>2505</v>
      </c>
      <c r="P1020" s="7">
        <v>14.94</v>
      </c>
      <c r="Q1020" s="1">
        <v>44936</v>
      </c>
      <c r="R1020">
        <f>WEEKNUM(Table2[[#This Row],[OrderDate]])</f>
        <v>2</v>
      </c>
      <c r="S1020" s="1">
        <v>44944</v>
      </c>
      <c r="T1020" t="s">
        <v>2921</v>
      </c>
    </row>
    <row r="1021" spans="1:20" x14ac:dyDescent="0.35">
      <c r="A1021" s="1">
        <v>44963</v>
      </c>
      <c r="B1021" t="s">
        <v>2934</v>
      </c>
      <c r="C1021" t="s">
        <v>20</v>
      </c>
      <c r="D1021" s="9">
        <v>7</v>
      </c>
      <c r="E1021" s="7">
        <v>335.41</v>
      </c>
      <c r="F1021" t="s">
        <v>28</v>
      </c>
      <c r="G1021" t="s">
        <v>31</v>
      </c>
      <c r="H1021" s="12">
        <v>0</v>
      </c>
      <c r="I1021" t="s">
        <v>37</v>
      </c>
      <c r="J1021" s="7">
        <f>Table2[[#This Row],[UnitPrice]]*Table2[[#This Row],[Quantity]]*(1-Table2[[#This Row],[Discount]])</f>
        <v>2347.8700000000003</v>
      </c>
      <c r="K1021" t="s">
        <v>38</v>
      </c>
      <c r="L1021" t="s">
        <v>44</v>
      </c>
      <c r="M1021">
        <v>0</v>
      </c>
      <c r="N1021" t="s">
        <v>1065</v>
      </c>
      <c r="O1021" t="s">
        <v>1815</v>
      </c>
      <c r="P1021" s="7">
        <v>18.91</v>
      </c>
      <c r="Q1021" s="1">
        <v>44963</v>
      </c>
      <c r="R1021">
        <f>WEEKNUM(Table2[[#This Row],[OrderDate]])</f>
        <v>6</v>
      </c>
      <c r="S1021" s="1">
        <v>44967</v>
      </c>
      <c r="T1021" t="s">
        <v>2920</v>
      </c>
    </row>
    <row r="1022" spans="1:20" x14ac:dyDescent="0.35">
      <c r="A1022" s="1">
        <v>45757</v>
      </c>
      <c r="B1022" t="s">
        <v>2931</v>
      </c>
      <c r="C1022" t="s">
        <v>25</v>
      </c>
      <c r="D1022" s="9">
        <v>11</v>
      </c>
      <c r="E1022" s="7">
        <v>204.5</v>
      </c>
      <c r="F1022" t="s">
        <v>27</v>
      </c>
      <c r="G1022" t="s">
        <v>31</v>
      </c>
      <c r="H1022" s="12">
        <v>0</v>
      </c>
      <c r="I1022" t="s">
        <v>32</v>
      </c>
      <c r="J1022" s="7">
        <f>Table2[[#This Row],[UnitPrice]]*Table2[[#This Row],[Quantity]]*(1-Table2[[#This Row],[Discount]])</f>
        <v>2249.5</v>
      </c>
      <c r="K1022" t="s">
        <v>41</v>
      </c>
      <c r="L1022" t="s">
        <v>45</v>
      </c>
      <c r="M1022">
        <v>0</v>
      </c>
      <c r="N1022" t="s">
        <v>1066</v>
      </c>
      <c r="O1022" t="s">
        <v>2408</v>
      </c>
      <c r="P1022" s="7">
        <v>13.82</v>
      </c>
      <c r="Q1022" s="1">
        <v>45757</v>
      </c>
      <c r="R1022">
        <f>WEEKNUM(Table2[[#This Row],[OrderDate]])</f>
        <v>15</v>
      </c>
      <c r="S1022" s="1">
        <v>45767</v>
      </c>
      <c r="T1022" t="s">
        <v>2919</v>
      </c>
    </row>
    <row r="1023" spans="1:20" x14ac:dyDescent="0.35">
      <c r="A1023" s="1">
        <v>45336</v>
      </c>
      <c r="B1023" t="s">
        <v>2930</v>
      </c>
      <c r="C1023" t="s">
        <v>24</v>
      </c>
      <c r="D1023" s="9">
        <v>1</v>
      </c>
      <c r="E1023" s="7">
        <v>542.63</v>
      </c>
      <c r="F1023" t="s">
        <v>27</v>
      </c>
      <c r="G1023" t="s">
        <v>31</v>
      </c>
      <c r="H1023" s="12">
        <v>0.05</v>
      </c>
      <c r="I1023" t="s">
        <v>35</v>
      </c>
      <c r="J1023" s="7">
        <f>Table2[[#This Row],[UnitPrice]]*Table2[[#This Row],[Quantity]]*(1-Table2[[#This Row],[Discount]])</f>
        <v>515.49849999999992</v>
      </c>
      <c r="K1023" t="s">
        <v>40</v>
      </c>
      <c r="L1023" t="s">
        <v>2937</v>
      </c>
      <c r="M1023">
        <v>0</v>
      </c>
      <c r="N1023" t="s">
        <v>1067</v>
      </c>
      <c r="O1023" t="s">
        <v>2506</v>
      </c>
      <c r="P1023" s="7">
        <v>33.200000000000003</v>
      </c>
      <c r="Q1023" s="1">
        <v>45336</v>
      </c>
      <c r="R1023">
        <f>WEEKNUM(Table2[[#This Row],[OrderDate]])</f>
        <v>7</v>
      </c>
      <c r="S1023" s="1">
        <v>45343</v>
      </c>
      <c r="T1023" t="s">
        <v>2917</v>
      </c>
    </row>
    <row r="1024" spans="1:20" x14ac:dyDescent="0.35">
      <c r="A1024" s="1">
        <v>45803</v>
      </c>
      <c r="B1024" t="s">
        <v>2930</v>
      </c>
      <c r="C1024" t="s">
        <v>20</v>
      </c>
      <c r="D1024" s="9">
        <v>1</v>
      </c>
      <c r="E1024" s="7">
        <v>204.54</v>
      </c>
      <c r="F1024" t="s">
        <v>29</v>
      </c>
      <c r="G1024" t="s">
        <v>31</v>
      </c>
      <c r="H1024" s="12">
        <v>0.1</v>
      </c>
      <c r="I1024" t="s">
        <v>35</v>
      </c>
      <c r="J1024" s="7">
        <f>Table2[[#This Row],[UnitPrice]]*Table2[[#This Row],[Quantity]]*(1-Table2[[#This Row],[Discount]])</f>
        <v>184.08599999999998</v>
      </c>
      <c r="K1024" t="s">
        <v>38</v>
      </c>
      <c r="L1024" t="s">
        <v>2937</v>
      </c>
      <c r="M1024">
        <v>1</v>
      </c>
      <c r="N1024" t="s">
        <v>1068</v>
      </c>
      <c r="O1024" t="s">
        <v>2507</v>
      </c>
      <c r="P1024" s="7">
        <v>17.760000000000002</v>
      </c>
      <c r="Q1024" s="1">
        <v>45803</v>
      </c>
      <c r="R1024">
        <f>WEEKNUM(Table2[[#This Row],[OrderDate]])</f>
        <v>22</v>
      </c>
      <c r="S1024" s="1">
        <v>45806</v>
      </c>
      <c r="T1024" t="s">
        <v>2917</v>
      </c>
    </row>
    <row r="1025" spans="1:20" x14ac:dyDescent="0.35">
      <c r="A1025" s="1">
        <v>45181</v>
      </c>
      <c r="B1025" t="s">
        <v>2933</v>
      </c>
      <c r="C1025" t="s">
        <v>22</v>
      </c>
      <c r="D1025" s="9">
        <v>10</v>
      </c>
      <c r="E1025" s="7">
        <v>419.58</v>
      </c>
      <c r="F1025" t="s">
        <v>27</v>
      </c>
      <c r="G1025" t="s">
        <v>30</v>
      </c>
      <c r="H1025" s="12">
        <v>0.15</v>
      </c>
      <c r="I1025" t="s">
        <v>32</v>
      </c>
      <c r="J1025" s="7">
        <f>Table2[[#This Row],[UnitPrice]]*Table2[[#This Row],[Quantity]]*(1-Table2[[#This Row],[Discount]])</f>
        <v>3566.43</v>
      </c>
      <c r="K1025" t="s">
        <v>41</v>
      </c>
      <c r="L1025" t="s">
        <v>43</v>
      </c>
      <c r="M1025">
        <v>0</v>
      </c>
      <c r="N1025" t="s">
        <v>1069</v>
      </c>
      <c r="O1025" t="s">
        <v>2303</v>
      </c>
      <c r="P1025" s="7">
        <v>13.09</v>
      </c>
      <c r="Q1025" s="1">
        <v>45181</v>
      </c>
      <c r="R1025">
        <f>WEEKNUM(Table2[[#This Row],[OrderDate]])</f>
        <v>37</v>
      </c>
      <c r="S1025" s="1">
        <v>45188</v>
      </c>
      <c r="T1025" t="s">
        <v>2921</v>
      </c>
    </row>
    <row r="1026" spans="1:20" x14ac:dyDescent="0.35">
      <c r="A1026" s="1">
        <v>45063</v>
      </c>
      <c r="B1026" t="s">
        <v>2930</v>
      </c>
      <c r="C1026" t="s">
        <v>21</v>
      </c>
      <c r="D1026" s="9">
        <v>7</v>
      </c>
      <c r="E1026" s="7">
        <v>87.88</v>
      </c>
      <c r="F1026" t="s">
        <v>28</v>
      </c>
      <c r="G1026" t="s">
        <v>30</v>
      </c>
      <c r="H1026" s="12">
        <v>0.15</v>
      </c>
      <c r="I1026" t="s">
        <v>33</v>
      </c>
      <c r="J1026" s="7">
        <f>Table2[[#This Row],[UnitPrice]]*Table2[[#This Row],[Quantity]]*(1-Table2[[#This Row],[Discount]])</f>
        <v>522.88599999999997</v>
      </c>
      <c r="K1026" t="s">
        <v>38</v>
      </c>
      <c r="L1026" t="s">
        <v>45</v>
      </c>
      <c r="M1026">
        <v>1</v>
      </c>
      <c r="N1026" t="s">
        <v>1070</v>
      </c>
      <c r="O1026" t="s">
        <v>2508</v>
      </c>
      <c r="P1026" s="7">
        <v>22.2</v>
      </c>
      <c r="Q1026" s="1">
        <v>45063</v>
      </c>
      <c r="R1026">
        <f>WEEKNUM(Table2[[#This Row],[OrderDate]])</f>
        <v>20</v>
      </c>
      <c r="S1026" s="1">
        <v>45072</v>
      </c>
      <c r="T1026" t="s">
        <v>2917</v>
      </c>
    </row>
    <row r="1027" spans="1:20" x14ac:dyDescent="0.35">
      <c r="A1027" s="1">
        <v>45320</v>
      </c>
      <c r="B1027" t="s">
        <v>2933</v>
      </c>
      <c r="C1027" t="s">
        <v>25</v>
      </c>
      <c r="D1027" s="9">
        <v>7</v>
      </c>
      <c r="E1027" s="7">
        <v>386.88</v>
      </c>
      <c r="F1027" t="s">
        <v>26</v>
      </c>
      <c r="G1027" t="s">
        <v>30</v>
      </c>
      <c r="H1027" s="12">
        <v>0.05</v>
      </c>
      <c r="I1027" t="s">
        <v>35</v>
      </c>
      <c r="J1027" s="7">
        <f>Table2[[#This Row],[UnitPrice]]*Table2[[#This Row],[Quantity]]*(1-Table2[[#This Row],[Discount]])</f>
        <v>2572.752</v>
      </c>
      <c r="K1027" t="s">
        <v>42</v>
      </c>
      <c r="L1027" t="s">
        <v>44</v>
      </c>
      <c r="M1027">
        <v>0</v>
      </c>
      <c r="N1027" t="s">
        <v>1071</v>
      </c>
      <c r="O1027" t="s">
        <v>2509</v>
      </c>
      <c r="P1027" s="7">
        <v>38.46</v>
      </c>
      <c r="Q1027" s="1">
        <v>45320</v>
      </c>
      <c r="R1027">
        <f>WEEKNUM(Table2[[#This Row],[OrderDate]])</f>
        <v>5</v>
      </c>
      <c r="S1027" s="1">
        <v>45322</v>
      </c>
      <c r="T1027" t="s">
        <v>2921</v>
      </c>
    </row>
    <row r="1028" spans="1:20" x14ac:dyDescent="0.35">
      <c r="A1028" s="1">
        <v>45786</v>
      </c>
      <c r="B1028" t="s">
        <v>2931</v>
      </c>
      <c r="C1028" t="s">
        <v>21</v>
      </c>
      <c r="D1028" s="9">
        <v>4</v>
      </c>
      <c r="E1028" s="7">
        <v>242.8</v>
      </c>
      <c r="F1028" t="s">
        <v>29</v>
      </c>
      <c r="G1028" t="s">
        <v>30</v>
      </c>
      <c r="H1028" s="12">
        <v>0.05</v>
      </c>
      <c r="I1028" t="s">
        <v>36</v>
      </c>
      <c r="J1028" s="7">
        <f>Table2[[#This Row],[UnitPrice]]*Table2[[#This Row],[Quantity]]*(1-Table2[[#This Row],[Discount]])</f>
        <v>922.64</v>
      </c>
      <c r="K1028" t="s">
        <v>41</v>
      </c>
      <c r="L1028" t="s">
        <v>43</v>
      </c>
      <c r="M1028">
        <v>0</v>
      </c>
      <c r="N1028" t="s">
        <v>1072</v>
      </c>
      <c r="O1028" t="s">
        <v>2510</v>
      </c>
      <c r="P1028" s="7">
        <v>30.03</v>
      </c>
      <c r="Q1028" s="1">
        <v>45786</v>
      </c>
      <c r="R1028">
        <f>WEEKNUM(Table2[[#This Row],[OrderDate]])</f>
        <v>19</v>
      </c>
      <c r="S1028" s="1">
        <v>45795</v>
      </c>
      <c r="T1028" t="s">
        <v>2919</v>
      </c>
    </row>
    <row r="1029" spans="1:20" x14ac:dyDescent="0.35">
      <c r="A1029" s="1">
        <v>45387</v>
      </c>
      <c r="B1029" t="s">
        <v>2930</v>
      </c>
      <c r="C1029" t="s">
        <v>25</v>
      </c>
      <c r="D1029" s="9">
        <v>4</v>
      </c>
      <c r="E1029" s="7">
        <v>410.59</v>
      </c>
      <c r="F1029" t="s">
        <v>27</v>
      </c>
      <c r="G1029" t="s">
        <v>31</v>
      </c>
      <c r="H1029" s="12">
        <v>0</v>
      </c>
      <c r="I1029" t="s">
        <v>32</v>
      </c>
      <c r="J1029" s="7">
        <f>Table2[[#This Row],[UnitPrice]]*Table2[[#This Row],[Quantity]]*(1-Table2[[#This Row],[Discount]])</f>
        <v>1642.36</v>
      </c>
      <c r="K1029" t="s">
        <v>42</v>
      </c>
      <c r="L1029" t="s">
        <v>2937</v>
      </c>
      <c r="M1029">
        <v>0</v>
      </c>
      <c r="N1029" t="s">
        <v>1073</v>
      </c>
      <c r="O1029" t="s">
        <v>2511</v>
      </c>
      <c r="P1029" s="7">
        <v>17.36</v>
      </c>
      <c r="Q1029" s="1">
        <v>45387</v>
      </c>
      <c r="R1029">
        <f>WEEKNUM(Table2[[#This Row],[OrderDate]])</f>
        <v>14</v>
      </c>
      <c r="S1029" s="1">
        <v>45391</v>
      </c>
      <c r="T1029" t="s">
        <v>2917</v>
      </c>
    </row>
    <row r="1030" spans="1:20" x14ac:dyDescent="0.35">
      <c r="A1030" s="1">
        <v>45505</v>
      </c>
      <c r="B1030" t="s">
        <v>2932</v>
      </c>
      <c r="C1030" t="s">
        <v>22</v>
      </c>
      <c r="D1030" s="9">
        <v>3</v>
      </c>
      <c r="E1030" s="7">
        <v>10.93</v>
      </c>
      <c r="F1030" t="s">
        <v>29</v>
      </c>
      <c r="G1030" t="s">
        <v>30</v>
      </c>
      <c r="H1030" s="12">
        <v>0.15</v>
      </c>
      <c r="I1030" t="s">
        <v>32</v>
      </c>
      <c r="J1030" s="7">
        <f>Table2[[#This Row],[UnitPrice]]*Table2[[#This Row],[Quantity]]*(1-Table2[[#This Row],[Discount]])</f>
        <v>27.871499999999997</v>
      </c>
      <c r="K1030" t="s">
        <v>42</v>
      </c>
      <c r="L1030" t="s">
        <v>43</v>
      </c>
      <c r="M1030">
        <v>0</v>
      </c>
      <c r="N1030" t="s">
        <v>1074</v>
      </c>
      <c r="O1030" t="s">
        <v>2512</v>
      </c>
      <c r="P1030" s="7">
        <v>19.010000000000002</v>
      </c>
      <c r="Q1030" s="1">
        <v>45505</v>
      </c>
      <c r="R1030">
        <f>WEEKNUM(Table2[[#This Row],[OrderDate]])</f>
        <v>31</v>
      </c>
      <c r="S1030" s="1">
        <v>45514</v>
      </c>
      <c r="T1030" t="s">
        <v>2918</v>
      </c>
    </row>
    <row r="1031" spans="1:20" x14ac:dyDescent="0.35">
      <c r="A1031" s="1">
        <v>45483</v>
      </c>
      <c r="B1031" t="s">
        <v>2932</v>
      </c>
      <c r="C1031" t="s">
        <v>22</v>
      </c>
      <c r="D1031" s="9">
        <v>20</v>
      </c>
      <c r="E1031" s="7">
        <v>150.16</v>
      </c>
      <c r="F1031" t="s">
        <v>28</v>
      </c>
      <c r="G1031" t="s">
        <v>30</v>
      </c>
      <c r="H1031" s="12">
        <v>0</v>
      </c>
      <c r="I1031" t="s">
        <v>37</v>
      </c>
      <c r="J1031" s="7">
        <f>Table2[[#This Row],[UnitPrice]]*Table2[[#This Row],[Quantity]]*(1-Table2[[#This Row],[Discount]])</f>
        <v>3003.2</v>
      </c>
      <c r="K1031" t="s">
        <v>42</v>
      </c>
      <c r="L1031" t="s">
        <v>2937</v>
      </c>
      <c r="M1031">
        <v>0</v>
      </c>
      <c r="N1031" t="s">
        <v>1075</v>
      </c>
      <c r="O1031" t="s">
        <v>2513</v>
      </c>
      <c r="P1031" s="7">
        <v>41.66</v>
      </c>
      <c r="Q1031" s="1">
        <v>45483</v>
      </c>
      <c r="R1031">
        <f>WEEKNUM(Table2[[#This Row],[OrderDate]])</f>
        <v>28</v>
      </c>
      <c r="S1031" s="1">
        <v>45485</v>
      </c>
      <c r="T1031" t="s">
        <v>2918</v>
      </c>
    </row>
    <row r="1032" spans="1:20" x14ac:dyDescent="0.35">
      <c r="A1032" s="1">
        <v>45458</v>
      </c>
      <c r="B1032" t="s">
        <v>2930</v>
      </c>
      <c r="C1032" t="s">
        <v>22</v>
      </c>
      <c r="D1032" s="9">
        <v>1</v>
      </c>
      <c r="E1032" s="7">
        <v>394.41</v>
      </c>
      <c r="F1032" t="s">
        <v>26</v>
      </c>
      <c r="G1032" t="s">
        <v>31</v>
      </c>
      <c r="H1032" s="12">
        <v>0.1</v>
      </c>
      <c r="I1032" t="s">
        <v>33</v>
      </c>
      <c r="J1032" s="7">
        <f>Table2[[#This Row],[UnitPrice]]*Table2[[#This Row],[Quantity]]*(1-Table2[[#This Row],[Discount]])</f>
        <v>354.96900000000005</v>
      </c>
      <c r="K1032" t="s">
        <v>39</v>
      </c>
      <c r="L1032" t="s">
        <v>45</v>
      </c>
      <c r="M1032">
        <v>0</v>
      </c>
      <c r="N1032" t="s">
        <v>1076</v>
      </c>
      <c r="O1032" t="s">
        <v>2514</v>
      </c>
      <c r="P1032" s="7">
        <v>6.37</v>
      </c>
      <c r="Q1032" s="1">
        <v>45458</v>
      </c>
      <c r="R1032">
        <f>WEEKNUM(Table2[[#This Row],[OrderDate]])</f>
        <v>24</v>
      </c>
      <c r="S1032" s="1">
        <v>45463</v>
      </c>
      <c r="T1032" t="s">
        <v>2917</v>
      </c>
    </row>
    <row r="1033" spans="1:20" x14ac:dyDescent="0.35">
      <c r="A1033" s="1">
        <v>45434</v>
      </c>
      <c r="B1033" t="s">
        <v>2930</v>
      </c>
      <c r="C1033" t="s">
        <v>23</v>
      </c>
      <c r="D1033" s="9">
        <v>6</v>
      </c>
      <c r="E1033" s="7">
        <v>535.38</v>
      </c>
      <c r="F1033" t="s">
        <v>28</v>
      </c>
      <c r="G1033" t="s">
        <v>30</v>
      </c>
      <c r="H1033" s="12">
        <v>0.15</v>
      </c>
      <c r="I1033" t="s">
        <v>33</v>
      </c>
      <c r="J1033" s="7">
        <f>Table2[[#This Row],[UnitPrice]]*Table2[[#This Row],[Quantity]]*(1-Table2[[#This Row],[Discount]])</f>
        <v>2730.4379999999996</v>
      </c>
      <c r="K1033" t="s">
        <v>38</v>
      </c>
      <c r="L1033" t="s">
        <v>2937</v>
      </c>
      <c r="M1033">
        <v>0</v>
      </c>
      <c r="N1033" t="s">
        <v>1077</v>
      </c>
      <c r="O1033" t="s">
        <v>2515</v>
      </c>
      <c r="P1033" s="7">
        <v>48.66</v>
      </c>
      <c r="Q1033" s="1">
        <v>45434</v>
      </c>
      <c r="R1033">
        <f>WEEKNUM(Table2[[#This Row],[OrderDate]])</f>
        <v>21</v>
      </c>
      <c r="S1033" s="1">
        <v>45441</v>
      </c>
      <c r="T1033" t="s">
        <v>2917</v>
      </c>
    </row>
    <row r="1034" spans="1:20" x14ac:dyDescent="0.35">
      <c r="A1034" s="1">
        <v>45305</v>
      </c>
      <c r="B1034" t="s">
        <v>2930</v>
      </c>
      <c r="C1034" t="s">
        <v>23</v>
      </c>
      <c r="D1034" s="9">
        <v>19</v>
      </c>
      <c r="E1034" s="7">
        <v>407.82</v>
      </c>
      <c r="F1034" t="s">
        <v>29</v>
      </c>
      <c r="G1034" t="s">
        <v>31</v>
      </c>
      <c r="H1034" s="12">
        <v>0.05</v>
      </c>
      <c r="I1034" t="s">
        <v>36</v>
      </c>
      <c r="J1034" s="7">
        <f>Table2[[#This Row],[UnitPrice]]*Table2[[#This Row],[Quantity]]*(1-Table2[[#This Row],[Discount]])</f>
        <v>7361.1509999999998</v>
      </c>
      <c r="K1034" t="s">
        <v>39</v>
      </c>
      <c r="L1034" t="s">
        <v>43</v>
      </c>
      <c r="M1034">
        <v>0</v>
      </c>
      <c r="N1034" t="s">
        <v>1078</v>
      </c>
      <c r="O1034" t="s">
        <v>2516</v>
      </c>
      <c r="P1034" s="7">
        <v>38.979999999999997</v>
      </c>
      <c r="Q1034" s="1">
        <v>45305</v>
      </c>
      <c r="R1034">
        <f>WEEKNUM(Table2[[#This Row],[OrderDate]])</f>
        <v>3</v>
      </c>
      <c r="S1034" s="1">
        <v>45309</v>
      </c>
      <c r="T1034" t="s">
        <v>2917</v>
      </c>
    </row>
    <row r="1035" spans="1:20" x14ac:dyDescent="0.35">
      <c r="A1035" s="1">
        <v>45596</v>
      </c>
      <c r="B1035" t="s">
        <v>2931</v>
      </c>
      <c r="C1035" t="s">
        <v>24</v>
      </c>
      <c r="D1035" s="9">
        <v>16</v>
      </c>
      <c r="E1035" s="7">
        <v>120.83</v>
      </c>
      <c r="F1035" t="s">
        <v>26</v>
      </c>
      <c r="G1035" t="s">
        <v>31</v>
      </c>
      <c r="H1035" s="12">
        <v>0.05</v>
      </c>
      <c r="I1035" t="s">
        <v>35</v>
      </c>
      <c r="J1035" s="7">
        <f>Table2[[#This Row],[UnitPrice]]*Table2[[#This Row],[Quantity]]*(1-Table2[[#This Row],[Discount]])</f>
        <v>1836.616</v>
      </c>
      <c r="K1035" t="s">
        <v>42</v>
      </c>
      <c r="L1035" t="s">
        <v>45</v>
      </c>
      <c r="M1035">
        <v>1</v>
      </c>
      <c r="N1035" t="s">
        <v>1079</v>
      </c>
      <c r="O1035" t="s">
        <v>1959</v>
      </c>
      <c r="P1035" s="7">
        <v>39.64</v>
      </c>
      <c r="Q1035" s="1">
        <v>45596</v>
      </c>
      <c r="R1035">
        <f>WEEKNUM(Table2[[#This Row],[OrderDate]])</f>
        <v>44</v>
      </c>
      <c r="S1035" s="1">
        <v>45598</v>
      </c>
      <c r="T1035" t="s">
        <v>2919</v>
      </c>
    </row>
    <row r="1036" spans="1:20" x14ac:dyDescent="0.35">
      <c r="A1036" s="1">
        <v>45405</v>
      </c>
      <c r="B1036" t="s">
        <v>2933</v>
      </c>
      <c r="C1036" t="s">
        <v>25</v>
      </c>
      <c r="D1036" s="9">
        <v>7</v>
      </c>
      <c r="E1036" s="7">
        <v>39.53</v>
      </c>
      <c r="F1036" t="s">
        <v>29</v>
      </c>
      <c r="G1036" t="s">
        <v>31</v>
      </c>
      <c r="H1036" s="12">
        <v>0.1</v>
      </c>
      <c r="I1036" t="s">
        <v>35</v>
      </c>
      <c r="J1036" s="7">
        <f>Table2[[#This Row],[UnitPrice]]*Table2[[#This Row],[Quantity]]*(1-Table2[[#This Row],[Discount]])</f>
        <v>249.03900000000004</v>
      </c>
      <c r="K1036" t="s">
        <v>41</v>
      </c>
      <c r="L1036" t="s">
        <v>45</v>
      </c>
      <c r="M1036">
        <v>0</v>
      </c>
      <c r="N1036" t="s">
        <v>1080</v>
      </c>
      <c r="O1036" t="s">
        <v>2517</v>
      </c>
      <c r="P1036" s="7">
        <v>18.16</v>
      </c>
      <c r="Q1036" s="1">
        <v>45405</v>
      </c>
      <c r="R1036">
        <f>WEEKNUM(Table2[[#This Row],[OrderDate]])</f>
        <v>17</v>
      </c>
      <c r="S1036" s="1">
        <v>45411</v>
      </c>
      <c r="T1036" t="s">
        <v>2921</v>
      </c>
    </row>
    <row r="1037" spans="1:20" x14ac:dyDescent="0.35">
      <c r="A1037" s="1">
        <v>45091</v>
      </c>
      <c r="B1037" t="s">
        <v>2932</v>
      </c>
      <c r="C1037" t="s">
        <v>24</v>
      </c>
      <c r="D1037" s="9">
        <v>2</v>
      </c>
      <c r="E1037" s="7">
        <v>224.08</v>
      </c>
      <c r="F1037" t="s">
        <v>27</v>
      </c>
      <c r="G1037" t="s">
        <v>31</v>
      </c>
      <c r="H1037" s="12">
        <v>0.05</v>
      </c>
      <c r="I1037" t="s">
        <v>34</v>
      </c>
      <c r="J1037" s="7">
        <f>Table2[[#This Row],[UnitPrice]]*Table2[[#This Row],[Quantity]]*(1-Table2[[#This Row],[Discount]])</f>
        <v>425.75200000000001</v>
      </c>
      <c r="K1037" t="s">
        <v>40</v>
      </c>
      <c r="L1037" t="s">
        <v>45</v>
      </c>
      <c r="M1037">
        <v>0</v>
      </c>
      <c r="N1037" t="s">
        <v>1081</v>
      </c>
      <c r="O1037" t="s">
        <v>2518</v>
      </c>
      <c r="P1037" s="7">
        <v>47.35</v>
      </c>
      <c r="Q1037" s="1">
        <v>45091</v>
      </c>
      <c r="R1037">
        <f>WEEKNUM(Table2[[#This Row],[OrderDate]])</f>
        <v>24</v>
      </c>
      <c r="S1037" s="1">
        <v>45097</v>
      </c>
      <c r="T1037" t="s">
        <v>2918</v>
      </c>
    </row>
    <row r="1038" spans="1:20" x14ac:dyDescent="0.35">
      <c r="A1038" s="1">
        <v>45350</v>
      </c>
      <c r="B1038" t="s">
        <v>2931</v>
      </c>
      <c r="C1038" t="s">
        <v>25</v>
      </c>
      <c r="D1038" s="9">
        <v>11</v>
      </c>
      <c r="E1038" s="7">
        <v>382.08</v>
      </c>
      <c r="F1038" t="s">
        <v>29</v>
      </c>
      <c r="G1038" t="s">
        <v>30</v>
      </c>
      <c r="H1038" s="12">
        <v>0.05</v>
      </c>
      <c r="I1038" t="s">
        <v>34</v>
      </c>
      <c r="J1038" s="7">
        <f>Table2[[#This Row],[UnitPrice]]*Table2[[#This Row],[Quantity]]*(1-Table2[[#This Row],[Discount]])</f>
        <v>3992.7359999999999</v>
      </c>
      <c r="K1038" t="s">
        <v>42</v>
      </c>
      <c r="L1038" t="s">
        <v>45</v>
      </c>
      <c r="M1038">
        <v>0</v>
      </c>
      <c r="N1038" t="s">
        <v>1082</v>
      </c>
      <c r="O1038" t="s">
        <v>2519</v>
      </c>
      <c r="P1038" s="7">
        <v>5.95</v>
      </c>
      <c r="Q1038" s="1">
        <v>45350</v>
      </c>
      <c r="R1038">
        <f>WEEKNUM(Table2[[#This Row],[OrderDate]])</f>
        <v>9</v>
      </c>
      <c r="S1038" s="1">
        <v>45353</v>
      </c>
      <c r="T1038" t="s">
        <v>2919</v>
      </c>
    </row>
    <row r="1039" spans="1:20" x14ac:dyDescent="0.35">
      <c r="A1039" s="1">
        <v>45462</v>
      </c>
      <c r="B1039" t="s">
        <v>2932</v>
      </c>
      <c r="C1039" t="s">
        <v>25</v>
      </c>
      <c r="D1039" s="9">
        <v>9</v>
      </c>
      <c r="E1039" s="7">
        <v>88.49</v>
      </c>
      <c r="F1039" t="s">
        <v>29</v>
      </c>
      <c r="G1039" t="s">
        <v>30</v>
      </c>
      <c r="H1039" s="12">
        <v>0.05</v>
      </c>
      <c r="I1039" t="s">
        <v>36</v>
      </c>
      <c r="J1039" s="7">
        <f>Table2[[#This Row],[UnitPrice]]*Table2[[#This Row],[Quantity]]*(1-Table2[[#This Row],[Discount]])</f>
        <v>756.58949999999993</v>
      </c>
      <c r="K1039" t="s">
        <v>38</v>
      </c>
      <c r="L1039" t="s">
        <v>2937</v>
      </c>
      <c r="M1039">
        <v>0</v>
      </c>
      <c r="N1039" t="s">
        <v>1083</v>
      </c>
      <c r="O1039" t="s">
        <v>2520</v>
      </c>
      <c r="P1039" s="7">
        <v>35.6</v>
      </c>
      <c r="Q1039" s="1">
        <v>45462</v>
      </c>
      <c r="R1039">
        <f>WEEKNUM(Table2[[#This Row],[OrderDate]])</f>
        <v>25</v>
      </c>
      <c r="S1039" s="1">
        <v>45469</v>
      </c>
      <c r="T1039" t="s">
        <v>2918</v>
      </c>
    </row>
    <row r="1040" spans="1:20" x14ac:dyDescent="0.35">
      <c r="A1040" s="1">
        <v>45003</v>
      </c>
      <c r="B1040" t="s">
        <v>2934</v>
      </c>
      <c r="C1040" t="s">
        <v>24</v>
      </c>
      <c r="D1040" s="9">
        <v>20</v>
      </c>
      <c r="E1040" s="7">
        <v>139.1</v>
      </c>
      <c r="F1040" t="s">
        <v>28</v>
      </c>
      <c r="G1040" t="s">
        <v>30</v>
      </c>
      <c r="H1040" s="12">
        <v>0.05</v>
      </c>
      <c r="I1040" t="s">
        <v>35</v>
      </c>
      <c r="J1040" s="7">
        <f>Table2[[#This Row],[UnitPrice]]*Table2[[#This Row],[Quantity]]*(1-Table2[[#This Row],[Discount]])</f>
        <v>2642.9</v>
      </c>
      <c r="K1040" t="s">
        <v>38</v>
      </c>
      <c r="L1040" t="s">
        <v>43</v>
      </c>
      <c r="M1040">
        <v>0</v>
      </c>
      <c r="N1040" t="s">
        <v>1084</v>
      </c>
      <c r="O1040" t="s">
        <v>2521</v>
      </c>
      <c r="P1040" s="7">
        <v>30.22</v>
      </c>
      <c r="Q1040" s="1">
        <v>45003</v>
      </c>
      <c r="R1040">
        <f>WEEKNUM(Table2[[#This Row],[OrderDate]])</f>
        <v>11</v>
      </c>
      <c r="S1040" s="1">
        <v>45005</v>
      </c>
      <c r="T1040" t="s">
        <v>2920</v>
      </c>
    </row>
    <row r="1041" spans="1:20" x14ac:dyDescent="0.35">
      <c r="A1041" s="1">
        <v>45006</v>
      </c>
      <c r="B1041" t="s">
        <v>2933</v>
      </c>
      <c r="C1041" t="s">
        <v>21</v>
      </c>
      <c r="D1041" s="9">
        <v>19</v>
      </c>
      <c r="E1041" s="7">
        <v>322.35000000000002</v>
      </c>
      <c r="F1041" t="s">
        <v>29</v>
      </c>
      <c r="G1041" t="s">
        <v>30</v>
      </c>
      <c r="H1041" s="12">
        <v>0.1</v>
      </c>
      <c r="I1041" t="s">
        <v>33</v>
      </c>
      <c r="J1041" s="7">
        <f>Table2[[#This Row],[UnitPrice]]*Table2[[#This Row],[Quantity]]*(1-Table2[[#This Row],[Discount]])</f>
        <v>5512.1850000000004</v>
      </c>
      <c r="K1041" t="s">
        <v>41</v>
      </c>
      <c r="L1041" t="s">
        <v>45</v>
      </c>
      <c r="M1041">
        <v>0</v>
      </c>
      <c r="N1041" t="s">
        <v>1085</v>
      </c>
      <c r="O1041" t="s">
        <v>2522</v>
      </c>
      <c r="P1041" s="7">
        <v>30.06</v>
      </c>
      <c r="Q1041" s="1">
        <v>45006</v>
      </c>
      <c r="R1041">
        <f>WEEKNUM(Table2[[#This Row],[OrderDate]])</f>
        <v>12</v>
      </c>
      <c r="S1041" s="1">
        <v>45016</v>
      </c>
      <c r="T1041" t="s">
        <v>2921</v>
      </c>
    </row>
    <row r="1042" spans="1:20" x14ac:dyDescent="0.35">
      <c r="A1042" s="1">
        <v>45440</v>
      </c>
      <c r="B1042" t="s">
        <v>2930</v>
      </c>
      <c r="C1042" t="s">
        <v>25</v>
      </c>
      <c r="D1042" s="9">
        <v>16</v>
      </c>
      <c r="E1042" s="7">
        <v>334.55</v>
      </c>
      <c r="F1042" t="s">
        <v>26</v>
      </c>
      <c r="G1042" t="s">
        <v>30</v>
      </c>
      <c r="H1042" s="12">
        <v>0.1</v>
      </c>
      <c r="I1042" t="s">
        <v>32</v>
      </c>
      <c r="J1042" s="7">
        <f>Table2[[#This Row],[UnitPrice]]*Table2[[#This Row],[Quantity]]*(1-Table2[[#This Row],[Discount]])</f>
        <v>4817.5200000000004</v>
      </c>
      <c r="K1042" t="s">
        <v>40</v>
      </c>
      <c r="L1042" t="s">
        <v>44</v>
      </c>
      <c r="M1042">
        <v>0</v>
      </c>
      <c r="N1042" t="s">
        <v>1086</v>
      </c>
      <c r="O1042" t="s">
        <v>2523</v>
      </c>
      <c r="P1042" s="7">
        <v>37.42</v>
      </c>
      <c r="Q1042" s="1">
        <v>45440</v>
      </c>
      <c r="R1042">
        <f>WEEKNUM(Table2[[#This Row],[OrderDate]])</f>
        <v>22</v>
      </c>
      <c r="S1042" s="1">
        <v>45444</v>
      </c>
      <c r="T1042" t="s">
        <v>2917</v>
      </c>
    </row>
    <row r="1043" spans="1:20" x14ac:dyDescent="0.35">
      <c r="A1043" s="1">
        <v>45012</v>
      </c>
      <c r="B1043" t="s">
        <v>2933</v>
      </c>
      <c r="C1043" t="s">
        <v>21</v>
      </c>
      <c r="D1043" s="9">
        <v>20</v>
      </c>
      <c r="E1043" s="7">
        <v>332.48</v>
      </c>
      <c r="F1043" t="s">
        <v>26</v>
      </c>
      <c r="G1043" t="s">
        <v>30</v>
      </c>
      <c r="H1043" s="12">
        <v>0</v>
      </c>
      <c r="I1043" t="s">
        <v>32</v>
      </c>
      <c r="J1043" s="7">
        <f>Table2[[#This Row],[UnitPrice]]*Table2[[#This Row],[Quantity]]*(1-Table2[[#This Row],[Discount]])</f>
        <v>6649.6</v>
      </c>
      <c r="K1043" t="s">
        <v>38</v>
      </c>
      <c r="L1043" t="s">
        <v>44</v>
      </c>
      <c r="M1043">
        <v>1</v>
      </c>
      <c r="N1043" t="s">
        <v>1087</v>
      </c>
      <c r="O1043" t="s">
        <v>2524</v>
      </c>
      <c r="P1043" s="7">
        <v>7.79</v>
      </c>
      <c r="Q1043" s="1">
        <v>45012</v>
      </c>
      <c r="R1043">
        <f>WEEKNUM(Table2[[#This Row],[OrderDate]])</f>
        <v>13</v>
      </c>
      <c r="S1043" s="1">
        <v>45015</v>
      </c>
      <c r="T1043" t="s">
        <v>2921</v>
      </c>
    </row>
    <row r="1044" spans="1:20" x14ac:dyDescent="0.35">
      <c r="A1044" s="1">
        <v>45096</v>
      </c>
      <c r="B1044" t="s">
        <v>2934</v>
      </c>
      <c r="C1044" t="s">
        <v>25</v>
      </c>
      <c r="D1044" s="9">
        <v>1</v>
      </c>
      <c r="E1044" s="7">
        <v>123.4</v>
      </c>
      <c r="F1044" t="s">
        <v>27</v>
      </c>
      <c r="G1044" t="s">
        <v>31</v>
      </c>
      <c r="H1044" s="12">
        <v>0</v>
      </c>
      <c r="I1044" t="s">
        <v>32</v>
      </c>
      <c r="J1044" s="7">
        <f>Table2[[#This Row],[UnitPrice]]*Table2[[#This Row],[Quantity]]*(1-Table2[[#This Row],[Discount]])</f>
        <v>123.4</v>
      </c>
      <c r="K1044" t="s">
        <v>42</v>
      </c>
      <c r="L1044" t="s">
        <v>2937</v>
      </c>
      <c r="M1044">
        <v>1</v>
      </c>
      <c r="N1044" t="s">
        <v>1088</v>
      </c>
      <c r="O1044" t="s">
        <v>2525</v>
      </c>
      <c r="P1044" s="7">
        <v>12.63</v>
      </c>
      <c r="Q1044" s="1">
        <v>45096</v>
      </c>
      <c r="R1044">
        <f>WEEKNUM(Table2[[#This Row],[OrderDate]])</f>
        <v>25</v>
      </c>
      <c r="S1044" s="1">
        <v>45102</v>
      </c>
      <c r="T1044" t="s">
        <v>2920</v>
      </c>
    </row>
    <row r="1045" spans="1:20" x14ac:dyDescent="0.35">
      <c r="A1045" s="1">
        <v>45230</v>
      </c>
      <c r="B1045" t="s">
        <v>2932</v>
      </c>
      <c r="C1045" t="s">
        <v>19</v>
      </c>
      <c r="D1045" s="9">
        <v>3</v>
      </c>
      <c r="E1045" s="7">
        <v>88.26</v>
      </c>
      <c r="F1045" t="s">
        <v>29</v>
      </c>
      <c r="G1045" t="s">
        <v>30</v>
      </c>
      <c r="H1045" s="12">
        <v>0.05</v>
      </c>
      <c r="I1045" t="s">
        <v>37</v>
      </c>
      <c r="J1045" s="7">
        <f>Table2[[#This Row],[UnitPrice]]*Table2[[#This Row],[Quantity]]*(1-Table2[[#This Row],[Discount]])</f>
        <v>251.54100000000003</v>
      </c>
      <c r="K1045" t="s">
        <v>41</v>
      </c>
      <c r="L1045" t="s">
        <v>43</v>
      </c>
      <c r="M1045">
        <v>0</v>
      </c>
      <c r="N1045" t="s">
        <v>1089</v>
      </c>
      <c r="O1045" t="s">
        <v>2526</v>
      </c>
      <c r="P1045" s="7">
        <v>46.45</v>
      </c>
      <c r="Q1045" s="1">
        <v>45230</v>
      </c>
      <c r="R1045">
        <f>WEEKNUM(Table2[[#This Row],[OrderDate]])</f>
        <v>44</v>
      </c>
      <c r="S1045" s="1">
        <v>45237</v>
      </c>
      <c r="T1045" t="s">
        <v>2918</v>
      </c>
    </row>
    <row r="1046" spans="1:20" x14ac:dyDescent="0.35">
      <c r="A1046" s="1">
        <v>45118</v>
      </c>
      <c r="B1046" t="s">
        <v>2933</v>
      </c>
      <c r="C1046" t="s">
        <v>20</v>
      </c>
      <c r="D1046" s="9">
        <v>13</v>
      </c>
      <c r="E1046" s="7">
        <v>50.51</v>
      </c>
      <c r="F1046" t="s">
        <v>29</v>
      </c>
      <c r="G1046" t="s">
        <v>30</v>
      </c>
      <c r="H1046" s="12">
        <v>0.1</v>
      </c>
      <c r="I1046" t="s">
        <v>33</v>
      </c>
      <c r="J1046" s="7">
        <f>Table2[[#This Row],[UnitPrice]]*Table2[[#This Row],[Quantity]]*(1-Table2[[#This Row],[Discount]])</f>
        <v>590.96699999999998</v>
      </c>
      <c r="K1046" t="s">
        <v>41</v>
      </c>
      <c r="L1046" t="s">
        <v>45</v>
      </c>
      <c r="M1046">
        <v>0</v>
      </c>
      <c r="N1046" t="s">
        <v>1090</v>
      </c>
      <c r="O1046" t="s">
        <v>2527</v>
      </c>
      <c r="P1046" s="7">
        <v>40.57</v>
      </c>
      <c r="Q1046" s="1">
        <v>45118</v>
      </c>
      <c r="R1046">
        <f>WEEKNUM(Table2[[#This Row],[OrderDate]])</f>
        <v>28</v>
      </c>
      <c r="S1046" s="1">
        <v>45125</v>
      </c>
      <c r="T1046" t="s">
        <v>2921</v>
      </c>
    </row>
    <row r="1047" spans="1:20" x14ac:dyDescent="0.35">
      <c r="A1047" s="1">
        <v>45065</v>
      </c>
      <c r="B1047" t="s">
        <v>2932</v>
      </c>
      <c r="C1047" t="s">
        <v>23</v>
      </c>
      <c r="D1047" s="9">
        <v>11</v>
      </c>
      <c r="E1047" s="7">
        <v>237.99</v>
      </c>
      <c r="F1047" t="s">
        <v>29</v>
      </c>
      <c r="G1047" t="s">
        <v>30</v>
      </c>
      <c r="H1047" s="12">
        <v>0.05</v>
      </c>
      <c r="I1047" t="s">
        <v>37</v>
      </c>
      <c r="J1047" s="7">
        <f>Table2[[#This Row],[UnitPrice]]*Table2[[#This Row],[Quantity]]*(1-Table2[[#This Row],[Discount]])</f>
        <v>2486.9955</v>
      </c>
      <c r="K1047" t="s">
        <v>41</v>
      </c>
      <c r="L1047" t="s">
        <v>43</v>
      </c>
      <c r="M1047">
        <v>0</v>
      </c>
      <c r="N1047" t="s">
        <v>1091</v>
      </c>
      <c r="O1047" t="s">
        <v>2528</v>
      </c>
      <c r="P1047" s="7">
        <v>44.7</v>
      </c>
      <c r="Q1047" s="1">
        <v>45065</v>
      </c>
      <c r="R1047">
        <f>WEEKNUM(Table2[[#This Row],[OrderDate]])</f>
        <v>20</v>
      </c>
      <c r="S1047" s="1">
        <v>45074</v>
      </c>
      <c r="T1047" t="s">
        <v>2918</v>
      </c>
    </row>
    <row r="1048" spans="1:20" x14ac:dyDescent="0.35">
      <c r="A1048" s="1">
        <v>45143</v>
      </c>
      <c r="B1048" t="s">
        <v>2931</v>
      </c>
      <c r="C1048" t="s">
        <v>22</v>
      </c>
      <c r="D1048" s="9">
        <v>7</v>
      </c>
      <c r="E1048" s="7">
        <v>294.95</v>
      </c>
      <c r="F1048" t="s">
        <v>29</v>
      </c>
      <c r="G1048" t="s">
        <v>30</v>
      </c>
      <c r="H1048" s="12">
        <v>0</v>
      </c>
      <c r="I1048" t="s">
        <v>34</v>
      </c>
      <c r="J1048" s="7">
        <f>Table2[[#This Row],[UnitPrice]]*Table2[[#This Row],[Quantity]]*(1-Table2[[#This Row],[Discount]])</f>
        <v>2064.65</v>
      </c>
      <c r="K1048" t="s">
        <v>38</v>
      </c>
      <c r="L1048" t="s">
        <v>43</v>
      </c>
      <c r="M1048">
        <v>0</v>
      </c>
      <c r="N1048" t="s">
        <v>1092</v>
      </c>
      <c r="O1048" t="s">
        <v>2529</v>
      </c>
      <c r="P1048" s="7">
        <v>15.78</v>
      </c>
      <c r="Q1048" s="1">
        <v>45143</v>
      </c>
      <c r="R1048">
        <f>WEEKNUM(Table2[[#This Row],[OrderDate]])</f>
        <v>31</v>
      </c>
      <c r="S1048" s="1">
        <v>45148</v>
      </c>
      <c r="T1048" t="s">
        <v>2919</v>
      </c>
    </row>
    <row r="1049" spans="1:20" x14ac:dyDescent="0.35">
      <c r="A1049" s="1">
        <v>45009</v>
      </c>
      <c r="B1049" t="s">
        <v>2933</v>
      </c>
      <c r="C1049" t="s">
        <v>21</v>
      </c>
      <c r="D1049" s="9">
        <v>8</v>
      </c>
      <c r="E1049" s="7">
        <v>384.3</v>
      </c>
      <c r="F1049" t="s">
        <v>28</v>
      </c>
      <c r="G1049" t="s">
        <v>30</v>
      </c>
      <c r="H1049" s="12">
        <v>0.1</v>
      </c>
      <c r="I1049" t="s">
        <v>34</v>
      </c>
      <c r="J1049" s="7">
        <f>Table2[[#This Row],[UnitPrice]]*Table2[[#This Row],[Quantity]]*(1-Table2[[#This Row],[Discount]])</f>
        <v>2766.96</v>
      </c>
      <c r="K1049" t="s">
        <v>39</v>
      </c>
      <c r="L1049" t="s">
        <v>43</v>
      </c>
      <c r="M1049">
        <v>0</v>
      </c>
      <c r="N1049" t="s">
        <v>1093</v>
      </c>
      <c r="O1049" t="s">
        <v>1668</v>
      </c>
      <c r="P1049" s="7">
        <v>48.83</v>
      </c>
      <c r="Q1049" s="1">
        <v>45009</v>
      </c>
      <c r="R1049">
        <f>WEEKNUM(Table2[[#This Row],[OrderDate]])</f>
        <v>12</v>
      </c>
      <c r="S1049" s="1">
        <v>45019</v>
      </c>
      <c r="T1049" t="s">
        <v>2921</v>
      </c>
    </row>
    <row r="1050" spans="1:20" x14ac:dyDescent="0.35">
      <c r="A1050" s="1">
        <v>45702</v>
      </c>
      <c r="B1050" t="s">
        <v>2933</v>
      </c>
      <c r="C1050" t="s">
        <v>23</v>
      </c>
      <c r="D1050" s="9">
        <v>1</v>
      </c>
      <c r="E1050" s="7">
        <v>378.35</v>
      </c>
      <c r="F1050" t="s">
        <v>28</v>
      </c>
      <c r="G1050" t="s">
        <v>30</v>
      </c>
      <c r="H1050" s="12">
        <v>0.05</v>
      </c>
      <c r="I1050" t="s">
        <v>36</v>
      </c>
      <c r="J1050" s="7">
        <f>Table2[[#This Row],[UnitPrice]]*Table2[[#This Row],[Quantity]]*(1-Table2[[#This Row],[Discount]])</f>
        <v>359.4325</v>
      </c>
      <c r="K1050" t="s">
        <v>42</v>
      </c>
      <c r="L1050" t="s">
        <v>43</v>
      </c>
      <c r="M1050">
        <v>0</v>
      </c>
      <c r="N1050" t="s">
        <v>1094</v>
      </c>
      <c r="O1050" t="s">
        <v>2028</v>
      </c>
      <c r="P1050" s="7">
        <v>20.97</v>
      </c>
      <c r="Q1050" s="1">
        <v>45702</v>
      </c>
      <c r="R1050">
        <f>WEEKNUM(Table2[[#This Row],[OrderDate]])</f>
        <v>7</v>
      </c>
      <c r="S1050" s="1">
        <v>45705</v>
      </c>
      <c r="T1050" t="s">
        <v>2921</v>
      </c>
    </row>
    <row r="1051" spans="1:20" x14ac:dyDescent="0.35">
      <c r="A1051" s="1">
        <v>45640</v>
      </c>
      <c r="B1051" t="s">
        <v>2931</v>
      </c>
      <c r="C1051" t="s">
        <v>21</v>
      </c>
      <c r="D1051" s="9">
        <v>1</v>
      </c>
      <c r="E1051" s="7">
        <v>461.35</v>
      </c>
      <c r="F1051" t="s">
        <v>29</v>
      </c>
      <c r="G1051" t="s">
        <v>31</v>
      </c>
      <c r="H1051" s="12">
        <v>0</v>
      </c>
      <c r="I1051" t="s">
        <v>37</v>
      </c>
      <c r="J1051" s="7">
        <f>Table2[[#This Row],[UnitPrice]]*Table2[[#This Row],[Quantity]]*(1-Table2[[#This Row],[Discount]])</f>
        <v>461.35</v>
      </c>
      <c r="K1051" t="s">
        <v>41</v>
      </c>
      <c r="L1051" t="s">
        <v>43</v>
      </c>
      <c r="M1051">
        <v>1</v>
      </c>
      <c r="N1051" t="s">
        <v>1095</v>
      </c>
      <c r="O1051" t="s">
        <v>2530</v>
      </c>
      <c r="P1051" s="7">
        <v>43.74</v>
      </c>
      <c r="Q1051" s="1">
        <v>45640</v>
      </c>
      <c r="R1051">
        <f>WEEKNUM(Table2[[#This Row],[OrderDate]])</f>
        <v>50</v>
      </c>
      <c r="S1051" s="1">
        <v>45642</v>
      </c>
      <c r="T1051" t="s">
        <v>2919</v>
      </c>
    </row>
    <row r="1052" spans="1:20" x14ac:dyDescent="0.35">
      <c r="A1052" s="1">
        <v>45105</v>
      </c>
      <c r="B1052" t="s">
        <v>2932</v>
      </c>
      <c r="C1052" t="s">
        <v>25</v>
      </c>
      <c r="D1052" s="9">
        <v>20</v>
      </c>
      <c r="E1052" s="7">
        <v>354.9</v>
      </c>
      <c r="F1052" t="s">
        <v>27</v>
      </c>
      <c r="G1052" t="s">
        <v>30</v>
      </c>
      <c r="H1052" s="12">
        <v>0</v>
      </c>
      <c r="I1052" t="s">
        <v>37</v>
      </c>
      <c r="J1052" s="7">
        <f>Table2[[#This Row],[UnitPrice]]*Table2[[#This Row],[Quantity]]*(1-Table2[[#This Row],[Discount]])</f>
        <v>7098</v>
      </c>
      <c r="K1052" t="s">
        <v>39</v>
      </c>
      <c r="L1052" t="s">
        <v>45</v>
      </c>
      <c r="M1052">
        <v>0</v>
      </c>
      <c r="N1052" t="s">
        <v>1096</v>
      </c>
      <c r="O1052" t="s">
        <v>2531</v>
      </c>
      <c r="P1052" s="7">
        <v>43.24</v>
      </c>
      <c r="Q1052" s="1">
        <v>45105</v>
      </c>
      <c r="R1052">
        <f>WEEKNUM(Table2[[#This Row],[OrderDate]])</f>
        <v>26</v>
      </c>
      <c r="S1052" s="1">
        <v>45108</v>
      </c>
      <c r="T1052" t="s">
        <v>2918</v>
      </c>
    </row>
    <row r="1053" spans="1:20" x14ac:dyDescent="0.35">
      <c r="A1053" s="1">
        <v>44950</v>
      </c>
      <c r="B1053" t="s">
        <v>2933</v>
      </c>
      <c r="C1053" t="s">
        <v>21</v>
      </c>
      <c r="D1053" s="9">
        <v>7</v>
      </c>
      <c r="E1053" s="7">
        <v>438.41</v>
      </c>
      <c r="F1053" t="s">
        <v>28</v>
      </c>
      <c r="G1053" t="s">
        <v>31</v>
      </c>
      <c r="H1053" s="12">
        <v>0.1</v>
      </c>
      <c r="I1053" t="s">
        <v>36</v>
      </c>
      <c r="J1053" s="7">
        <f>Table2[[#This Row],[UnitPrice]]*Table2[[#This Row],[Quantity]]*(1-Table2[[#This Row],[Discount]])</f>
        <v>2761.9830000000002</v>
      </c>
      <c r="K1053" t="s">
        <v>41</v>
      </c>
      <c r="L1053" t="s">
        <v>44</v>
      </c>
      <c r="M1053">
        <v>1</v>
      </c>
      <c r="N1053" t="s">
        <v>1097</v>
      </c>
      <c r="O1053" t="s">
        <v>2532</v>
      </c>
      <c r="P1053" s="7">
        <v>47.77</v>
      </c>
      <c r="Q1053" s="1">
        <v>44950</v>
      </c>
      <c r="R1053">
        <f>WEEKNUM(Table2[[#This Row],[OrderDate]])</f>
        <v>4</v>
      </c>
      <c r="S1053" s="1">
        <v>44954</v>
      </c>
      <c r="T1053" t="s">
        <v>2921</v>
      </c>
    </row>
    <row r="1054" spans="1:20" x14ac:dyDescent="0.35">
      <c r="A1054" s="1">
        <v>45464</v>
      </c>
      <c r="B1054" t="s">
        <v>2934</v>
      </c>
      <c r="C1054" t="s">
        <v>24</v>
      </c>
      <c r="D1054" s="9">
        <v>14</v>
      </c>
      <c r="E1054" s="7">
        <v>542.6</v>
      </c>
      <c r="F1054" t="s">
        <v>28</v>
      </c>
      <c r="G1054" t="s">
        <v>31</v>
      </c>
      <c r="H1054" s="12">
        <v>0.05</v>
      </c>
      <c r="I1054" t="s">
        <v>32</v>
      </c>
      <c r="J1054" s="7">
        <f>Table2[[#This Row],[UnitPrice]]*Table2[[#This Row],[Quantity]]*(1-Table2[[#This Row],[Discount]])</f>
        <v>7216.58</v>
      </c>
      <c r="K1054" t="s">
        <v>41</v>
      </c>
      <c r="L1054" t="s">
        <v>2937</v>
      </c>
      <c r="M1054">
        <v>0</v>
      </c>
      <c r="N1054" t="s">
        <v>1098</v>
      </c>
      <c r="O1054" t="s">
        <v>1979</v>
      </c>
      <c r="P1054" s="7">
        <v>44.76</v>
      </c>
      <c r="Q1054" s="1">
        <v>45464</v>
      </c>
      <c r="R1054">
        <f>WEEKNUM(Table2[[#This Row],[OrderDate]])</f>
        <v>25</v>
      </c>
      <c r="S1054" s="1">
        <v>45473</v>
      </c>
      <c r="T1054" t="s">
        <v>2920</v>
      </c>
    </row>
    <row r="1055" spans="1:20" x14ac:dyDescent="0.35">
      <c r="A1055" s="1">
        <v>45756</v>
      </c>
      <c r="B1055" t="s">
        <v>2931</v>
      </c>
      <c r="C1055" t="s">
        <v>25</v>
      </c>
      <c r="D1055" s="9">
        <v>3</v>
      </c>
      <c r="E1055" s="7">
        <v>238.82</v>
      </c>
      <c r="F1055" t="s">
        <v>28</v>
      </c>
      <c r="G1055" t="s">
        <v>31</v>
      </c>
      <c r="H1055" s="12">
        <v>0.1</v>
      </c>
      <c r="I1055" t="s">
        <v>37</v>
      </c>
      <c r="J1055" s="7">
        <f>Table2[[#This Row],[UnitPrice]]*Table2[[#This Row],[Quantity]]*(1-Table2[[#This Row],[Discount]])</f>
        <v>644.81400000000008</v>
      </c>
      <c r="K1055" t="s">
        <v>39</v>
      </c>
      <c r="L1055" t="s">
        <v>45</v>
      </c>
      <c r="M1055">
        <v>0</v>
      </c>
      <c r="N1055" t="s">
        <v>1099</v>
      </c>
      <c r="O1055" t="s">
        <v>2533</v>
      </c>
      <c r="P1055" s="7">
        <v>37.07</v>
      </c>
      <c r="Q1055" s="1">
        <v>45756</v>
      </c>
      <c r="R1055">
        <f>WEEKNUM(Table2[[#This Row],[OrderDate]])</f>
        <v>15</v>
      </c>
      <c r="S1055" s="1">
        <v>45765</v>
      </c>
      <c r="T1055" t="s">
        <v>2919</v>
      </c>
    </row>
    <row r="1056" spans="1:20" x14ac:dyDescent="0.35">
      <c r="A1056" s="1">
        <v>45668</v>
      </c>
      <c r="B1056" t="s">
        <v>2931</v>
      </c>
      <c r="C1056" t="s">
        <v>24</v>
      </c>
      <c r="D1056" s="9">
        <v>16</v>
      </c>
      <c r="E1056" s="7">
        <v>332.19</v>
      </c>
      <c r="F1056" t="s">
        <v>28</v>
      </c>
      <c r="G1056" t="s">
        <v>31</v>
      </c>
      <c r="H1056" s="12">
        <v>0.1</v>
      </c>
      <c r="I1056" t="s">
        <v>32</v>
      </c>
      <c r="J1056" s="7">
        <f>Table2[[#This Row],[UnitPrice]]*Table2[[#This Row],[Quantity]]*(1-Table2[[#This Row],[Discount]])</f>
        <v>4783.5360000000001</v>
      </c>
      <c r="K1056" t="s">
        <v>40</v>
      </c>
      <c r="L1056" t="s">
        <v>44</v>
      </c>
      <c r="M1056">
        <v>1</v>
      </c>
      <c r="N1056" t="s">
        <v>1100</v>
      </c>
      <c r="O1056" t="s">
        <v>2534</v>
      </c>
      <c r="P1056" s="7">
        <v>34.97</v>
      </c>
      <c r="Q1056" s="1">
        <v>45668</v>
      </c>
      <c r="R1056">
        <f>WEEKNUM(Table2[[#This Row],[OrderDate]])</f>
        <v>2</v>
      </c>
      <c r="S1056" s="1">
        <v>45676</v>
      </c>
      <c r="T1056" t="s">
        <v>2919</v>
      </c>
    </row>
    <row r="1057" spans="1:20" x14ac:dyDescent="0.35">
      <c r="A1057" s="1">
        <v>45486</v>
      </c>
      <c r="B1057" t="s">
        <v>2934</v>
      </c>
      <c r="C1057" t="s">
        <v>25</v>
      </c>
      <c r="D1057" s="9">
        <v>9</v>
      </c>
      <c r="E1057" s="7">
        <v>454.6</v>
      </c>
      <c r="F1057" t="s">
        <v>29</v>
      </c>
      <c r="G1057" t="s">
        <v>30</v>
      </c>
      <c r="H1057" s="12">
        <v>0.05</v>
      </c>
      <c r="I1057" t="s">
        <v>35</v>
      </c>
      <c r="J1057" s="7">
        <f>Table2[[#This Row],[UnitPrice]]*Table2[[#This Row],[Quantity]]*(1-Table2[[#This Row],[Discount]])</f>
        <v>3886.83</v>
      </c>
      <c r="K1057" t="s">
        <v>41</v>
      </c>
      <c r="L1057" t="s">
        <v>2937</v>
      </c>
      <c r="M1057">
        <v>0</v>
      </c>
      <c r="N1057" t="s">
        <v>1101</v>
      </c>
      <c r="O1057" t="s">
        <v>2535</v>
      </c>
      <c r="P1057" s="7">
        <v>32.86</v>
      </c>
      <c r="Q1057" s="1">
        <v>45486</v>
      </c>
      <c r="R1057">
        <f>WEEKNUM(Table2[[#This Row],[OrderDate]])</f>
        <v>28</v>
      </c>
      <c r="S1057" s="1">
        <v>45493</v>
      </c>
      <c r="T1057" t="s">
        <v>2920</v>
      </c>
    </row>
    <row r="1058" spans="1:20" x14ac:dyDescent="0.35">
      <c r="A1058" s="1">
        <v>45661</v>
      </c>
      <c r="B1058" t="s">
        <v>2933</v>
      </c>
      <c r="C1058" t="s">
        <v>25</v>
      </c>
      <c r="D1058" s="9">
        <v>6</v>
      </c>
      <c r="E1058" s="7">
        <v>540.54</v>
      </c>
      <c r="F1058" t="s">
        <v>27</v>
      </c>
      <c r="G1058" t="s">
        <v>31</v>
      </c>
      <c r="H1058" s="12">
        <v>0.05</v>
      </c>
      <c r="I1058" t="s">
        <v>35</v>
      </c>
      <c r="J1058" s="7">
        <f>Table2[[#This Row],[UnitPrice]]*Table2[[#This Row],[Quantity]]*(1-Table2[[#This Row],[Discount]])</f>
        <v>3081.0779999999995</v>
      </c>
      <c r="K1058" t="s">
        <v>41</v>
      </c>
      <c r="L1058" t="s">
        <v>44</v>
      </c>
      <c r="M1058">
        <v>0</v>
      </c>
      <c r="N1058" t="s">
        <v>1102</v>
      </c>
      <c r="O1058" t="s">
        <v>2536</v>
      </c>
      <c r="P1058" s="7">
        <v>19.77</v>
      </c>
      <c r="Q1058" s="1">
        <v>45661</v>
      </c>
      <c r="R1058">
        <f>WEEKNUM(Table2[[#This Row],[OrderDate]])</f>
        <v>1</v>
      </c>
      <c r="S1058" s="1">
        <v>45667</v>
      </c>
      <c r="T1058" t="s">
        <v>2921</v>
      </c>
    </row>
    <row r="1059" spans="1:20" x14ac:dyDescent="0.35">
      <c r="A1059" s="1">
        <v>45224</v>
      </c>
      <c r="B1059" t="s">
        <v>2933</v>
      </c>
      <c r="C1059" t="s">
        <v>21</v>
      </c>
      <c r="D1059" s="9">
        <v>14</v>
      </c>
      <c r="E1059" s="7">
        <v>147.37</v>
      </c>
      <c r="F1059" t="s">
        <v>29</v>
      </c>
      <c r="G1059" t="s">
        <v>30</v>
      </c>
      <c r="H1059" s="12">
        <v>0.15</v>
      </c>
      <c r="I1059" t="s">
        <v>34</v>
      </c>
      <c r="J1059" s="7">
        <f>Table2[[#This Row],[UnitPrice]]*Table2[[#This Row],[Quantity]]*(1-Table2[[#This Row],[Discount]])</f>
        <v>1753.7030000000002</v>
      </c>
      <c r="K1059" t="s">
        <v>41</v>
      </c>
      <c r="L1059" t="s">
        <v>45</v>
      </c>
      <c r="M1059">
        <v>1</v>
      </c>
      <c r="N1059" t="s">
        <v>1103</v>
      </c>
      <c r="O1059" t="s">
        <v>2537</v>
      </c>
      <c r="P1059" s="7">
        <v>45.75</v>
      </c>
      <c r="Q1059" s="1">
        <v>45224</v>
      </c>
      <c r="R1059">
        <f>WEEKNUM(Table2[[#This Row],[OrderDate]])</f>
        <v>43</v>
      </c>
      <c r="S1059" s="1">
        <v>45230</v>
      </c>
      <c r="T1059" t="s">
        <v>2921</v>
      </c>
    </row>
    <row r="1060" spans="1:20" x14ac:dyDescent="0.35">
      <c r="A1060" s="1">
        <v>45199</v>
      </c>
      <c r="B1060" t="s">
        <v>2932</v>
      </c>
      <c r="C1060" t="s">
        <v>19</v>
      </c>
      <c r="D1060" s="9">
        <v>7</v>
      </c>
      <c r="E1060" s="7">
        <v>421.12</v>
      </c>
      <c r="F1060" t="s">
        <v>29</v>
      </c>
      <c r="G1060" t="s">
        <v>30</v>
      </c>
      <c r="H1060" s="12">
        <v>0.15</v>
      </c>
      <c r="I1060" t="s">
        <v>36</v>
      </c>
      <c r="J1060" s="7">
        <f>Table2[[#This Row],[UnitPrice]]*Table2[[#This Row],[Quantity]]*(1-Table2[[#This Row],[Discount]])</f>
        <v>2505.6640000000002</v>
      </c>
      <c r="K1060" t="s">
        <v>39</v>
      </c>
      <c r="L1060" t="s">
        <v>2937</v>
      </c>
      <c r="M1060">
        <v>0</v>
      </c>
      <c r="N1060" t="s">
        <v>1104</v>
      </c>
      <c r="O1060" t="s">
        <v>2538</v>
      </c>
      <c r="P1060" s="7">
        <v>44.49</v>
      </c>
      <c r="Q1060" s="1">
        <v>45199</v>
      </c>
      <c r="R1060">
        <f>WEEKNUM(Table2[[#This Row],[OrderDate]])</f>
        <v>39</v>
      </c>
      <c r="S1060" s="1">
        <v>45201</v>
      </c>
      <c r="T1060" t="s">
        <v>2918</v>
      </c>
    </row>
    <row r="1061" spans="1:20" x14ac:dyDescent="0.35">
      <c r="A1061" s="1">
        <v>45001</v>
      </c>
      <c r="B1061" t="s">
        <v>2931</v>
      </c>
      <c r="C1061" t="s">
        <v>20</v>
      </c>
      <c r="D1061" s="9">
        <v>20</v>
      </c>
      <c r="E1061" s="7">
        <v>436.32</v>
      </c>
      <c r="F1061" t="s">
        <v>29</v>
      </c>
      <c r="G1061" t="s">
        <v>31</v>
      </c>
      <c r="H1061" s="12">
        <v>0</v>
      </c>
      <c r="I1061" t="s">
        <v>36</v>
      </c>
      <c r="J1061" s="7">
        <f>Table2[[#This Row],[UnitPrice]]*Table2[[#This Row],[Quantity]]*(1-Table2[[#This Row],[Discount]])</f>
        <v>8726.4</v>
      </c>
      <c r="K1061" t="s">
        <v>40</v>
      </c>
      <c r="L1061" t="s">
        <v>43</v>
      </c>
      <c r="M1061">
        <v>1</v>
      </c>
      <c r="N1061" t="s">
        <v>1105</v>
      </c>
      <c r="O1061" t="s">
        <v>2539</v>
      </c>
      <c r="P1061" s="7">
        <v>37.49</v>
      </c>
      <c r="Q1061" s="1">
        <v>45001</v>
      </c>
      <c r="R1061">
        <f>WEEKNUM(Table2[[#This Row],[OrderDate]])</f>
        <v>11</v>
      </c>
      <c r="S1061" s="1">
        <v>45011</v>
      </c>
      <c r="T1061" t="s">
        <v>2919</v>
      </c>
    </row>
    <row r="1062" spans="1:20" x14ac:dyDescent="0.35">
      <c r="A1062" s="1">
        <v>45133</v>
      </c>
      <c r="B1062" t="s">
        <v>2931</v>
      </c>
      <c r="C1062" t="s">
        <v>19</v>
      </c>
      <c r="D1062" s="9">
        <v>18</v>
      </c>
      <c r="E1062" s="7">
        <v>436.83</v>
      </c>
      <c r="F1062" t="s">
        <v>27</v>
      </c>
      <c r="G1062" t="s">
        <v>30</v>
      </c>
      <c r="H1062" s="12">
        <v>0.1</v>
      </c>
      <c r="I1062" t="s">
        <v>37</v>
      </c>
      <c r="J1062" s="7">
        <f>Table2[[#This Row],[UnitPrice]]*Table2[[#This Row],[Quantity]]*(1-Table2[[#This Row],[Discount]])</f>
        <v>7076.6459999999997</v>
      </c>
      <c r="K1062" t="s">
        <v>40</v>
      </c>
      <c r="L1062" t="s">
        <v>44</v>
      </c>
      <c r="M1062">
        <v>0</v>
      </c>
      <c r="N1062" t="s">
        <v>1106</v>
      </c>
      <c r="O1062" t="s">
        <v>2084</v>
      </c>
      <c r="P1062" s="7">
        <v>28.8</v>
      </c>
      <c r="Q1062" s="1">
        <v>45133</v>
      </c>
      <c r="R1062">
        <f>WEEKNUM(Table2[[#This Row],[OrderDate]])</f>
        <v>30</v>
      </c>
      <c r="S1062" s="1">
        <v>45140</v>
      </c>
      <c r="T1062" t="s">
        <v>2919</v>
      </c>
    </row>
    <row r="1063" spans="1:20" x14ac:dyDescent="0.35">
      <c r="A1063" s="1">
        <v>45117</v>
      </c>
      <c r="B1063" t="s">
        <v>2930</v>
      </c>
      <c r="C1063" t="s">
        <v>23</v>
      </c>
      <c r="D1063" s="9">
        <v>2</v>
      </c>
      <c r="E1063" s="7">
        <v>327.57</v>
      </c>
      <c r="F1063" t="s">
        <v>27</v>
      </c>
      <c r="G1063" t="s">
        <v>31</v>
      </c>
      <c r="H1063" s="12">
        <v>0.05</v>
      </c>
      <c r="I1063" t="s">
        <v>36</v>
      </c>
      <c r="J1063" s="7">
        <f>Table2[[#This Row],[UnitPrice]]*Table2[[#This Row],[Quantity]]*(1-Table2[[#This Row],[Discount]])</f>
        <v>622.38299999999992</v>
      </c>
      <c r="K1063" t="s">
        <v>41</v>
      </c>
      <c r="L1063" t="s">
        <v>2937</v>
      </c>
      <c r="M1063">
        <v>0</v>
      </c>
      <c r="N1063" t="s">
        <v>1107</v>
      </c>
      <c r="O1063" t="s">
        <v>2540</v>
      </c>
      <c r="P1063" s="7">
        <v>19.489999999999998</v>
      </c>
      <c r="Q1063" s="1">
        <v>45117</v>
      </c>
      <c r="R1063">
        <f>WEEKNUM(Table2[[#This Row],[OrderDate]])</f>
        <v>28</v>
      </c>
      <c r="S1063" s="1">
        <v>45126</v>
      </c>
      <c r="T1063" t="s">
        <v>2917</v>
      </c>
    </row>
    <row r="1064" spans="1:20" x14ac:dyDescent="0.35">
      <c r="A1064" s="1">
        <v>45510</v>
      </c>
      <c r="B1064" t="s">
        <v>2930</v>
      </c>
      <c r="C1064" t="s">
        <v>25</v>
      </c>
      <c r="D1064" s="9">
        <v>18</v>
      </c>
      <c r="E1064" s="7">
        <v>166.92</v>
      </c>
      <c r="F1064" t="s">
        <v>28</v>
      </c>
      <c r="G1064" t="s">
        <v>30</v>
      </c>
      <c r="H1064" s="12">
        <v>0.05</v>
      </c>
      <c r="I1064" t="s">
        <v>33</v>
      </c>
      <c r="J1064" s="7">
        <f>Table2[[#This Row],[UnitPrice]]*Table2[[#This Row],[Quantity]]*(1-Table2[[#This Row],[Discount]])</f>
        <v>2854.3319999999999</v>
      </c>
      <c r="K1064" t="s">
        <v>39</v>
      </c>
      <c r="L1064" t="s">
        <v>45</v>
      </c>
      <c r="M1064">
        <v>0</v>
      </c>
      <c r="N1064" t="s">
        <v>1108</v>
      </c>
      <c r="O1064" t="s">
        <v>2541</v>
      </c>
      <c r="P1064" s="7">
        <v>9.35</v>
      </c>
      <c r="Q1064" s="1">
        <v>45510</v>
      </c>
      <c r="R1064">
        <f>WEEKNUM(Table2[[#This Row],[OrderDate]])</f>
        <v>32</v>
      </c>
      <c r="S1064" s="1">
        <v>45520</v>
      </c>
      <c r="T1064" t="s">
        <v>2917</v>
      </c>
    </row>
    <row r="1065" spans="1:20" x14ac:dyDescent="0.35">
      <c r="A1065" s="1">
        <v>45489</v>
      </c>
      <c r="B1065" t="s">
        <v>2934</v>
      </c>
      <c r="C1065" t="s">
        <v>20</v>
      </c>
      <c r="D1065" s="9">
        <v>14</v>
      </c>
      <c r="E1065" s="7">
        <v>300.38</v>
      </c>
      <c r="F1065" t="s">
        <v>27</v>
      </c>
      <c r="G1065" t="s">
        <v>31</v>
      </c>
      <c r="H1065" s="12">
        <v>0.1</v>
      </c>
      <c r="I1065" t="s">
        <v>33</v>
      </c>
      <c r="J1065" s="7">
        <f>Table2[[#This Row],[UnitPrice]]*Table2[[#This Row],[Quantity]]*(1-Table2[[#This Row],[Discount]])</f>
        <v>3784.788</v>
      </c>
      <c r="K1065" t="s">
        <v>38</v>
      </c>
      <c r="L1065" t="s">
        <v>2937</v>
      </c>
      <c r="M1065">
        <v>0</v>
      </c>
      <c r="N1065" t="s">
        <v>1109</v>
      </c>
      <c r="O1065" t="s">
        <v>2542</v>
      </c>
      <c r="P1065" s="7">
        <v>38.6</v>
      </c>
      <c r="Q1065" s="1">
        <v>45489</v>
      </c>
      <c r="R1065">
        <f>WEEKNUM(Table2[[#This Row],[OrderDate]])</f>
        <v>29</v>
      </c>
      <c r="S1065" s="1">
        <v>45492</v>
      </c>
      <c r="T1065" t="s">
        <v>2920</v>
      </c>
    </row>
    <row r="1066" spans="1:20" x14ac:dyDescent="0.35">
      <c r="A1066" s="1">
        <v>45322</v>
      </c>
      <c r="B1066" t="s">
        <v>2931</v>
      </c>
      <c r="C1066" t="s">
        <v>25</v>
      </c>
      <c r="D1066" s="9">
        <v>5</v>
      </c>
      <c r="E1066" s="7">
        <v>232.29</v>
      </c>
      <c r="F1066" t="s">
        <v>27</v>
      </c>
      <c r="G1066" t="s">
        <v>30</v>
      </c>
      <c r="H1066" s="12">
        <v>0</v>
      </c>
      <c r="I1066" t="s">
        <v>33</v>
      </c>
      <c r="J1066" s="7">
        <f>Table2[[#This Row],[UnitPrice]]*Table2[[#This Row],[Quantity]]*(1-Table2[[#This Row],[Discount]])</f>
        <v>1161.45</v>
      </c>
      <c r="K1066" t="s">
        <v>38</v>
      </c>
      <c r="L1066" t="s">
        <v>2937</v>
      </c>
      <c r="M1066">
        <v>1</v>
      </c>
      <c r="N1066" t="s">
        <v>1110</v>
      </c>
      <c r="O1066" t="s">
        <v>2543</v>
      </c>
      <c r="P1066" s="7">
        <v>42.38</v>
      </c>
      <c r="Q1066" s="1">
        <v>45322</v>
      </c>
      <c r="R1066">
        <f>WEEKNUM(Table2[[#This Row],[OrderDate]])</f>
        <v>5</v>
      </c>
      <c r="S1066" s="1">
        <v>45331</v>
      </c>
      <c r="T1066" t="s">
        <v>2919</v>
      </c>
    </row>
    <row r="1067" spans="1:20" x14ac:dyDescent="0.35">
      <c r="A1067" s="1">
        <v>45038</v>
      </c>
      <c r="B1067" t="s">
        <v>2934</v>
      </c>
      <c r="C1067" t="s">
        <v>24</v>
      </c>
      <c r="D1067" s="9">
        <v>1</v>
      </c>
      <c r="E1067" s="7">
        <v>173.44</v>
      </c>
      <c r="F1067" t="s">
        <v>27</v>
      </c>
      <c r="G1067" t="s">
        <v>31</v>
      </c>
      <c r="H1067" s="12">
        <v>0</v>
      </c>
      <c r="I1067" t="s">
        <v>37</v>
      </c>
      <c r="J1067" s="7">
        <f>Table2[[#This Row],[UnitPrice]]*Table2[[#This Row],[Quantity]]*(1-Table2[[#This Row],[Discount]])</f>
        <v>173.44</v>
      </c>
      <c r="K1067" t="s">
        <v>39</v>
      </c>
      <c r="L1067" t="s">
        <v>43</v>
      </c>
      <c r="M1067">
        <v>0</v>
      </c>
      <c r="N1067" t="s">
        <v>1111</v>
      </c>
      <c r="O1067" t="s">
        <v>2544</v>
      </c>
      <c r="P1067" s="7">
        <v>32.83</v>
      </c>
      <c r="Q1067" s="1">
        <v>45038</v>
      </c>
      <c r="R1067">
        <f>WEEKNUM(Table2[[#This Row],[OrderDate]])</f>
        <v>16</v>
      </c>
      <c r="S1067" s="1">
        <v>45040</v>
      </c>
      <c r="T1067" t="s">
        <v>2920</v>
      </c>
    </row>
    <row r="1068" spans="1:20" x14ac:dyDescent="0.35">
      <c r="A1068" s="1">
        <v>45692</v>
      </c>
      <c r="B1068" t="s">
        <v>2930</v>
      </c>
      <c r="C1068" t="s">
        <v>20</v>
      </c>
      <c r="D1068" s="9">
        <v>9</v>
      </c>
      <c r="E1068" s="7">
        <v>256.14</v>
      </c>
      <c r="F1068" t="s">
        <v>27</v>
      </c>
      <c r="G1068" t="s">
        <v>31</v>
      </c>
      <c r="H1068" s="12">
        <v>0.15</v>
      </c>
      <c r="I1068" t="s">
        <v>34</v>
      </c>
      <c r="J1068" s="7">
        <f>Table2[[#This Row],[UnitPrice]]*Table2[[#This Row],[Quantity]]*(1-Table2[[#This Row],[Discount]])</f>
        <v>1959.4709999999998</v>
      </c>
      <c r="K1068" t="s">
        <v>40</v>
      </c>
      <c r="L1068" t="s">
        <v>44</v>
      </c>
      <c r="M1068">
        <v>1</v>
      </c>
      <c r="N1068" t="s">
        <v>1112</v>
      </c>
      <c r="O1068" t="s">
        <v>2545</v>
      </c>
      <c r="P1068" s="7">
        <v>5.21</v>
      </c>
      <c r="Q1068" s="1">
        <v>45692</v>
      </c>
      <c r="R1068">
        <f>WEEKNUM(Table2[[#This Row],[OrderDate]])</f>
        <v>6</v>
      </c>
      <c r="S1068" s="1">
        <v>45695</v>
      </c>
      <c r="T1068" t="s">
        <v>2917</v>
      </c>
    </row>
    <row r="1069" spans="1:20" x14ac:dyDescent="0.35">
      <c r="A1069" s="1">
        <v>45529</v>
      </c>
      <c r="B1069" t="s">
        <v>2934</v>
      </c>
      <c r="C1069" t="s">
        <v>19</v>
      </c>
      <c r="D1069" s="9">
        <v>12</v>
      </c>
      <c r="E1069" s="7">
        <v>461.3</v>
      </c>
      <c r="F1069" t="s">
        <v>29</v>
      </c>
      <c r="G1069" t="s">
        <v>30</v>
      </c>
      <c r="H1069" s="12">
        <v>0.15</v>
      </c>
      <c r="I1069" t="s">
        <v>36</v>
      </c>
      <c r="J1069" s="7">
        <f>Table2[[#This Row],[UnitPrice]]*Table2[[#This Row],[Quantity]]*(1-Table2[[#This Row],[Discount]])</f>
        <v>4705.26</v>
      </c>
      <c r="K1069" t="s">
        <v>39</v>
      </c>
      <c r="L1069" t="s">
        <v>43</v>
      </c>
      <c r="M1069">
        <v>0</v>
      </c>
      <c r="N1069" t="s">
        <v>1113</v>
      </c>
      <c r="O1069" t="s">
        <v>2546</v>
      </c>
      <c r="P1069" s="7">
        <v>8.6</v>
      </c>
      <c r="Q1069" s="1">
        <v>45529</v>
      </c>
      <c r="R1069">
        <f>WEEKNUM(Table2[[#This Row],[OrderDate]])</f>
        <v>35</v>
      </c>
      <c r="S1069" s="1">
        <v>45538</v>
      </c>
      <c r="T1069" t="s">
        <v>2920</v>
      </c>
    </row>
    <row r="1070" spans="1:20" x14ac:dyDescent="0.35">
      <c r="A1070" s="1">
        <v>45168</v>
      </c>
      <c r="B1070" t="s">
        <v>2930</v>
      </c>
      <c r="C1070" t="s">
        <v>20</v>
      </c>
      <c r="D1070" s="9">
        <v>1</v>
      </c>
      <c r="E1070" s="7">
        <v>193.08</v>
      </c>
      <c r="F1070" t="s">
        <v>27</v>
      </c>
      <c r="G1070" t="s">
        <v>30</v>
      </c>
      <c r="H1070" s="12">
        <v>0.05</v>
      </c>
      <c r="I1070" t="s">
        <v>34</v>
      </c>
      <c r="J1070" s="7">
        <f>Table2[[#This Row],[UnitPrice]]*Table2[[#This Row],[Quantity]]*(1-Table2[[#This Row],[Discount]])</f>
        <v>183.42600000000002</v>
      </c>
      <c r="K1070" t="s">
        <v>38</v>
      </c>
      <c r="L1070" t="s">
        <v>44</v>
      </c>
      <c r="M1070">
        <v>0</v>
      </c>
      <c r="N1070" t="s">
        <v>1114</v>
      </c>
      <c r="O1070" t="s">
        <v>2337</v>
      </c>
      <c r="P1070" s="7">
        <v>23.99</v>
      </c>
      <c r="Q1070" s="1">
        <v>45168</v>
      </c>
      <c r="R1070">
        <f>WEEKNUM(Table2[[#This Row],[OrderDate]])</f>
        <v>35</v>
      </c>
      <c r="S1070" s="1">
        <v>45174</v>
      </c>
      <c r="T1070" t="s">
        <v>2917</v>
      </c>
    </row>
    <row r="1071" spans="1:20" x14ac:dyDescent="0.35">
      <c r="A1071" s="1">
        <v>45175</v>
      </c>
      <c r="B1071" t="s">
        <v>2933</v>
      </c>
      <c r="C1071" t="s">
        <v>22</v>
      </c>
      <c r="D1071" s="9">
        <v>3</v>
      </c>
      <c r="E1071" s="7">
        <v>312.97000000000003</v>
      </c>
      <c r="F1071" t="s">
        <v>28</v>
      </c>
      <c r="G1071" t="s">
        <v>31</v>
      </c>
      <c r="H1071" s="12">
        <v>0.05</v>
      </c>
      <c r="I1071" t="s">
        <v>32</v>
      </c>
      <c r="J1071" s="7">
        <f>Table2[[#This Row],[UnitPrice]]*Table2[[#This Row],[Quantity]]*(1-Table2[[#This Row],[Discount]])</f>
        <v>891.96450000000004</v>
      </c>
      <c r="K1071" t="s">
        <v>40</v>
      </c>
      <c r="L1071" t="s">
        <v>2937</v>
      </c>
      <c r="M1071">
        <v>1</v>
      </c>
      <c r="N1071" t="s">
        <v>1115</v>
      </c>
      <c r="O1071" t="s">
        <v>2547</v>
      </c>
      <c r="P1071" s="7">
        <v>20.059999999999999</v>
      </c>
      <c r="Q1071" s="1">
        <v>45175</v>
      </c>
      <c r="R1071">
        <f>WEEKNUM(Table2[[#This Row],[OrderDate]])</f>
        <v>36</v>
      </c>
      <c r="S1071" s="1">
        <v>45181</v>
      </c>
      <c r="T1071" t="s">
        <v>2921</v>
      </c>
    </row>
    <row r="1072" spans="1:20" x14ac:dyDescent="0.35">
      <c r="A1072" s="1">
        <v>45790</v>
      </c>
      <c r="B1072" t="s">
        <v>2932</v>
      </c>
      <c r="C1072" t="s">
        <v>19</v>
      </c>
      <c r="D1072" s="9">
        <v>6</v>
      </c>
      <c r="E1072" s="7">
        <v>214.14</v>
      </c>
      <c r="F1072" t="s">
        <v>29</v>
      </c>
      <c r="G1072" t="s">
        <v>30</v>
      </c>
      <c r="H1072" s="12">
        <v>0.05</v>
      </c>
      <c r="I1072" t="s">
        <v>36</v>
      </c>
      <c r="J1072" s="7">
        <f>Table2[[#This Row],[UnitPrice]]*Table2[[#This Row],[Quantity]]*(1-Table2[[#This Row],[Discount]])</f>
        <v>1220.598</v>
      </c>
      <c r="K1072" t="s">
        <v>42</v>
      </c>
      <c r="L1072" t="s">
        <v>43</v>
      </c>
      <c r="M1072">
        <v>0</v>
      </c>
      <c r="N1072" t="s">
        <v>1116</v>
      </c>
      <c r="O1072" t="s">
        <v>2548</v>
      </c>
      <c r="P1072" s="7">
        <v>44.86</v>
      </c>
      <c r="Q1072" s="1">
        <v>45790</v>
      </c>
      <c r="R1072">
        <f>WEEKNUM(Table2[[#This Row],[OrderDate]])</f>
        <v>20</v>
      </c>
      <c r="S1072" s="1">
        <v>45798</v>
      </c>
      <c r="T1072" t="s">
        <v>2918</v>
      </c>
    </row>
    <row r="1073" spans="1:20" x14ac:dyDescent="0.35">
      <c r="A1073" s="1">
        <v>45228</v>
      </c>
      <c r="B1073" t="s">
        <v>2931</v>
      </c>
      <c r="C1073" t="s">
        <v>20</v>
      </c>
      <c r="D1073" s="9">
        <v>4</v>
      </c>
      <c r="E1073" s="7">
        <v>59.8</v>
      </c>
      <c r="F1073" t="s">
        <v>29</v>
      </c>
      <c r="G1073" t="s">
        <v>31</v>
      </c>
      <c r="H1073" s="12">
        <v>0.1</v>
      </c>
      <c r="I1073" t="s">
        <v>34</v>
      </c>
      <c r="J1073" s="7">
        <f>Table2[[#This Row],[UnitPrice]]*Table2[[#This Row],[Quantity]]*(1-Table2[[#This Row],[Discount]])</f>
        <v>215.28</v>
      </c>
      <c r="K1073" t="s">
        <v>38</v>
      </c>
      <c r="L1073" t="s">
        <v>43</v>
      </c>
      <c r="M1073">
        <v>0</v>
      </c>
      <c r="N1073" t="s">
        <v>1117</v>
      </c>
      <c r="O1073" t="s">
        <v>2549</v>
      </c>
      <c r="P1073" s="7">
        <v>42.59</v>
      </c>
      <c r="Q1073" s="1">
        <v>45228</v>
      </c>
      <c r="R1073">
        <f>WEEKNUM(Table2[[#This Row],[OrderDate]])</f>
        <v>44</v>
      </c>
      <c r="S1073" s="1">
        <v>45236</v>
      </c>
      <c r="T1073" t="s">
        <v>2919</v>
      </c>
    </row>
    <row r="1074" spans="1:20" x14ac:dyDescent="0.35">
      <c r="A1074" s="1">
        <v>45455</v>
      </c>
      <c r="B1074" t="s">
        <v>2930</v>
      </c>
      <c r="C1074" t="s">
        <v>19</v>
      </c>
      <c r="D1074" s="9">
        <v>9</v>
      </c>
      <c r="E1074" s="7">
        <v>418</v>
      </c>
      <c r="F1074" t="s">
        <v>28</v>
      </c>
      <c r="G1074" t="s">
        <v>30</v>
      </c>
      <c r="H1074" s="12">
        <v>0</v>
      </c>
      <c r="I1074" t="s">
        <v>37</v>
      </c>
      <c r="J1074" s="7">
        <f>Table2[[#This Row],[UnitPrice]]*Table2[[#This Row],[Quantity]]*(1-Table2[[#This Row],[Discount]])</f>
        <v>3762</v>
      </c>
      <c r="K1074" t="s">
        <v>40</v>
      </c>
      <c r="L1074" t="s">
        <v>45</v>
      </c>
      <c r="M1074">
        <v>0</v>
      </c>
      <c r="N1074" t="s">
        <v>1118</v>
      </c>
      <c r="O1074" t="s">
        <v>2550</v>
      </c>
      <c r="P1074" s="7">
        <v>30.45</v>
      </c>
      <c r="Q1074" s="1">
        <v>45455</v>
      </c>
      <c r="R1074">
        <f>WEEKNUM(Table2[[#This Row],[OrderDate]])</f>
        <v>24</v>
      </c>
      <c r="S1074" s="1">
        <v>45461</v>
      </c>
      <c r="T1074" t="s">
        <v>2917</v>
      </c>
    </row>
    <row r="1075" spans="1:20" x14ac:dyDescent="0.35">
      <c r="A1075" s="1">
        <v>44959</v>
      </c>
      <c r="B1075" t="s">
        <v>2932</v>
      </c>
      <c r="C1075" t="s">
        <v>22</v>
      </c>
      <c r="D1075" s="9">
        <v>1</v>
      </c>
      <c r="E1075" s="7">
        <v>80.959999999999994</v>
      </c>
      <c r="F1075" t="s">
        <v>27</v>
      </c>
      <c r="G1075" t="s">
        <v>30</v>
      </c>
      <c r="H1075" s="12">
        <v>0</v>
      </c>
      <c r="I1075" t="s">
        <v>37</v>
      </c>
      <c r="J1075" s="7">
        <f>Table2[[#This Row],[UnitPrice]]*Table2[[#This Row],[Quantity]]*(1-Table2[[#This Row],[Discount]])</f>
        <v>80.959999999999994</v>
      </c>
      <c r="K1075" t="s">
        <v>40</v>
      </c>
      <c r="L1075" t="s">
        <v>43</v>
      </c>
      <c r="M1075">
        <v>0</v>
      </c>
      <c r="N1075" t="s">
        <v>1119</v>
      </c>
      <c r="O1075" t="s">
        <v>2551</v>
      </c>
      <c r="P1075" s="7">
        <v>48.07</v>
      </c>
      <c r="Q1075" s="1">
        <v>44959</v>
      </c>
      <c r="R1075">
        <f>WEEKNUM(Table2[[#This Row],[OrderDate]])</f>
        <v>5</v>
      </c>
      <c r="S1075" s="1">
        <v>44962</v>
      </c>
      <c r="T1075" t="s">
        <v>2918</v>
      </c>
    </row>
    <row r="1076" spans="1:20" x14ac:dyDescent="0.35">
      <c r="A1076" s="1">
        <v>45050</v>
      </c>
      <c r="B1076" t="s">
        <v>2930</v>
      </c>
      <c r="C1076" t="s">
        <v>20</v>
      </c>
      <c r="D1076" s="9">
        <v>20</v>
      </c>
      <c r="E1076" s="7">
        <v>42.12</v>
      </c>
      <c r="F1076" t="s">
        <v>26</v>
      </c>
      <c r="G1076" t="s">
        <v>30</v>
      </c>
      <c r="H1076" s="12">
        <v>0.15</v>
      </c>
      <c r="I1076" t="s">
        <v>33</v>
      </c>
      <c r="J1076" s="7">
        <f>Table2[[#This Row],[UnitPrice]]*Table2[[#This Row],[Quantity]]*(1-Table2[[#This Row],[Discount]])</f>
        <v>716.04</v>
      </c>
      <c r="K1076" t="s">
        <v>40</v>
      </c>
      <c r="L1076" t="s">
        <v>2937</v>
      </c>
      <c r="M1076">
        <v>0</v>
      </c>
      <c r="N1076" t="s">
        <v>1120</v>
      </c>
      <c r="O1076" t="s">
        <v>2552</v>
      </c>
      <c r="P1076" s="7">
        <v>43.22</v>
      </c>
      <c r="Q1076" s="1">
        <v>45050</v>
      </c>
      <c r="R1076">
        <f>WEEKNUM(Table2[[#This Row],[OrderDate]])</f>
        <v>18</v>
      </c>
      <c r="S1076" s="1">
        <v>45058</v>
      </c>
      <c r="T1076" t="s">
        <v>2917</v>
      </c>
    </row>
    <row r="1077" spans="1:20" x14ac:dyDescent="0.35">
      <c r="A1077" s="1">
        <v>45070</v>
      </c>
      <c r="B1077" t="s">
        <v>2933</v>
      </c>
      <c r="C1077" t="s">
        <v>23</v>
      </c>
      <c r="D1077" s="9">
        <v>3</v>
      </c>
      <c r="E1077" s="7">
        <v>366.65</v>
      </c>
      <c r="F1077" t="s">
        <v>29</v>
      </c>
      <c r="G1077" t="s">
        <v>30</v>
      </c>
      <c r="H1077" s="12">
        <v>0</v>
      </c>
      <c r="I1077" t="s">
        <v>35</v>
      </c>
      <c r="J1077" s="7">
        <f>Table2[[#This Row],[UnitPrice]]*Table2[[#This Row],[Quantity]]*(1-Table2[[#This Row],[Discount]])</f>
        <v>1099.9499999999998</v>
      </c>
      <c r="K1077" t="s">
        <v>40</v>
      </c>
      <c r="L1077" t="s">
        <v>44</v>
      </c>
      <c r="M1077">
        <v>0</v>
      </c>
      <c r="N1077" t="s">
        <v>1121</v>
      </c>
      <c r="O1077" t="s">
        <v>2553</v>
      </c>
      <c r="P1077" s="7">
        <v>33.6</v>
      </c>
      <c r="Q1077" s="1">
        <v>45070</v>
      </c>
      <c r="R1077">
        <f>WEEKNUM(Table2[[#This Row],[OrderDate]])</f>
        <v>21</v>
      </c>
      <c r="S1077" s="1">
        <v>45077</v>
      </c>
      <c r="T1077" t="s">
        <v>2921</v>
      </c>
    </row>
    <row r="1078" spans="1:20" x14ac:dyDescent="0.35">
      <c r="A1078" s="1">
        <v>44960</v>
      </c>
      <c r="B1078" t="s">
        <v>2933</v>
      </c>
      <c r="C1078" t="s">
        <v>23</v>
      </c>
      <c r="D1078" s="9">
        <v>19</v>
      </c>
      <c r="E1078" s="7">
        <v>534.91999999999996</v>
      </c>
      <c r="F1078" t="s">
        <v>29</v>
      </c>
      <c r="G1078" t="s">
        <v>31</v>
      </c>
      <c r="H1078" s="12">
        <v>0</v>
      </c>
      <c r="I1078" t="s">
        <v>36</v>
      </c>
      <c r="J1078" s="7">
        <f>Table2[[#This Row],[UnitPrice]]*Table2[[#This Row],[Quantity]]*(1-Table2[[#This Row],[Discount]])</f>
        <v>10163.48</v>
      </c>
      <c r="K1078" t="s">
        <v>38</v>
      </c>
      <c r="L1078" t="s">
        <v>2937</v>
      </c>
      <c r="M1078">
        <v>0</v>
      </c>
      <c r="N1078" t="s">
        <v>1122</v>
      </c>
      <c r="O1078" t="s">
        <v>2554</v>
      </c>
      <c r="P1078" s="7">
        <v>26.97</v>
      </c>
      <c r="Q1078" s="1">
        <v>44960</v>
      </c>
      <c r="R1078">
        <f>WEEKNUM(Table2[[#This Row],[OrderDate]])</f>
        <v>5</v>
      </c>
      <c r="S1078" s="1">
        <v>44970</v>
      </c>
      <c r="T1078" t="s">
        <v>2921</v>
      </c>
    </row>
    <row r="1079" spans="1:20" x14ac:dyDescent="0.35">
      <c r="A1079" s="1">
        <v>45285</v>
      </c>
      <c r="B1079" t="s">
        <v>2930</v>
      </c>
      <c r="C1079" t="s">
        <v>22</v>
      </c>
      <c r="D1079" s="9">
        <v>1</v>
      </c>
      <c r="E1079" s="7">
        <v>494.52</v>
      </c>
      <c r="F1079" t="s">
        <v>29</v>
      </c>
      <c r="G1079" t="s">
        <v>31</v>
      </c>
      <c r="H1079" s="12">
        <v>0</v>
      </c>
      <c r="I1079" t="s">
        <v>37</v>
      </c>
      <c r="J1079" s="7">
        <f>Table2[[#This Row],[UnitPrice]]*Table2[[#This Row],[Quantity]]*(1-Table2[[#This Row],[Discount]])</f>
        <v>494.52</v>
      </c>
      <c r="K1079" t="s">
        <v>40</v>
      </c>
      <c r="L1079" t="s">
        <v>2937</v>
      </c>
      <c r="M1079">
        <v>0</v>
      </c>
      <c r="N1079" t="s">
        <v>1123</v>
      </c>
      <c r="O1079" t="s">
        <v>2555</v>
      </c>
      <c r="P1079" s="7">
        <v>43.02</v>
      </c>
      <c r="Q1079" s="1">
        <v>45285</v>
      </c>
      <c r="R1079">
        <f>WEEKNUM(Table2[[#This Row],[OrderDate]])</f>
        <v>52</v>
      </c>
      <c r="S1079" s="1">
        <v>45293</v>
      </c>
      <c r="T1079" t="s">
        <v>2917</v>
      </c>
    </row>
    <row r="1080" spans="1:20" x14ac:dyDescent="0.35">
      <c r="A1080" s="1">
        <v>45133</v>
      </c>
      <c r="B1080" t="s">
        <v>2930</v>
      </c>
      <c r="C1080" t="s">
        <v>23</v>
      </c>
      <c r="D1080" s="9">
        <v>6</v>
      </c>
      <c r="E1080" s="7">
        <v>344.67</v>
      </c>
      <c r="F1080" t="s">
        <v>29</v>
      </c>
      <c r="G1080" t="s">
        <v>30</v>
      </c>
      <c r="H1080" s="12">
        <v>0.1</v>
      </c>
      <c r="I1080" t="s">
        <v>36</v>
      </c>
      <c r="J1080" s="7">
        <f>Table2[[#This Row],[UnitPrice]]*Table2[[#This Row],[Quantity]]*(1-Table2[[#This Row],[Discount]])</f>
        <v>1861.2180000000001</v>
      </c>
      <c r="K1080" t="s">
        <v>38</v>
      </c>
      <c r="L1080" t="s">
        <v>44</v>
      </c>
      <c r="M1080">
        <v>1</v>
      </c>
      <c r="N1080" t="s">
        <v>1124</v>
      </c>
      <c r="O1080" t="s">
        <v>2556</v>
      </c>
      <c r="P1080" s="7">
        <v>31.13</v>
      </c>
      <c r="Q1080" s="1">
        <v>45133</v>
      </c>
      <c r="R1080">
        <f>WEEKNUM(Table2[[#This Row],[OrderDate]])</f>
        <v>30</v>
      </c>
      <c r="S1080" s="1">
        <v>45139</v>
      </c>
      <c r="T1080" t="s">
        <v>2917</v>
      </c>
    </row>
    <row r="1081" spans="1:20" x14ac:dyDescent="0.35">
      <c r="A1081" s="1">
        <v>45449</v>
      </c>
      <c r="B1081" t="s">
        <v>2934</v>
      </c>
      <c r="C1081" t="s">
        <v>23</v>
      </c>
      <c r="D1081" s="9">
        <v>12</v>
      </c>
      <c r="E1081" s="7">
        <v>489.14</v>
      </c>
      <c r="F1081" t="s">
        <v>29</v>
      </c>
      <c r="G1081" t="s">
        <v>31</v>
      </c>
      <c r="H1081" s="12">
        <v>0.15</v>
      </c>
      <c r="I1081" t="s">
        <v>37</v>
      </c>
      <c r="J1081" s="7">
        <f>Table2[[#This Row],[UnitPrice]]*Table2[[#This Row],[Quantity]]*(1-Table2[[#This Row],[Discount]])</f>
        <v>4989.2280000000001</v>
      </c>
      <c r="K1081" t="s">
        <v>38</v>
      </c>
      <c r="L1081" t="s">
        <v>44</v>
      </c>
      <c r="M1081">
        <v>0</v>
      </c>
      <c r="N1081" t="s">
        <v>1125</v>
      </c>
      <c r="O1081" t="s">
        <v>1621</v>
      </c>
      <c r="P1081" s="7">
        <v>29.31</v>
      </c>
      <c r="Q1081" s="1">
        <v>45449</v>
      </c>
      <c r="R1081">
        <f>WEEKNUM(Table2[[#This Row],[OrderDate]])</f>
        <v>23</v>
      </c>
      <c r="S1081" s="1">
        <v>45458</v>
      </c>
      <c r="T1081" t="s">
        <v>2920</v>
      </c>
    </row>
    <row r="1082" spans="1:20" x14ac:dyDescent="0.35">
      <c r="A1082" s="1">
        <v>45578</v>
      </c>
      <c r="B1082" t="s">
        <v>2932</v>
      </c>
      <c r="C1082" t="s">
        <v>25</v>
      </c>
      <c r="D1082" s="9">
        <v>18</v>
      </c>
      <c r="E1082" s="7">
        <v>256.23</v>
      </c>
      <c r="F1082" t="s">
        <v>26</v>
      </c>
      <c r="G1082" t="s">
        <v>30</v>
      </c>
      <c r="H1082" s="12">
        <v>0.05</v>
      </c>
      <c r="I1082" t="s">
        <v>32</v>
      </c>
      <c r="J1082" s="7">
        <f>Table2[[#This Row],[UnitPrice]]*Table2[[#This Row],[Quantity]]*(1-Table2[[#This Row],[Discount]])</f>
        <v>4381.5330000000004</v>
      </c>
      <c r="K1082" t="s">
        <v>41</v>
      </c>
      <c r="L1082" t="s">
        <v>2937</v>
      </c>
      <c r="M1082">
        <v>0</v>
      </c>
      <c r="N1082" t="s">
        <v>1126</v>
      </c>
      <c r="O1082" t="s">
        <v>2557</v>
      </c>
      <c r="P1082" s="7">
        <v>11.21</v>
      </c>
      <c r="Q1082" s="1">
        <v>45578</v>
      </c>
      <c r="R1082">
        <f>WEEKNUM(Table2[[#This Row],[OrderDate]])</f>
        <v>42</v>
      </c>
      <c r="S1082" s="1">
        <v>45583</v>
      </c>
      <c r="T1082" t="s">
        <v>2918</v>
      </c>
    </row>
    <row r="1083" spans="1:20" x14ac:dyDescent="0.35">
      <c r="A1083" s="1">
        <v>45599</v>
      </c>
      <c r="B1083" t="s">
        <v>2931</v>
      </c>
      <c r="C1083" t="s">
        <v>25</v>
      </c>
      <c r="D1083" s="9">
        <v>17</v>
      </c>
      <c r="E1083" s="7">
        <v>99.76</v>
      </c>
      <c r="F1083" t="s">
        <v>28</v>
      </c>
      <c r="G1083" t="s">
        <v>30</v>
      </c>
      <c r="H1083" s="12">
        <v>0</v>
      </c>
      <c r="I1083" t="s">
        <v>36</v>
      </c>
      <c r="J1083" s="7">
        <f>Table2[[#This Row],[UnitPrice]]*Table2[[#This Row],[Quantity]]*(1-Table2[[#This Row],[Discount]])</f>
        <v>1695.92</v>
      </c>
      <c r="K1083" t="s">
        <v>38</v>
      </c>
      <c r="L1083" t="s">
        <v>43</v>
      </c>
      <c r="M1083">
        <v>1</v>
      </c>
      <c r="N1083" t="s">
        <v>1127</v>
      </c>
      <c r="O1083" t="s">
        <v>1916</v>
      </c>
      <c r="P1083" s="7">
        <v>21.89</v>
      </c>
      <c r="Q1083" s="1">
        <v>45599</v>
      </c>
      <c r="R1083">
        <f>WEEKNUM(Table2[[#This Row],[OrderDate]])</f>
        <v>45</v>
      </c>
      <c r="S1083" s="1">
        <v>45609</v>
      </c>
      <c r="T1083" t="s">
        <v>2919</v>
      </c>
    </row>
    <row r="1084" spans="1:20" x14ac:dyDescent="0.35">
      <c r="A1084" s="1">
        <v>45325</v>
      </c>
      <c r="B1084" t="s">
        <v>2931</v>
      </c>
      <c r="C1084" t="s">
        <v>25</v>
      </c>
      <c r="D1084" s="9">
        <v>14</v>
      </c>
      <c r="E1084" s="7">
        <v>575.66</v>
      </c>
      <c r="F1084" t="s">
        <v>28</v>
      </c>
      <c r="G1084" t="s">
        <v>30</v>
      </c>
      <c r="H1084" s="12">
        <v>0.1</v>
      </c>
      <c r="I1084" t="s">
        <v>34</v>
      </c>
      <c r="J1084" s="7">
        <f>Table2[[#This Row],[UnitPrice]]*Table2[[#This Row],[Quantity]]*(1-Table2[[#This Row],[Discount]])</f>
        <v>7253.3159999999998</v>
      </c>
      <c r="K1084" t="s">
        <v>40</v>
      </c>
      <c r="L1084" t="s">
        <v>2937</v>
      </c>
      <c r="M1084">
        <v>0</v>
      </c>
      <c r="N1084" t="s">
        <v>1128</v>
      </c>
      <c r="O1084" t="s">
        <v>2558</v>
      </c>
      <c r="P1084" s="7">
        <v>32.53</v>
      </c>
      <c r="Q1084" s="1">
        <v>45325</v>
      </c>
      <c r="R1084">
        <f>WEEKNUM(Table2[[#This Row],[OrderDate]])</f>
        <v>5</v>
      </c>
      <c r="S1084" s="1">
        <v>45333</v>
      </c>
      <c r="T1084" t="s">
        <v>2919</v>
      </c>
    </row>
    <row r="1085" spans="1:20" x14ac:dyDescent="0.35">
      <c r="A1085" s="1">
        <v>44936</v>
      </c>
      <c r="B1085" t="s">
        <v>2930</v>
      </c>
      <c r="C1085" t="s">
        <v>22</v>
      </c>
      <c r="D1085" s="9">
        <v>6</v>
      </c>
      <c r="E1085" s="7">
        <v>176.52</v>
      </c>
      <c r="F1085" t="s">
        <v>29</v>
      </c>
      <c r="G1085" t="s">
        <v>30</v>
      </c>
      <c r="H1085" s="12">
        <v>0.15</v>
      </c>
      <c r="I1085" t="s">
        <v>33</v>
      </c>
      <c r="J1085" s="7">
        <f>Table2[[#This Row],[UnitPrice]]*Table2[[#This Row],[Quantity]]*(1-Table2[[#This Row],[Discount]])</f>
        <v>900.25200000000007</v>
      </c>
      <c r="K1085" t="s">
        <v>38</v>
      </c>
      <c r="L1085" t="s">
        <v>43</v>
      </c>
      <c r="M1085">
        <v>0</v>
      </c>
      <c r="N1085" t="s">
        <v>1129</v>
      </c>
      <c r="O1085" t="s">
        <v>2559</v>
      </c>
      <c r="P1085" s="7">
        <v>16.98</v>
      </c>
      <c r="Q1085" s="1">
        <v>44936</v>
      </c>
      <c r="R1085">
        <f>WEEKNUM(Table2[[#This Row],[OrderDate]])</f>
        <v>2</v>
      </c>
      <c r="S1085" s="1">
        <v>44939</v>
      </c>
      <c r="T1085" t="s">
        <v>2917</v>
      </c>
    </row>
    <row r="1086" spans="1:20" x14ac:dyDescent="0.35">
      <c r="A1086" s="1">
        <v>45215</v>
      </c>
      <c r="B1086" t="s">
        <v>2930</v>
      </c>
      <c r="C1086" t="s">
        <v>24</v>
      </c>
      <c r="D1086" s="9">
        <v>6</v>
      </c>
      <c r="E1086" s="7">
        <v>485.66</v>
      </c>
      <c r="F1086" t="s">
        <v>29</v>
      </c>
      <c r="G1086" t="s">
        <v>30</v>
      </c>
      <c r="H1086" s="12">
        <v>0.05</v>
      </c>
      <c r="I1086" t="s">
        <v>32</v>
      </c>
      <c r="J1086" s="7">
        <f>Table2[[#This Row],[UnitPrice]]*Table2[[#This Row],[Quantity]]*(1-Table2[[#This Row],[Discount]])</f>
        <v>2768.2619999999997</v>
      </c>
      <c r="K1086" t="s">
        <v>39</v>
      </c>
      <c r="L1086" t="s">
        <v>43</v>
      </c>
      <c r="M1086">
        <v>0</v>
      </c>
      <c r="N1086" t="s">
        <v>1130</v>
      </c>
      <c r="O1086" t="s">
        <v>2560</v>
      </c>
      <c r="P1086" s="7">
        <v>30.62</v>
      </c>
      <c r="Q1086" s="1">
        <v>45215</v>
      </c>
      <c r="R1086">
        <f>WEEKNUM(Table2[[#This Row],[OrderDate]])</f>
        <v>42</v>
      </c>
      <c r="S1086" s="1">
        <v>45221</v>
      </c>
      <c r="T1086" t="s">
        <v>2917</v>
      </c>
    </row>
    <row r="1087" spans="1:20" x14ac:dyDescent="0.35">
      <c r="A1087" s="1">
        <v>45735</v>
      </c>
      <c r="B1087" t="s">
        <v>2934</v>
      </c>
      <c r="C1087" t="s">
        <v>19</v>
      </c>
      <c r="D1087" s="9">
        <v>8</v>
      </c>
      <c r="E1087" s="7">
        <v>141.61000000000001</v>
      </c>
      <c r="F1087" t="s">
        <v>26</v>
      </c>
      <c r="G1087" t="s">
        <v>31</v>
      </c>
      <c r="H1087" s="12">
        <v>0.1</v>
      </c>
      <c r="I1087" t="s">
        <v>37</v>
      </c>
      <c r="J1087" s="7">
        <f>Table2[[#This Row],[UnitPrice]]*Table2[[#This Row],[Quantity]]*(1-Table2[[#This Row],[Discount]])</f>
        <v>1019.5920000000001</v>
      </c>
      <c r="K1087" t="s">
        <v>39</v>
      </c>
      <c r="L1087" t="s">
        <v>45</v>
      </c>
      <c r="M1087">
        <v>0</v>
      </c>
      <c r="N1087" t="s">
        <v>1131</v>
      </c>
      <c r="O1087" t="s">
        <v>2561</v>
      </c>
      <c r="P1087" s="7">
        <v>14.02</v>
      </c>
      <c r="Q1087" s="1">
        <v>45735</v>
      </c>
      <c r="R1087">
        <f>WEEKNUM(Table2[[#This Row],[OrderDate]])</f>
        <v>12</v>
      </c>
      <c r="S1087" s="1">
        <v>45740</v>
      </c>
      <c r="T1087" t="s">
        <v>2920</v>
      </c>
    </row>
    <row r="1088" spans="1:20" x14ac:dyDescent="0.35">
      <c r="A1088" s="1">
        <v>45642</v>
      </c>
      <c r="B1088" t="s">
        <v>2933</v>
      </c>
      <c r="C1088" t="s">
        <v>21</v>
      </c>
      <c r="D1088" s="9">
        <v>9</v>
      </c>
      <c r="E1088" s="7">
        <v>215.29</v>
      </c>
      <c r="F1088" t="s">
        <v>28</v>
      </c>
      <c r="G1088" t="s">
        <v>30</v>
      </c>
      <c r="H1088" s="12">
        <v>0.1</v>
      </c>
      <c r="I1088" t="s">
        <v>33</v>
      </c>
      <c r="J1088" s="7">
        <f>Table2[[#This Row],[UnitPrice]]*Table2[[#This Row],[Quantity]]*(1-Table2[[#This Row],[Discount]])</f>
        <v>1743.8489999999999</v>
      </c>
      <c r="K1088" t="s">
        <v>40</v>
      </c>
      <c r="L1088" t="s">
        <v>45</v>
      </c>
      <c r="M1088">
        <v>0</v>
      </c>
      <c r="N1088" t="s">
        <v>1132</v>
      </c>
      <c r="O1088" t="s">
        <v>2562</v>
      </c>
      <c r="P1088" s="7">
        <v>5.84</v>
      </c>
      <c r="Q1088" s="1">
        <v>45642</v>
      </c>
      <c r="R1088">
        <f>WEEKNUM(Table2[[#This Row],[OrderDate]])</f>
        <v>51</v>
      </c>
      <c r="S1088" s="1">
        <v>45645</v>
      </c>
      <c r="T1088" t="s">
        <v>2921</v>
      </c>
    </row>
    <row r="1089" spans="1:20" x14ac:dyDescent="0.35">
      <c r="A1089" s="1">
        <v>45154</v>
      </c>
      <c r="B1089" t="s">
        <v>2933</v>
      </c>
      <c r="C1089" t="s">
        <v>19</v>
      </c>
      <c r="D1089" s="9">
        <v>18</v>
      </c>
      <c r="E1089" s="7">
        <v>497.22</v>
      </c>
      <c r="F1089" t="s">
        <v>26</v>
      </c>
      <c r="G1089" t="s">
        <v>30</v>
      </c>
      <c r="H1089" s="12">
        <v>0.05</v>
      </c>
      <c r="I1089" t="s">
        <v>36</v>
      </c>
      <c r="J1089" s="7">
        <f>Table2[[#This Row],[UnitPrice]]*Table2[[#This Row],[Quantity]]*(1-Table2[[#This Row],[Discount]])</f>
        <v>8502.4620000000014</v>
      </c>
      <c r="K1089" t="s">
        <v>40</v>
      </c>
      <c r="L1089" t="s">
        <v>45</v>
      </c>
      <c r="M1089">
        <v>0</v>
      </c>
      <c r="N1089" t="s">
        <v>1133</v>
      </c>
      <c r="O1089" t="s">
        <v>2563</v>
      </c>
      <c r="P1089" s="7">
        <v>17.39</v>
      </c>
      <c r="Q1089" s="1">
        <v>45154</v>
      </c>
      <c r="R1089">
        <f>WEEKNUM(Table2[[#This Row],[OrderDate]])</f>
        <v>33</v>
      </c>
      <c r="S1089" s="1">
        <v>45158</v>
      </c>
      <c r="T1089" t="s">
        <v>2921</v>
      </c>
    </row>
    <row r="1090" spans="1:20" x14ac:dyDescent="0.35">
      <c r="A1090" s="1">
        <v>44936</v>
      </c>
      <c r="B1090" t="s">
        <v>2930</v>
      </c>
      <c r="C1090" t="s">
        <v>21</v>
      </c>
      <c r="D1090" s="9">
        <v>13</v>
      </c>
      <c r="E1090" s="7">
        <v>347.73</v>
      </c>
      <c r="F1090" t="s">
        <v>26</v>
      </c>
      <c r="G1090" t="s">
        <v>30</v>
      </c>
      <c r="H1090" s="12">
        <v>0.05</v>
      </c>
      <c r="I1090" t="s">
        <v>36</v>
      </c>
      <c r="J1090" s="7">
        <f>Table2[[#This Row],[UnitPrice]]*Table2[[#This Row],[Quantity]]*(1-Table2[[#This Row],[Discount]])</f>
        <v>4294.4654999999993</v>
      </c>
      <c r="K1090" t="s">
        <v>39</v>
      </c>
      <c r="L1090" t="s">
        <v>43</v>
      </c>
      <c r="M1090">
        <v>1</v>
      </c>
      <c r="N1090" t="s">
        <v>1134</v>
      </c>
      <c r="O1090" t="s">
        <v>2564</v>
      </c>
      <c r="P1090" s="7">
        <v>31.81</v>
      </c>
      <c r="Q1090" s="1">
        <v>44936</v>
      </c>
      <c r="R1090">
        <f>WEEKNUM(Table2[[#This Row],[OrderDate]])</f>
        <v>2</v>
      </c>
      <c r="S1090" s="1">
        <v>44946</v>
      </c>
      <c r="T1090" t="s">
        <v>2917</v>
      </c>
    </row>
    <row r="1091" spans="1:20" x14ac:dyDescent="0.35">
      <c r="A1091" s="1">
        <v>45786</v>
      </c>
      <c r="B1091" t="s">
        <v>2934</v>
      </c>
      <c r="C1091" t="s">
        <v>22</v>
      </c>
      <c r="D1091" s="9">
        <v>3</v>
      </c>
      <c r="E1091" s="7">
        <v>371.21</v>
      </c>
      <c r="F1091" t="s">
        <v>28</v>
      </c>
      <c r="G1091" t="s">
        <v>30</v>
      </c>
      <c r="H1091" s="12">
        <v>0.1</v>
      </c>
      <c r="I1091" t="s">
        <v>32</v>
      </c>
      <c r="J1091" s="7">
        <f>Table2[[#This Row],[UnitPrice]]*Table2[[#This Row],[Quantity]]*(1-Table2[[#This Row],[Discount]])</f>
        <v>1002.2669999999999</v>
      </c>
      <c r="K1091" t="s">
        <v>39</v>
      </c>
      <c r="L1091" t="s">
        <v>44</v>
      </c>
      <c r="M1091">
        <v>0</v>
      </c>
      <c r="N1091" t="s">
        <v>1135</v>
      </c>
      <c r="O1091" t="s">
        <v>2565</v>
      </c>
      <c r="P1091" s="7">
        <v>20.02</v>
      </c>
      <c r="Q1091" s="1">
        <v>45786</v>
      </c>
      <c r="R1091">
        <f>WEEKNUM(Table2[[#This Row],[OrderDate]])</f>
        <v>19</v>
      </c>
      <c r="S1091" s="1">
        <v>45795</v>
      </c>
      <c r="T1091" t="s">
        <v>2920</v>
      </c>
    </row>
    <row r="1092" spans="1:20" x14ac:dyDescent="0.35">
      <c r="A1092" s="1">
        <v>45390</v>
      </c>
      <c r="B1092" t="s">
        <v>2930</v>
      </c>
      <c r="C1092" t="s">
        <v>25</v>
      </c>
      <c r="D1092" s="9">
        <v>12</v>
      </c>
      <c r="E1092" s="7">
        <v>434.33</v>
      </c>
      <c r="F1092" t="s">
        <v>27</v>
      </c>
      <c r="G1092" t="s">
        <v>30</v>
      </c>
      <c r="H1092" s="12">
        <v>0.15</v>
      </c>
      <c r="I1092" t="s">
        <v>37</v>
      </c>
      <c r="J1092" s="7">
        <f>Table2[[#This Row],[UnitPrice]]*Table2[[#This Row],[Quantity]]*(1-Table2[[#This Row],[Discount]])</f>
        <v>4430.1660000000002</v>
      </c>
      <c r="K1092" t="s">
        <v>42</v>
      </c>
      <c r="L1092" t="s">
        <v>43</v>
      </c>
      <c r="M1092">
        <v>0</v>
      </c>
      <c r="N1092" t="s">
        <v>1136</v>
      </c>
      <c r="O1092" t="s">
        <v>1807</v>
      </c>
      <c r="P1092" s="7">
        <v>15.33</v>
      </c>
      <c r="Q1092" s="1">
        <v>45390</v>
      </c>
      <c r="R1092">
        <f>WEEKNUM(Table2[[#This Row],[OrderDate]])</f>
        <v>15</v>
      </c>
      <c r="S1092" s="1">
        <v>45398</v>
      </c>
      <c r="T1092" t="s">
        <v>2917</v>
      </c>
    </row>
    <row r="1093" spans="1:20" x14ac:dyDescent="0.35">
      <c r="A1093" s="1">
        <v>45783</v>
      </c>
      <c r="B1093" t="s">
        <v>2930</v>
      </c>
      <c r="C1093" t="s">
        <v>23</v>
      </c>
      <c r="D1093" s="9">
        <v>16</v>
      </c>
      <c r="E1093" s="7">
        <v>426.65</v>
      </c>
      <c r="F1093" t="s">
        <v>27</v>
      </c>
      <c r="G1093" t="s">
        <v>31</v>
      </c>
      <c r="H1093" s="12">
        <v>0.1</v>
      </c>
      <c r="I1093" t="s">
        <v>36</v>
      </c>
      <c r="J1093" s="7">
        <f>Table2[[#This Row],[UnitPrice]]*Table2[[#This Row],[Quantity]]*(1-Table2[[#This Row],[Discount]])</f>
        <v>6143.76</v>
      </c>
      <c r="K1093" t="s">
        <v>39</v>
      </c>
      <c r="L1093" t="s">
        <v>2937</v>
      </c>
      <c r="M1093">
        <v>0</v>
      </c>
      <c r="N1093" t="s">
        <v>1137</v>
      </c>
      <c r="O1093" t="s">
        <v>2566</v>
      </c>
      <c r="P1093" s="7">
        <v>10.199999999999999</v>
      </c>
      <c r="Q1093" s="1">
        <v>45783</v>
      </c>
      <c r="R1093">
        <f>WEEKNUM(Table2[[#This Row],[OrderDate]])</f>
        <v>19</v>
      </c>
      <c r="S1093" s="1">
        <v>45792</v>
      </c>
      <c r="T1093" t="s">
        <v>2917</v>
      </c>
    </row>
    <row r="1094" spans="1:20" x14ac:dyDescent="0.35">
      <c r="A1094" s="1">
        <v>45067</v>
      </c>
      <c r="B1094" t="s">
        <v>2933</v>
      </c>
      <c r="C1094" t="s">
        <v>21</v>
      </c>
      <c r="D1094" s="9">
        <v>6</v>
      </c>
      <c r="E1094" s="7">
        <v>294.97000000000003</v>
      </c>
      <c r="F1094" t="s">
        <v>27</v>
      </c>
      <c r="G1094" t="s">
        <v>30</v>
      </c>
      <c r="H1094" s="12">
        <v>0.05</v>
      </c>
      <c r="I1094" t="s">
        <v>37</v>
      </c>
      <c r="J1094" s="7">
        <f>Table2[[#This Row],[UnitPrice]]*Table2[[#This Row],[Quantity]]*(1-Table2[[#This Row],[Discount]])</f>
        <v>1681.3290000000002</v>
      </c>
      <c r="K1094" t="s">
        <v>40</v>
      </c>
      <c r="L1094" t="s">
        <v>45</v>
      </c>
      <c r="M1094">
        <v>0</v>
      </c>
      <c r="N1094" t="s">
        <v>1138</v>
      </c>
      <c r="O1094" t="s">
        <v>2567</v>
      </c>
      <c r="P1094" s="7">
        <v>48.08</v>
      </c>
      <c r="Q1094" s="1">
        <v>45067</v>
      </c>
      <c r="R1094">
        <f>WEEKNUM(Table2[[#This Row],[OrderDate]])</f>
        <v>21</v>
      </c>
      <c r="S1094" s="1">
        <v>45075</v>
      </c>
      <c r="T1094" t="s">
        <v>2921</v>
      </c>
    </row>
    <row r="1095" spans="1:20" x14ac:dyDescent="0.35">
      <c r="A1095" s="1">
        <v>45253</v>
      </c>
      <c r="B1095" t="s">
        <v>2934</v>
      </c>
      <c r="C1095" t="s">
        <v>20</v>
      </c>
      <c r="D1095" s="9">
        <v>12</v>
      </c>
      <c r="E1095" s="7">
        <v>130.9</v>
      </c>
      <c r="F1095" t="s">
        <v>29</v>
      </c>
      <c r="G1095" t="s">
        <v>31</v>
      </c>
      <c r="H1095" s="12">
        <v>0.15</v>
      </c>
      <c r="I1095" t="s">
        <v>33</v>
      </c>
      <c r="J1095" s="7">
        <f>Table2[[#This Row],[UnitPrice]]*Table2[[#This Row],[Quantity]]*(1-Table2[[#This Row],[Discount]])</f>
        <v>1335.18</v>
      </c>
      <c r="K1095" t="s">
        <v>41</v>
      </c>
      <c r="L1095" t="s">
        <v>44</v>
      </c>
      <c r="M1095">
        <v>0</v>
      </c>
      <c r="N1095" t="s">
        <v>1139</v>
      </c>
      <c r="O1095" t="s">
        <v>2568</v>
      </c>
      <c r="P1095" s="7">
        <v>34.69</v>
      </c>
      <c r="Q1095" s="1">
        <v>45253</v>
      </c>
      <c r="R1095">
        <f>WEEKNUM(Table2[[#This Row],[OrderDate]])</f>
        <v>47</v>
      </c>
      <c r="S1095" s="1">
        <v>45260</v>
      </c>
      <c r="T1095" t="s">
        <v>2920</v>
      </c>
    </row>
    <row r="1096" spans="1:20" x14ac:dyDescent="0.35">
      <c r="A1096" s="1">
        <v>45377</v>
      </c>
      <c r="B1096" t="s">
        <v>2931</v>
      </c>
      <c r="C1096" t="s">
        <v>23</v>
      </c>
      <c r="D1096" s="9">
        <v>18</v>
      </c>
      <c r="E1096" s="7">
        <v>539.98</v>
      </c>
      <c r="F1096" t="s">
        <v>28</v>
      </c>
      <c r="G1096" t="s">
        <v>31</v>
      </c>
      <c r="H1096" s="12">
        <v>0.15</v>
      </c>
      <c r="I1096" t="s">
        <v>32</v>
      </c>
      <c r="J1096" s="7">
        <f>Table2[[#This Row],[UnitPrice]]*Table2[[#This Row],[Quantity]]*(1-Table2[[#This Row],[Discount]])</f>
        <v>8261.6939999999995</v>
      </c>
      <c r="K1096" t="s">
        <v>42</v>
      </c>
      <c r="L1096" t="s">
        <v>43</v>
      </c>
      <c r="M1096">
        <v>1</v>
      </c>
      <c r="N1096" t="s">
        <v>1140</v>
      </c>
      <c r="O1096" t="s">
        <v>2569</v>
      </c>
      <c r="P1096" s="7">
        <v>34.44</v>
      </c>
      <c r="Q1096" s="1">
        <v>45377</v>
      </c>
      <c r="R1096">
        <f>WEEKNUM(Table2[[#This Row],[OrderDate]])</f>
        <v>13</v>
      </c>
      <c r="S1096" s="1">
        <v>45387</v>
      </c>
      <c r="T1096" t="s">
        <v>2919</v>
      </c>
    </row>
    <row r="1097" spans="1:20" x14ac:dyDescent="0.35">
      <c r="A1097" s="1">
        <v>45560</v>
      </c>
      <c r="B1097" t="s">
        <v>2932</v>
      </c>
      <c r="C1097" t="s">
        <v>21</v>
      </c>
      <c r="D1097" s="9">
        <v>12</v>
      </c>
      <c r="E1097" s="7">
        <v>149.37</v>
      </c>
      <c r="F1097" t="s">
        <v>29</v>
      </c>
      <c r="G1097" t="s">
        <v>31</v>
      </c>
      <c r="H1097" s="12">
        <v>0.1</v>
      </c>
      <c r="I1097" t="s">
        <v>37</v>
      </c>
      <c r="J1097" s="7">
        <f>Table2[[#This Row],[UnitPrice]]*Table2[[#This Row],[Quantity]]*(1-Table2[[#This Row],[Discount]])</f>
        <v>1613.1960000000001</v>
      </c>
      <c r="K1097" t="s">
        <v>40</v>
      </c>
      <c r="L1097" t="s">
        <v>2937</v>
      </c>
      <c r="M1097">
        <v>0</v>
      </c>
      <c r="N1097" t="s">
        <v>1141</v>
      </c>
      <c r="O1097" t="s">
        <v>2570</v>
      </c>
      <c r="P1097" s="7">
        <v>20.21</v>
      </c>
      <c r="Q1097" s="1">
        <v>45560</v>
      </c>
      <c r="R1097">
        <f>WEEKNUM(Table2[[#This Row],[OrderDate]])</f>
        <v>39</v>
      </c>
      <c r="S1097" s="1">
        <v>45567</v>
      </c>
      <c r="T1097" t="s">
        <v>2918</v>
      </c>
    </row>
    <row r="1098" spans="1:20" x14ac:dyDescent="0.35">
      <c r="A1098" s="1">
        <v>45022</v>
      </c>
      <c r="B1098" t="s">
        <v>2930</v>
      </c>
      <c r="C1098" t="s">
        <v>22</v>
      </c>
      <c r="D1098" s="9">
        <v>5</v>
      </c>
      <c r="E1098" s="7">
        <v>411.24</v>
      </c>
      <c r="F1098" t="s">
        <v>27</v>
      </c>
      <c r="G1098" t="s">
        <v>30</v>
      </c>
      <c r="H1098" s="12">
        <v>0.15</v>
      </c>
      <c r="I1098" t="s">
        <v>37</v>
      </c>
      <c r="J1098" s="7">
        <f>Table2[[#This Row],[UnitPrice]]*Table2[[#This Row],[Quantity]]*(1-Table2[[#This Row],[Discount]])</f>
        <v>1747.7699999999998</v>
      </c>
      <c r="K1098" t="s">
        <v>42</v>
      </c>
      <c r="L1098" t="s">
        <v>45</v>
      </c>
      <c r="M1098">
        <v>1</v>
      </c>
      <c r="N1098" t="s">
        <v>1142</v>
      </c>
      <c r="O1098" t="s">
        <v>2571</v>
      </c>
      <c r="P1098" s="7">
        <v>5.35</v>
      </c>
      <c r="Q1098" s="1">
        <v>45022</v>
      </c>
      <c r="R1098">
        <f>WEEKNUM(Table2[[#This Row],[OrderDate]])</f>
        <v>14</v>
      </c>
      <c r="S1098" s="1">
        <v>45026</v>
      </c>
      <c r="T1098" t="s">
        <v>2917</v>
      </c>
    </row>
    <row r="1099" spans="1:20" x14ac:dyDescent="0.35">
      <c r="A1099" s="1">
        <v>45467</v>
      </c>
      <c r="B1099" t="s">
        <v>2931</v>
      </c>
      <c r="C1099" t="s">
        <v>22</v>
      </c>
      <c r="D1099" s="9">
        <v>16</v>
      </c>
      <c r="E1099" s="7">
        <v>462.86</v>
      </c>
      <c r="F1099" t="s">
        <v>29</v>
      </c>
      <c r="G1099" t="s">
        <v>31</v>
      </c>
      <c r="H1099" s="12">
        <v>0.05</v>
      </c>
      <c r="I1099" t="s">
        <v>37</v>
      </c>
      <c r="J1099" s="7">
        <f>Table2[[#This Row],[UnitPrice]]*Table2[[#This Row],[Quantity]]*(1-Table2[[#This Row],[Discount]])</f>
        <v>7035.4719999999998</v>
      </c>
      <c r="K1099" t="s">
        <v>42</v>
      </c>
      <c r="L1099" t="s">
        <v>2937</v>
      </c>
      <c r="M1099">
        <v>1</v>
      </c>
      <c r="N1099" t="s">
        <v>1143</v>
      </c>
      <c r="O1099" t="s">
        <v>2572</v>
      </c>
      <c r="P1099" s="7">
        <v>17.43</v>
      </c>
      <c r="Q1099" s="1">
        <v>45467</v>
      </c>
      <c r="R1099">
        <f>WEEKNUM(Table2[[#This Row],[OrderDate]])</f>
        <v>26</v>
      </c>
      <c r="S1099" s="1">
        <v>45469</v>
      </c>
      <c r="T1099" t="s">
        <v>2919</v>
      </c>
    </row>
    <row r="1100" spans="1:20" x14ac:dyDescent="0.35">
      <c r="A1100" s="1">
        <v>45641</v>
      </c>
      <c r="B1100" t="s">
        <v>2932</v>
      </c>
      <c r="C1100" t="s">
        <v>19</v>
      </c>
      <c r="D1100" s="9">
        <v>17</v>
      </c>
      <c r="E1100" s="7">
        <v>506.38</v>
      </c>
      <c r="F1100" t="s">
        <v>26</v>
      </c>
      <c r="G1100" t="s">
        <v>30</v>
      </c>
      <c r="H1100" s="12">
        <v>0</v>
      </c>
      <c r="I1100" t="s">
        <v>35</v>
      </c>
      <c r="J1100" s="7">
        <f>Table2[[#This Row],[UnitPrice]]*Table2[[#This Row],[Quantity]]*(1-Table2[[#This Row],[Discount]])</f>
        <v>8608.4599999999991</v>
      </c>
      <c r="K1100" t="s">
        <v>42</v>
      </c>
      <c r="L1100" t="s">
        <v>45</v>
      </c>
      <c r="M1100">
        <v>1</v>
      </c>
      <c r="N1100" t="s">
        <v>1144</v>
      </c>
      <c r="O1100" t="s">
        <v>2573</v>
      </c>
      <c r="P1100" s="7">
        <v>33.36</v>
      </c>
      <c r="Q1100" s="1">
        <v>45641</v>
      </c>
      <c r="R1100">
        <f>WEEKNUM(Table2[[#This Row],[OrderDate]])</f>
        <v>51</v>
      </c>
      <c r="S1100" s="1">
        <v>45649</v>
      </c>
      <c r="T1100" t="s">
        <v>2918</v>
      </c>
    </row>
    <row r="1101" spans="1:20" x14ac:dyDescent="0.35">
      <c r="A1101" s="1">
        <v>45568</v>
      </c>
      <c r="B1101" t="s">
        <v>2931</v>
      </c>
      <c r="C1101" t="s">
        <v>21</v>
      </c>
      <c r="D1101" s="9">
        <v>19</v>
      </c>
      <c r="E1101" s="7">
        <v>25.61</v>
      </c>
      <c r="F1101" t="s">
        <v>26</v>
      </c>
      <c r="G1101" t="s">
        <v>31</v>
      </c>
      <c r="H1101" s="12">
        <v>0</v>
      </c>
      <c r="I1101" t="s">
        <v>37</v>
      </c>
      <c r="J1101" s="7">
        <f>Table2[[#This Row],[UnitPrice]]*Table2[[#This Row],[Quantity]]*(1-Table2[[#This Row],[Discount]])</f>
        <v>486.59</v>
      </c>
      <c r="K1101" t="s">
        <v>39</v>
      </c>
      <c r="L1101" t="s">
        <v>2937</v>
      </c>
      <c r="M1101">
        <v>0</v>
      </c>
      <c r="N1101" t="s">
        <v>1145</v>
      </c>
      <c r="O1101" t="s">
        <v>2043</v>
      </c>
      <c r="P1101" s="7">
        <v>30.32</v>
      </c>
      <c r="Q1101" s="1">
        <v>45568</v>
      </c>
      <c r="R1101">
        <f>WEEKNUM(Table2[[#This Row],[OrderDate]])</f>
        <v>40</v>
      </c>
      <c r="S1101" s="1">
        <v>45576</v>
      </c>
      <c r="T1101" t="s">
        <v>2919</v>
      </c>
    </row>
    <row r="1102" spans="1:20" x14ac:dyDescent="0.35">
      <c r="A1102" s="1">
        <v>45172</v>
      </c>
      <c r="B1102" t="s">
        <v>2932</v>
      </c>
      <c r="C1102" t="s">
        <v>21</v>
      </c>
      <c r="D1102" s="9">
        <v>4</v>
      </c>
      <c r="E1102" s="7">
        <v>467.45</v>
      </c>
      <c r="F1102" t="s">
        <v>28</v>
      </c>
      <c r="G1102" t="s">
        <v>30</v>
      </c>
      <c r="H1102" s="12">
        <v>0.05</v>
      </c>
      <c r="I1102" t="s">
        <v>34</v>
      </c>
      <c r="J1102" s="7">
        <f>Table2[[#This Row],[UnitPrice]]*Table2[[#This Row],[Quantity]]*(1-Table2[[#This Row],[Discount]])</f>
        <v>1776.31</v>
      </c>
      <c r="K1102" t="s">
        <v>39</v>
      </c>
      <c r="L1102" t="s">
        <v>45</v>
      </c>
      <c r="M1102">
        <v>0</v>
      </c>
      <c r="N1102" t="s">
        <v>1146</v>
      </c>
      <c r="O1102" t="s">
        <v>2574</v>
      </c>
      <c r="P1102" s="7">
        <v>25.05</v>
      </c>
      <c r="Q1102" s="1">
        <v>45172</v>
      </c>
      <c r="R1102">
        <f>WEEKNUM(Table2[[#This Row],[OrderDate]])</f>
        <v>36</v>
      </c>
      <c r="S1102" s="1">
        <v>45182</v>
      </c>
      <c r="T1102" t="s">
        <v>2918</v>
      </c>
    </row>
    <row r="1103" spans="1:20" x14ac:dyDescent="0.35">
      <c r="A1103" s="1">
        <v>44955</v>
      </c>
      <c r="B1103" t="s">
        <v>2931</v>
      </c>
      <c r="C1103" t="s">
        <v>25</v>
      </c>
      <c r="D1103" s="9">
        <v>10</v>
      </c>
      <c r="E1103" s="7">
        <v>140.5</v>
      </c>
      <c r="F1103" t="s">
        <v>26</v>
      </c>
      <c r="G1103" t="s">
        <v>31</v>
      </c>
      <c r="H1103" s="12">
        <v>0.15</v>
      </c>
      <c r="I1103" t="s">
        <v>35</v>
      </c>
      <c r="J1103" s="7">
        <f>Table2[[#This Row],[UnitPrice]]*Table2[[#This Row],[Quantity]]*(1-Table2[[#This Row],[Discount]])</f>
        <v>1194.25</v>
      </c>
      <c r="K1103" t="s">
        <v>38</v>
      </c>
      <c r="L1103" t="s">
        <v>43</v>
      </c>
      <c r="M1103">
        <v>0</v>
      </c>
      <c r="N1103" t="s">
        <v>1147</v>
      </c>
      <c r="O1103" t="s">
        <v>2248</v>
      </c>
      <c r="P1103" s="7">
        <v>43.81</v>
      </c>
      <c r="Q1103" s="1">
        <v>44955</v>
      </c>
      <c r="R1103">
        <f>WEEKNUM(Table2[[#This Row],[OrderDate]])</f>
        <v>5</v>
      </c>
      <c r="S1103" s="1">
        <v>44962</v>
      </c>
      <c r="T1103" t="s">
        <v>2919</v>
      </c>
    </row>
    <row r="1104" spans="1:20" x14ac:dyDescent="0.35">
      <c r="A1104" s="1">
        <v>45455</v>
      </c>
      <c r="B1104" t="s">
        <v>2931</v>
      </c>
      <c r="C1104" t="s">
        <v>20</v>
      </c>
      <c r="D1104" s="9">
        <v>8</v>
      </c>
      <c r="E1104" s="7">
        <v>57.85</v>
      </c>
      <c r="F1104" t="s">
        <v>29</v>
      </c>
      <c r="G1104" t="s">
        <v>30</v>
      </c>
      <c r="H1104" s="12">
        <v>0</v>
      </c>
      <c r="I1104" t="s">
        <v>34</v>
      </c>
      <c r="J1104" s="7">
        <f>Table2[[#This Row],[UnitPrice]]*Table2[[#This Row],[Quantity]]*(1-Table2[[#This Row],[Discount]])</f>
        <v>462.8</v>
      </c>
      <c r="K1104" t="s">
        <v>38</v>
      </c>
      <c r="L1104" t="s">
        <v>45</v>
      </c>
      <c r="M1104">
        <v>1</v>
      </c>
      <c r="N1104" t="s">
        <v>1148</v>
      </c>
      <c r="O1104" t="s">
        <v>2575</v>
      </c>
      <c r="P1104" s="7">
        <v>49.82</v>
      </c>
      <c r="Q1104" s="1">
        <v>45455</v>
      </c>
      <c r="R1104">
        <f>WEEKNUM(Table2[[#This Row],[OrderDate]])</f>
        <v>24</v>
      </c>
      <c r="S1104" s="1">
        <v>45463</v>
      </c>
      <c r="T1104" t="s">
        <v>2919</v>
      </c>
    </row>
    <row r="1105" spans="1:20" x14ac:dyDescent="0.35">
      <c r="A1105" s="1">
        <v>45620</v>
      </c>
      <c r="B1105" t="s">
        <v>2931</v>
      </c>
      <c r="C1105" t="s">
        <v>23</v>
      </c>
      <c r="D1105" s="9">
        <v>9</v>
      </c>
      <c r="E1105" s="7">
        <v>539.64</v>
      </c>
      <c r="F1105" t="s">
        <v>27</v>
      </c>
      <c r="G1105" t="s">
        <v>31</v>
      </c>
      <c r="H1105" s="12">
        <v>0.15</v>
      </c>
      <c r="I1105" t="s">
        <v>33</v>
      </c>
      <c r="J1105" s="7">
        <f>Table2[[#This Row],[UnitPrice]]*Table2[[#This Row],[Quantity]]*(1-Table2[[#This Row],[Discount]])</f>
        <v>4128.2460000000001</v>
      </c>
      <c r="K1105" t="s">
        <v>39</v>
      </c>
      <c r="L1105" t="s">
        <v>2937</v>
      </c>
      <c r="M1105">
        <v>0</v>
      </c>
      <c r="N1105" t="s">
        <v>1149</v>
      </c>
      <c r="O1105" t="s">
        <v>2576</v>
      </c>
      <c r="P1105" s="7">
        <v>16.079999999999998</v>
      </c>
      <c r="Q1105" s="1">
        <v>45620</v>
      </c>
      <c r="R1105">
        <f>WEEKNUM(Table2[[#This Row],[OrderDate]])</f>
        <v>48</v>
      </c>
      <c r="S1105" s="1">
        <v>45629</v>
      </c>
      <c r="T1105" t="s">
        <v>2919</v>
      </c>
    </row>
    <row r="1106" spans="1:20" x14ac:dyDescent="0.35">
      <c r="A1106" s="1">
        <v>45153</v>
      </c>
      <c r="B1106" t="s">
        <v>2933</v>
      </c>
      <c r="C1106" t="s">
        <v>23</v>
      </c>
      <c r="D1106" s="9">
        <v>18</v>
      </c>
      <c r="E1106" s="7">
        <v>476.32</v>
      </c>
      <c r="F1106" t="s">
        <v>27</v>
      </c>
      <c r="G1106" t="s">
        <v>30</v>
      </c>
      <c r="H1106" s="12">
        <v>0</v>
      </c>
      <c r="I1106" t="s">
        <v>36</v>
      </c>
      <c r="J1106" s="7">
        <f>Table2[[#This Row],[UnitPrice]]*Table2[[#This Row],[Quantity]]*(1-Table2[[#This Row],[Discount]])</f>
        <v>8573.76</v>
      </c>
      <c r="K1106" t="s">
        <v>40</v>
      </c>
      <c r="L1106" t="s">
        <v>44</v>
      </c>
      <c r="M1106">
        <v>1</v>
      </c>
      <c r="N1106" t="s">
        <v>1150</v>
      </c>
      <c r="O1106" t="s">
        <v>2577</v>
      </c>
      <c r="P1106" s="7">
        <v>47.43</v>
      </c>
      <c r="Q1106" s="1">
        <v>45153</v>
      </c>
      <c r="R1106">
        <f>WEEKNUM(Table2[[#This Row],[OrderDate]])</f>
        <v>33</v>
      </c>
      <c r="S1106" s="1">
        <v>45158</v>
      </c>
      <c r="T1106" t="s">
        <v>2921</v>
      </c>
    </row>
    <row r="1107" spans="1:20" x14ac:dyDescent="0.35">
      <c r="A1107" s="1">
        <v>45525</v>
      </c>
      <c r="B1107" t="s">
        <v>2934</v>
      </c>
      <c r="C1107" t="s">
        <v>24</v>
      </c>
      <c r="D1107" s="9">
        <v>11</v>
      </c>
      <c r="E1107" s="7">
        <v>143.85</v>
      </c>
      <c r="F1107" t="s">
        <v>27</v>
      </c>
      <c r="G1107" t="s">
        <v>30</v>
      </c>
      <c r="H1107" s="12">
        <v>0.1</v>
      </c>
      <c r="I1107" t="s">
        <v>32</v>
      </c>
      <c r="J1107" s="7">
        <f>Table2[[#This Row],[UnitPrice]]*Table2[[#This Row],[Quantity]]*(1-Table2[[#This Row],[Discount]])</f>
        <v>1424.115</v>
      </c>
      <c r="K1107" t="s">
        <v>41</v>
      </c>
      <c r="L1107" t="s">
        <v>43</v>
      </c>
      <c r="M1107">
        <v>0</v>
      </c>
      <c r="N1107" t="s">
        <v>1151</v>
      </c>
      <c r="O1107" t="s">
        <v>2578</v>
      </c>
      <c r="P1107" s="7">
        <v>6.85</v>
      </c>
      <c r="Q1107" s="1">
        <v>45525</v>
      </c>
      <c r="R1107">
        <f>WEEKNUM(Table2[[#This Row],[OrderDate]])</f>
        <v>34</v>
      </c>
      <c r="S1107" s="1">
        <v>45534</v>
      </c>
      <c r="T1107" t="s">
        <v>2920</v>
      </c>
    </row>
    <row r="1108" spans="1:20" x14ac:dyDescent="0.35">
      <c r="A1108" s="1">
        <v>45070</v>
      </c>
      <c r="B1108" t="s">
        <v>2933</v>
      </c>
      <c r="C1108" t="s">
        <v>23</v>
      </c>
      <c r="D1108" s="9">
        <v>4</v>
      </c>
      <c r="E1108" s="7">
        <v>323.63</v>
      </c>
      <c r="F1108" t="s">
        <v>28</v>
      </c>
      <c r="G1108" t="s">
        <v>31</v>
      </c>
      <c r="H1108" s="12">
        <v>0.1</v>
      </c>
      <c r="I1108" t="s">
        <v>35</v>
      </c>
      <c r="J1108" s="7">
        <f>Table2[[#This Row],[UnitPrice]]*Table2[[#This Row],[Quantity]]*(1-Table2[[#This Row],[Discount]])</f>
        <v>1165.068</v>
      </c>
      <c r="K1108" t="s">
        <v>40</v>
      </c>
      <c r="L1108" t="s">
        <v>43</v>
      </c>
      <c r="M1108">
        <v>0</v>
      </c>
      <c r="N1108" t="s">
        <v>1152</v>
      </c>
      <c r="O1108" t="s">
        <v>2579</v>
      </c>
      <c r="P1108" s="7">
        <v>32.92</v>
      </c>
      <c r="Q1108" s="1">
        <v>45070</v>
      </c>
      <c r="R1108">
        <f>WEEKNUM(Table2[[#This Row],[OrderDate]])</f>
        <v>21</v>
      </c>
      <c r="S1108" s="1">
        <v>45078</v>
      </c>
      <c r="T1108" t="s">
        <v>2921</v>
      </c>
    </row>
    <row r="1109" spans="1:20" x14ac:dyDescent="0.35">
      <c r="A1109" s="1">
        <v>45043</v>
      </c>
      <c r="B1109" t="s">
        <v>2933</v>
      </c>
      <c r="C1109" t="s">
        <v>23</v>
      </c>
      <c r="D1109" s="9">
        <v>16</v>
      </c>
      <c r="E1109" s="7">
        <v>37.4</v>
      </c>
      <c r="F1109" t="s">
        <v>27</v>
      </c>
      <c r="G1109" t="s">
        <v>30</v>
      </c>
      <c r="H1109" s="12">
        <v>0.05</v>
      </c>
      <c r="I1109" t="s">
        <v>37</v>
      </c>
      <c r="J1109" s="7">
        <f>Table2[[#This Row],[UnitPrice]]*Table2[[#This Row],[Quantity]]*(1-Table2[[#This Row],[Discount]])</f>
        <v>568.4799999999999</v>
      </c>
      <c r="K1109" t="s">
        <v>40</v>
      </c>
      <c r="L1109" t="s">
        <v>43</v>
      </c>
      <c r="M1109">
        <v>0</v>
      </c>
      <c r="N1109" t="s">
        <v>1153</v>
      </c>
      <c r="O1109" t="s">
        <v>2580</v>
      </c>
      <c r="P1109" s="7">
        <v>49.55</v>
      </c>
      <c r="Q1109" s="1">
        <v>45043</v>
      </c>
      <c r="R1109">
        <f>WEEKNUM(Table2[[#This Row],[OrderDate]])</f>
        <v>17</v>
      </c>
      <c r="S1109" s="1">
        <v>45047</v>
      </c>
      <c r="T1109" t="s">
        <v>2921</v>
      </c>
    </row>
    <row r="1110" spans="1:20" x14ac:dyDescent="0.35">
      <c r="A1110" s="1">
        <v>45067</v>
      </c>
      <c r="B1110" t="s">
        <v>2930</v>
      </c>
      <c r="C1110" t="s">
        <v>24</v>
      </c>
      <c r="D1110" s="9">
        <v>1</v>
      </c>
      <c r="E1110" s="7">
        <v>418.98</v>
      </c>
      <c r="F1110" t="s">
        <v>26</v>
      </c>
      <c r="G1110" t="s">
        <v>31</v>
      </c>
      <c r="H1110" s="12">
        <v>0.1</v>
      </c>
      <c r="I1110" t="s">
        <v>35</v>
      </c>
      <c r="J1110" s="7">
        <f>Table2[[#This Row],[UnitPrice]]*Table2[[#This Row],[Quantity]]*(1-Table2[[#This Row],[Discount]])</f>
        <v>377.08200000000005</v>
      </c>
      <c r="K1110" t="s">
        <v>39</v>
      </c>
      <c r="L1110" t="s">
        <v>43</v>
      </c>
      <c r="M1110">
        <v>0</v>
      </c>
      <c r="N1110" t="s">
        <v>1154</v>
      </c>
      <c r="O1110" t="s">
        <v>2581</v>
      </c>
      <c r="P1110" s="7">
        <v>43.72</v>
      </c>
      <c r="Q1110" s="1">
        <v>45067</v>
      </c>
      <c r="R1110">
        <f>WEEKNUM(Table2[[#This Row],[OrderDate]])</f>
        <v>21</v>
      </c>
      <c r="S1110" s="1">
        <v>45072</v>
      </c>
      <c r="T1110" t="s">
        <v>2917</v>
      </c>
    </row>
    <row r="1111" spans="1:20" x14ac:dyDescent="0.35">
      <c r="A1111" s="1">
        <v>45704</v>
      </c>
      <c r="B1111" t="s">
        <v>2930</v>
      </c>
      <c r="C1111" t="s">
        <v>23</v>
      </c>
      <c r="D1111" s="9">
        <v>12</v>
      </c>
      <c r="E1111" s="7">
        <v>108.35</v>
      </c>
      <c r="F1111" t="s">
        <v>27</v>
      </c>
      <c r="G1111" t="s">
        <v>30</v>
      </c>
      <c r="H1111" s="12">
        <v>0</v>
      </c>
      <c r="I1111" t="s">
        <v>36</v>
      </c>
      <c r="J1111" s="7">
        <f>Table2[[#This Row],[UnitPrice]]*Table2[[#This Row],[Quantity]]*(1-Table2[[#This Row],[Discount]])</f>
        <v>1300.1999999999998</v>
      </c>
      <c r="K1111" t="s">
        <v>38</v>
      </c>
      <c r="L1111" t="s">
        <v>43</v>
      </c>
      <c r="M1111">
        <v>0</v>
      </c>
      <c r="N1111" t="s">
        <v>1155</v>
      </c>
      <c r="O1111" t="s">
        <v>2582</v>
      </c>
      <c r="P1111" s="7">
        <v>42.06</v>
      </c>
      <c r="Q1111" s="1">
        <v>45704</v>
      </c>
      <c r="R1111">
        <f>WEEKNUM(Table2[[#This Row],[OrderDate]])</f>
        <v>8</v>
      </c>
      <c r="S1111" s="1">
        <v>45713</v>
      </c>
      <c r="T1111" t="s">
        <v>2917</v>
      </c>
    </row>
    <row r="1112" spans="1:20" x14ac:dyDescent="0.35">
      <c r="A1112" s="1">
        <v>45162</v>
      </c>
      <c r="B1112" t="s">
        <v>2930</v>
      </c>
      <c r="C1112" t="s">
        <v>24</v>
      </c>
      <c r="D1112" s="9">
        <v>5</v>
      </c>
      <c r="E1112" s="7">
        <v>256.42</v>
      </c>
      <c r="F1112" t="s">
        <v>26</v>
      </c>
      <c r="G1112" t="s">
        <v>31</v>
      </c>
      <c r="H1112" s="12">
        <v>0</v>
      </c>
      <c r="I1112" t="s">
        <v>33</v>
      </c>
      <c r="J1112" s="7">
        <f>Table2[[#This Row],[UnitPrice]]*Table2[[#This Row],[Quantity]]*(1-Table2[[#This Row],[Discount]])</f>
        <v>1282.1000000000001</v>
      </c>
      <c r="K1112" t="s">
        <v>39</v>
      </c>
      <c r="L1112" t="s">
        <v>43</v>
      </c>
      <c r="M1112">
        <v>0</v>
      </c>
      <c r="N1112" t="s">
        <v>1156</v>
      </c>
      <c r="O1112" t="s">
        <v>2583</v>
      </c>
      <c r="P1112" s="7">
        <v>28.74</v>
      </c>
      <c r="Q1112" s="1">
        <v>45162</v>
      </c>
      <c r="R1112">
        <f>WEEKNUM(Table2[[#This Row],[OrderDate]])</f>
        <v>34</v>
      </c>
      <c r="S1112" s="1">
        <v>45167</v>
      </c>
      <c r="T1112" t="s">
        <v>2917</v>
      </c>
    </row>
    <row r="1113" spans="1:20" x14ac:dyDescent="0.35">
      <c r="A1113" s="1">
        <v>45365</v>
      </c>
      <c r="B1113" t="s">
        <v>2930</v>
      </c>
      <c r="C1113" t="s">
        <v>21</v>
      </c>
      <c r="D1113" s="9">
        <v>16</v>
      </c>
      <c r="E1113" s="7">
        <v>544.91</v>
      </c>
      <c r="F1113" t="s">
        <v>26</v>
      </c>
      <c r="G1113" t="s">
        <v>31</v>
      </c>
      <c r="H1113" s="12">
        <v>0.1</v>
      </c>
      <c r="I1113" t="s">
        <v>34</v>
      </c>
      <c r="J1113" s="7">
        <f>Table2[[#This Row],[UnitPrice]]*Table2[[#This Row],[Quantity]]*(1-Table2[[#This Row],[Discount]])</f>
        <v>7846.7039999999997</v>
      </c>
      <c r="K1113" t="s">
        <v>40</v>
      </c>
      <c r="L1113" t="s">
        <v>43</v>
      </c>
      <c r="M1113">
        <v>0</v>
      </c>
      <c r="N1113" t="s">
        <v>1157</v>
      </c>
      <c r="O1113" t="s">
        <v>2584</v>
      </c>
      <c r="P1113" s="7">
        <v>39.26</v>
      </c>
      <c r="Q1113" s="1">
        <v>45365</v>
      </c>
      <c r="R1113">
        <f>WEEKNUM(Table2[[#This Row],[OrderDate]])</f>
        <v>11</v>
      </c>
      <c r="S1113" s="1">
        <v>45372</v>
      </c>
      <c r="T1113" t="s">
        <v>2917</v>
      </c>
    </row>
    <row r="1114" spans="1:20" x14ac:dyDescent="0.35">
      <c r="A1114" s="1">
        <v>45320</v>
      </c>
      <c r="B1114" t="s">
        <v>2931</v>
      </c>
      <c r="C1114" t="s">
        <v>21</v>
      </c>
      <c r="D1114" s="9">
        <v>19</v>
      </c>
      <c r="E1114" s="7">
        <v>113.42</v>
      </c>
      <c r="F1114" t="s">
        <v>27</v>
      </c>
      <c r="G1114" t="s">
        <v>31</v>
      </c>
      <c r="H1114" s="12">
        <v>0</v>
      </c>
      <c r="I1114" t="s">
        <v>32</v>
      </c>
      <c r="J1114" s="7">
        <f>Table2[[#This Row],[UnitPrice]]*Table2[[#This Row],[Quantity]]*(1-Table2[[#This Row],[Discount]])</f>
        <v>2154.98</v>
      </c>
      <c r="K1114" t="s">
        <v>41</v>
      </c>
      <c r="L1114" t="s">
        <v>45</v>
      </c>
      <c r="M1114">
        <v>0</v>
      </c>
      <c r="N1114" t="s">
        <v>1158</v>
      </c>
      <c r="O1114" t="s">
        <v>2585</v>
      </c>
      <c r="P1114" s="7">
        <v>44.96</v>
      </c>
      <c r="Q1114" s="1">
        <v>45320</v>
      </c>
      <c r="R1114">
        <f>WEEKNUM(Table2[[#This Row],[OrderDate]])</f>
        <v>5</v>
      </c>
      <c r="S1114" s="1">
        <v>45329</v>
      </c>
      <c r="T1114" t="s">
        <v>2919</v>
      </c>
    </row>
    <row r="1115" spans="1:20" x14ac:dyDescent="0.35">
      <c r="A1115" s="1">
        <v>45513</v>
      </c>
      <c r="B1115" t="s">
        <v>2932</v>
      </c>
      <c r="C1115" t="s">
        <v>20</v>
      </c>
      <c r="D1115" s="9">
        <v>10</v>
      </c>
      <c r="E1115" s="7">
        <v>522.73</v>
      </c>
      <c r="F1115" t="s">
        <v>28</v>
      </c>
      <c r="G1115" t="s">
        <v>31</v>
      </c>
      <c r="H1115" s="12">
        <v>0.1</v>
      </c>
      <c r="I1115" t="s">
        <v>37</v>
      </c>
      <c r="J1115" s="7">
        <f>Table2[[#This Row],[UnitPrice]]*Table2[[#This Row],[Quantity]]*(1-Table2[[#This Row],[Discount]])</f>
        <v>4704.5700000000006</v>
      </c>
      <c r="K1115" t="s">
        <v>40</v>
      </c>
      <c r="L1115" t="s">
        <v>2937</v>
      </c>
      <c r="M1115">
        <v>0</v>
      </c>
      <c r="N1115" t="s">
        <v>1159</v>
      </c>
      <c r="O1115" t="s">
        <v>2586</v>
      </c>
      <c r="P1115" s="7">
        <v>20.059999999999999</v>
      </c>
      <c r="Q1115" s="1">
        <v>45513</v>
      </c>
      <c r="R1115">
        <f>WEEKNUM(Table2[[#This Row],[OrderDate]])</f>
        <v>32</v>
      </c>
      <c r="S1115" s="1">
        <v>45519</v>
      </c>
      <c r="T1115" t="s">
        <v>2918</v>
      </c>
    </row>
    <row r="1116" spans="1:20" x14ac:dyDescent="0.35">
      <c r="A1116" s="1">
        <v>45481</v>
      </c>
      <c r="B1116" t="s">
        <v>2931</v>
      </c>
      <c r="C1116" t="s">
        <v>24</v>
      </c>
      <c r="D1116" s="9">
        <v>18</v>
      </c>
      <c r="E1116" s="7">
        <v>448.03</v>
      </c>
      <c r="F1116" t="s">
        <v>26</v>
      </c>
      <c r="G1116" t="s">
        <v>31</v>
      </c>
      <c r="H1116" s="12">
        <v>0.15</v>
      </c>
      <c r="I1116" t="s">
        <v>34</v>
      </c>
      <c r="J1116" s="7">
        <f>Table2[[#This Row],[UnitPrice]]*Table2[[#This Row],[Quantity]]*(1-Table2[[#This Row],[Discount]])</f>
        <v>6854.8589999999995</v>
      </c>
      <c r="K1116" t="s">
        <v>42</v>
      </c>
      <c r="L1116" t="s">
        <v>45</v>
      </c>
      <c r="M1116">
        <v>1</v>
      </c>
      <c r="N1116" t="s">
        <v>1160</v>
      </c>
      <c r="O1116" t="s">
        <v>2587</v>
      </c>
      <c r="P1116" s="7">
        <v>13.23</v>
      </c>
      <c r="Q1116" s="1">
        <v>45481</v>
      </c>
      <c r="R1116">
        <f>WEEKNUM(Table2[[#This Row],[OrderDate]])</f>
        <v>28</v>
      </c>
      <c r="S1116" s="1">
        <v>45490</v>
      </c>
      <c r="T1116" t="s">
        <v>2919</v>
      </c>
    </row>
    <row r="1117" spans="1:20" x14ac:dyDescent="0.35">
      <c r="A1117" s="1">
        <v>45524</v>
      </c>
      <c r="B1117" t="s">
        <v>2931</v>
      </c>
      <c r="C1117" t="s">
        <v>23</v>
      </c>
      <c r="D1117" s="9">
        <v>15</v>
      </c>
      <c r="E1117" s="7">
        <v>208.51</v>
      </c>
      <c r="F1117" t="s">
        <v>27</v>
      </c>
      <c r="G1117" t="s">
        <v>31</v>
      </c>
      <c r="H1117" s="12">
        <v>0.05</v>
      </c>
      <c r="I1117" t="s">
        <v>35</v>
      </c>
      <c r="J1117" s="7">
        <f>Table2[[#This Row],[UnitPrice]]*Table2[[#This Row],[Quantity]]*(1-Table2[[#This Row],[Discount]])</f>
        <v>2971.2674999999995</v>
      </c>
      <c r="K1117" t="s">
        <v>39</v>
      </c>
      <c r="L1117" t="s">
        <v>2937</v>
      </c>
      <c r="M1117">
        <v>0</v>
      </c>
      <c r="N1117" t="s">
        <v>1161</v>
      </c>
      <c r="O1117" t="s">
        <v>2588</v>
      </c>
      <c r="P1117" s="7">
        <v>37.81</v>
      </c>
      <c r="Q1117" s="1">
        <v>45524</v>
      </c>
      <c r="R1117">
        <f>WEEKNUM(Table2[[#This Row],[OrderDate]])</f>
        <v>34</v>
      </c>
      <c r="S1117" s="1">
        <v>45533</v>
      </c>
      <c r="T1117" t="s">
        <v>2919</v>
      </c>
    </row>
    <row r="1118" spans="1:20" x14ac:dyDescent="0.35">
      <c r="A1118" s="1">
        <v>45103</v>
      </c>
      <c r="B1118" t="s">
        <v>2934</v>
      </c>
      <c r="C1118" t="s">
        <v>19</v>
      </c>
      <c r="D1118" s="9">
        <v>13</v>
      </c>
      <c r="E1118" s="7">
        <v>423.64</v>
      </c>
      <c r="F1118" t="s">
        <v>28</v>
      </c>
      <c r="G1118" t="s">
        <v>31</v>
      </c>
      <c r="H1118" s="12">
        <v>0.1</v>
      </c>
      <c r="I1118" t="s">
        <v>33</v>
      </c>
      <c r="J1118" s="7">
        <f>Table2[[#This Row],[UnitPrice]]*Table2[[#This Row],[Quantity]]*(1-Table2[[#This Row],[Discount]])</f>
        <v>4956.5879999999997</v>
      </c>
      <c r="K1118" t="s">
        <v>41</v>
      </c>
      <c r="L1118" t="s">
        <v>2937</v>
      </c>
      <c r="M1118">
        <v>1</v>
      </c>
      <c r="N1118" t="s">
        <v>1162</v>
      </c>
      <c r="O1118" t="s">
        <v>2589</v>
      </c>
      <c r="P1118" s="7">
        <v>23.31</v>
      </c>
      <c r="Q1118" s="1">
        <v>45103</v>
      </c>
      <c r="R1118">
        <f>WEEKNUM(Table2[[#This Row],[OrderDate]])</f>
        <v>26</v>
      </c>
      <c r="S1118" s="1">
        <v>45105</v>
      </c>
      <c r="T1118" t="s">
        <v>2920</v>
      </c>
    </row>
    <row r="1119" spans="1:20" x14ac:dyDescent="0.35">
      <c r="A1119" s="1">
        <v>45283</v>
      </c>
      <c r="B1119" t="s">
        <v>2930</v>
      </c>
      <c r="C1119" t="s">
        <v>22</v>
      </c>
      <c r="D1119" s="9">
        <v>5</v>
      </c>
      <c r="E1119" s="7">
        <v>552.26</v>
      </c>
      <c r="F1119" t="s">
        <v>29</v>
      </c>
      <c r="G1119" t="s">
        <v>30</v>
      </c>
      <c r="H1119" s="12">
        <v>0.15</v>
      </c>
      <c r="I1119" t="s">
        <v>33</v>
      </c>
      <c r="J1119" s="7">
        <f>Table2[[#This Row],[UnitPrice]]*Table2[[#This Row],[Quantity]]*(1-Table2[[#This Row],[Discount]])</f>
        <v>2347.105</v>
      </c>
      <c r="K1119" t="s">
        <v>41</v>
      </c>
      <c r="L1119" t="s">
        <v>45</v>
      </c>
      <c r="M1119">
        <v>0</v>
      </c>
      <c r="N1119" t="s">
        <v>1163</v>
      </c>
      <c r="O1119" t="s">
        <v>2590</v>
      </c>
      <c r="P1119" s="7">
        <v>26.5</v>
      </c>
      <c r="Q1119" s="1">
        <v>45283</v>
      </c>
      <c r="R1119">
        <f>WEEKNUM(Table2[[#This Row],[OrderDate]])</f>
        <v>51</v>
      </c>
      <c r="S1119" s="1">
        <v>45285</v>
      </c>
      <c r="T1119" t="s">
        <v>2917</v>
      </c>
    </row>
    <row r="1120" spans="1:20" x14ac:dyDescent="0.35">
      <c r="A1120" s="1">
        <v>45158</v>
      </c>
      <c r="B1120" t="s">
        <v>2934</v>
      </c>
      <c r="C1120" t="s">
        <v>21</v>
      </c>
      <c r="D1120" s="9">
        <v>1</v>
      </c>
      <c r="E1120" s="7">
        <v>182.11</v>
      </c>
      <c r="F1120" t="s">
        <v>27</v>
      </c>
      <c r="G1120" t="s">
        <v>31</v>
      </c>
      <c r="H1120" s="12">
        <v>0.1</v>
      </c>
      <c r="I1120" t="s">
        <v>35</v>
      </c>
      <c r="J1120" s="7">
        <f>Table2[[#This Row],[UnitPrice]]*Table2[[#This Row],[Quantity]]*(1-Table2[[#This Row],[Discount]])</f>
        <v>163.89900000000003</v>
      </c>
      <c r="K1120" t="s">
        <v>40</v>
      </c>
      <c r="L1120" t="s">
        <v>45</v>
      </c>
      <c r="M1120">
        <v>0</v>
      </c>
      <c r="N1120" t="s">
        <v>1164</v>
      </c>
      <c r="O1120" t="s">
        <v>2591</v>
      </c>
      <c r="P1120" s="7">
        <v>7.31</v>
      </c>
      <c r="Q1120" s="1">
        <v>45158</v>
      </c>
      <c r="R1120">
        <f>WEEKNUM(Table2[[#This Row],[OrderDate]])</f>
        <v>34</v>
      </c>
      <c r="S1120" s="1">
        <v>45165</v>
      </c>
      <c r="T1120" t="s">
        <v>2920</v>
      </c>
    </row>
    <row r="1121" spans="1:20" x14ac:dyDescent="0.35">
      <c r="A1121" s="1">
        <v>45593</v>
      </c>
      <c r="B1121" t="s">
        <v>2933</v>
      </c>
      <c r="C1121" t="s">
        <v>21</v>
      </c>
      <c r="D1121" s="9">
        <v>7</v>
      </c>
      <c r="E1121" s="7">
        <v>466.36</v>
      </c>
      <c r="F1121" t="s">
        <v>29</v>
      </c>
      <c r="G1121" t="s">
        <v>30</v>
      </c>
      <c r="H1121" s="12">
        <v>0.05</v>
      </c>
      <c r="I1121" t="s">
        <v>37</v>
      </c>
      <c r="J1121" s="7">
        <f>Table2[[#This Row],[UnitPrice]]*Table2[[#This Row],[Quantity]]*(1-Table2[[#This Row],[Discount]])</f>
        <v>3101.2939999999999</v>
      </c>
      <c r="K1121" t="s">
        <v>38</v>
      </c>
      <c r="L1121" t="s">
        <v>44</v>
      </c>
      <c r="M1121">
        <v>1</v>
      </c>
      <c r="N1121" t="s">
        <v>1165</v>
      </c>
      <c r="O1121" t="s">
        <v>2592</v>
      </c>
      <c r="P1121" s="7">
        <v>11.45</v>
      </c>
      <c r="Q1121" s="1">
        <v>45593</v>
      </c>
      <c r="R1121">
        <f>WEEKNUM(Table2[[#This Row],[OrderDate]])</f>
        <v>44</v>
      </c>
      <c r="S1121" s="1">
        <v>45602</v>
      </c>
      <c r="T1121" t="s">
        <v>2921</v>
      </c>
    </row>
    <row r="1122" spans="1:20" x14ac:dyDescent="0.35">
      <c r="A1122" s="1">
        <v>45607</v>
      </c>
      <c r="B1122" t="s">
        <v>2930</v>
      </c>
      <c r="C1122" t="s">
        <v>25</v>
      </c>
      <c r="D1122" s="9">
        <v>15</v>
      </c>
      <c r="E1122" s="7">
        <v>140.54</v>
      </c>
      <c r="F1122" t="s">
        <v>27</v>
      </c>
      <c r="G1122" t="s">
        <v>30</v>
      </c>
      <c r="H1122" s="12">
        <v>0.1</v>
      </c>
      <c r="I1122" t="s">
        <v>32</v>
      </c>
      <c r="J1122" s="7">
        <f>Table2[[#This Row],[UnitPrice]]*Table2[[#This Row],[Quantity]]*(1-Table2[[#This Row],[Discount]])</f>
        <v>1897.29</v>
      </c>
      <c r="K1122" t="s">
        <v>40</v>
      </c>
      <c r="L1122" t="s">
        <v>44</v>
      </c>
      <c r="M1122">
        <v>0</v>
      </c>
      <c r="N1122" t="s">
        <v>1166</v>
      </c>
      <c r="O1122" t="s">
        <v>2593</v>
      </c>
      <c r="P1122" s="7">
        <v>49.91</v>
      </c>
      <c r="Q1122" s="1">
        <v>45607</v>
      </c>
      <c r="R1122">
        <f>WEEKNUM(Table2[[#This Row],[OrderDate]])</f>
        <v>46</v>
      </c>
      <c r="S1122" s="1">
        <v>45617</v>
      </c>
      <c r="T1122" t="s">
        <v>2917</v>
      </c>
    </row>
    <row r="1123" spans="1:20" x14ac:dyDescent="0.35">
      <c r="A1123" s="1">
        <v>45267</v>
      </c>
      <c r="B1123" t="s">
        <v>2933</v>
      </c>
      <c r="C1123" t="s">
        <v>21</v>
      </c>
      <c r="D1123" s="9">
        <v>17</v>
      </c>
      <c r="E1123" s="7">
        <v>460.31</v>
      </c>
      <c r="F1123" t="s">
        <v>27</v>
      </c>
      <c r="G1123" t="s">
        <v>31</v>
      </c>
      <c r="H1123" s="12">
        <v>0.15</v>
      </c>
      <c r="I1123" t="s">
        <v>36</v>
      </c>
      <c r="J1123" s="7">
        <f>Table2[[#This Row],[UnitPrice]]*Table2[[#This Row],[Quantity]]*(1-Table2[[#This Row],[Discount]])</f>
        <v>6651.4795000000004</v>
      </c>
      <c r="K1123" t="s">
        <v>38</v>
      </c>
      <c r="L1123" t="s">
        <v>45</v>
      </c>
      <c r="M1123">
        <v>0</v>
      </c>
      <c r="N1123" t="s">
        <v>1167</v>
      </c>
      <c r="O1123" t="s">
        <v>2594</v>
      </c>
      <c r="P1123" s="7">
        <v>40.18</v>
      </c>
      <c r="Q1123" s="1">
        <v>45267</v>
      </c>
      <c r="R1123">
        <f>WEEKNUM(Table2[[#This Row],[OrderDate]])</f>
        <v>49</v>
      </c>
      <c r="S1123" s="1">
        <v>45275</v>
      </c>
      <c r="T1123" t="s">
        <v>2921</v>
      </c>
    </row>
    <row r="1124" spans="1:20" x14ac:dyDescent="0.35">
      <c r="A1124" s="1">
        <v>45374</v>
      </c>
      <c r="B1124" t="s">
        <v>2933</v>
      </c>
      <c r="C1124" t="s">
        <v>19</v>
      </c>
      <c r="D1124" s="9">
        <v>5</v>
      </c>
      <c r="E1124" s="7">
        <v>132.87</v>
      </c>
      <c r="F1124" t="s">
        <v>26</v>
      </c>
      <c r="G1124" t="s">
        <v>31</v>
      </c>
      <c r="H1124" s="12">
        <v>0</v>
      </c>
      <c r="I1124" t="s">
        <v>37</v>
      </c>
      <c r="J1124" s="7">
        <f>Table2[[#This Row],[UnitPrice]]*Table2[[#This Row],[Quantity]]*(1-Table2[[#This Row],[Discount]])</f>
        <v>664.35</v>
      </c>
      <c r="K1124" t="s">
        <v>41</v>
      </c>
      <c r="L1124" t="s">
        <v>45</v>
      </c>
      <c r="M1124">
        <v>0</v>
      </c>
      <c r="N1124" t="s">
        <v>1168</v>
      </c>
      <c r="O1124" t="s">
        <v>2595</v>
      </c>
      <c r="P1124" s="7">
        <v>37.909999999999997</v>
      </c>
      <c r="Q1124" s="1">
        <v>45374</v>
      </c>
      <c r="R1124">
        <f>WEEKNUM(Table2[[#This Row],[OrderDate]])</f>
        <v>12</v>
      </c>
      <c r="S1124" s="1">
        <v>45384</v>
      </c>
      <c r="T1124" t="s">
        <v>2921</v>
      </c>
    </row>
    <row r="1125" spans="1:20" x14ac:dyDescent="0.35">
      <c r="A1125" s="1">
        <v>45594</v>
      </c>
      <c r="B1125" t="s">
        <v>2933</v>
      </c>
      <c r="C1125" t="s">
        <v>24</v>
      </c>
      <c r="D1125" s="9">
        <v>12</v>
      </c>
      <c r="E1125" s="7">
        <v>209.86</v>
      </c>
      <c r="F1125" t="s">
        <v>29</v>
      </c>
      <c r="G1125" t="s">
        <v>31</v>
      </c>
      <c r="H1125" s="12">
        <v>0.05</v>
      </c>
      <c r="I1125" t="s">
        <v>37</v>
      </c>
      <c r="J1125" s="7">
        <f>Table2[[#This Row],[UnitPrice]]*Table2[[#This Row],[Quantity]]*(1-Table2[[#This Row],[Discount]])</f>
        <v>2392.404</v>
      </c>
      <c r="K1125" t="s">
        <v>38</v>
      </c>
      <c r="L1125" t="s">
        <v>45</v>
      </c>
      <c r="M1125">
        <v>0</v>
      </c>
      <c r="N1125" t="s">
        <v>1169</v>
      </c>
      <c r="O1125" t="s">
        <v>2596</v>
      </c>
      <c r="P1125" s="7">
        <v>8.7799999999999994</v>
      </c>
      <c r="Q1125" s="1">
        <v>45594</v>
      </c>
      <c r="R1125">
        <f>WEEKNUM(Table2[[#This Row],[OrderDate]])</f>
        <v>44</v>
      </c>
      <c r="S1125" s="1">
        <v>45598</v>
      </c>
      <c r="T1125" t="s">
        <v>2921</v>
      </c>
    </row>
    <row r="1126" spans="1:20" x14ac:dyDescent="0.35">
      <c r="A1126" s="1">
        <v>45825</v>
      </c>
      <c r="B1126" t="s">
        <v>2930</v>
      </c>
      <c r="C1126" t="s">
        <v>19</v>
      </c>
      <c r="D1126" s="9">
        <v>9</v>
      </c>
      <c r="E1126" s="7">
        <v>31.35</v>
      </c>
      <c r="F1126" t="s">
        <v>26</v>
      </c>
      <c r="G1126" t="s">
        <v>31</v>
      </c>
      <c r="H1126" s="12">
        <v>0.1</v>
      </c>
      <c r="I1126" t="s">
        <v>36</v>
      </c>
      <c r="J1126" s="7">
        <f>Table2[[#This Row],[UnitPrice]]*Table2[[#This Row],[Quantity]]*(1-Table2[[#This Row],[Discount]])</f>
        <v>253.93500000000003</v>
      </c>
      <c r="K1126" t="s">
        <v>42</v>
      </c>
      <c r="L1126" t="s">
        <v>44</v>
      </c>
      <c r="M1126">
        <v>0</v>
      </c>
      <c r="N1126" t="s">
        <v>1170</v>
      </c>
      <c r="O1126" t="s">
        <v>2597</v>
      </c>
      <c r="P1126" s="7">
        <v>39.32</v>
      </c>
      <c r="Q1126" s="1">
        <v>45825</v>
      </c>
      <c r="R1126">
        <f>WEEKNUM(Table2[[#This Row],[OrderDate]])</f>
        <v>25</v>
      </c>
      <c r="S1126" s="1">
        <v>45830</v>
      </c>
      <c r="T1126" t="s">
        <v>2917</v>
      </c>
    </row>
    <row r="1127" spans="1:20" x14ac:dyDescent="0.35">
      <c r="A1127" s="1">
        <v>45003</v>
      </c>
      <c r="B1127" t="s">
        <v>2931</v>
      </c>
      <c r="C1127" t="s">
        <v>22</v>
      </c>
      <c r="D1127" s="9">
        <v>11</v>
      </c>
      <c r="E1127" s="7">
        <v>335.11</v>
      </c>
      <c r="F1127" t="s">
        <v>28</v>
      </c>
      <c r="G1127" t="s">
        <v>31</v>
      </c>
      <c r="H1127" s="12">
        <v>0</v>
      </c>
      <c r="I1127" t="s">
        <v>34</v>
      </c>
      <c r="J1127" s="7">
        <f>Table2[[#This Row],[UnitPrice]]*Table2[[#This Row],[Quantity]]*(1-Table2[[#This Row],[Discount]])</f>
        <v>3686.21</v>
      </c>
      <c r="K1127" t="s">
        <v>39</v>
      </c>
      <c r="L1127" t="s">
        <v>43</v>
      </c>
      <c r="M1127">
        <v>0</v>
      </c>
      <c r="N1127" t="s">
        <v>1171</v>
      </c>
      <c r="O1127" t="s">
        <v>2598</v>
      </c>
      <c r="P1127" s="7">
        <v>29.95</v>
      </c>
      <c r="Q1127" s="1">
        <v>45003</v>
      </c>
      <c r="R1127">
        <f>WEEKNUM(Table2[[#This Row],[OrderDate]])</f>
        <v>11</v>
      </c>
      <c r="S1127" s="1">
        <v>45011</v>
      </c>
      <c r="T1127" t="s">
        <v>2919</v>
      </c>
    </row>
    <row r="1128" spans="1:20" x14ac:dyDescent="0.35">
      <c r="A1128" s="1">
        <v>44945</v>
      </c>
      <c r="B1128" t="s">
        <v>2930</v>
      </c>
      <c r="C1128" t="s">
        <v>20</v>
      </c>
      <c r="D1128" s="9">
        <v>8</v>
      </c>
      <c r="E1128" s="7">
        <v>277.43</v>
      </c>
      <c r="F1128" t="s">
        <v>29</v>
      </c>
      <c r="G1128" t="s">
        <v>30</v>
      </c>
      <c r="H1128" s="12">
        <v>0</v>
      </c>
      <c r="I1128" t="s">
        <v>35</v>
      </c>
      <c r="J1128" s="7">
        <f>Table2[[#This Row],[UnitPrice]]*Table2[[#This Row],[Quantity]]*(1-Table2[[#This Row],[Discount]])</f>
        <v>2219.44</v>
      </c>
      <c r="K1128" t="s">
        <v>38</v>
      </c>
      <c r="L1128" t="s">
        <v>44</v>
      </c>
      <c r="M1128">
        <v>0</v>
      </c>
      <c r="N1128" t="s">
        <v>1172</v>
      </c>
      <c r="O1128" t="s">
        <v>2599</v>
      </c>
      <c r="P1128" s="7">
        <v>36.380000000000003</v>
      </c>
      <c r="Q1128" s="1">
        <v>44945</v>
      </c>
      <c r="R1128">
        <f>WEEKNUM(Table2[[#This Row],[OrderDate]])</f>
        <v>3</v>
      </c>
      <c r="S1128" s="1">
        <v>44949</v>
      </c>
      <c r="T1128" t="s">
        <v>2917</v>
      </c>
    </row>
    <row r="1129" spans="1:20" x14ac:dyDescent="0.35">
      <c r="A1129" s="1">
        <v>45116</v>
      </c>
      <c r="B1129" t="s">
        <v>2933</v>
      </c>
      <c r="C1129" t="s">
        <v>21</v>
      </c>
      <c r="D1129" s="9">
        <v>6</v>
      </c>
      <c r="E1129" s="7">
        <v>287.72000000000003</v>
      </c>
      <c r="F1129" t="s">
        <v>27</v>
      </c>
      <c r="G1129" t="s">
        <v>31</v>
      </c>
      <c r="H1129" s="12">
        <v>0.05</v>
      </c>
      <c r="I1129" t="s">
        <v>37</v>
      </c>
      <c r="J1129" s="7">
        <f>Table2[[#This Row],[UnitPrice]]*Table2[[#This Row],[Quantity]]*(1-Table2[[#This Row],[Discount]])</f>
        <v>1640.0040000000001</v>
      </c>
      <c r="K1129" t="s">
        <v>41</v>
      </c>
      <c r="L1129" t="s">
        <v>45</v>
      </c>
      <c r="M1129">
        <v>0</v>
      </c>
      <c r="N1129" t="s">
        <v>1173</v>
      </c>
      <c r="O1129" t="s">
        <v>2600</v>
      </c>
      <c r="P1129" s="7">
        <v>17.14</v>
      </c>
      <c r="Q1129" s="1">
        <v>45116</v>
      </c>
      <c r="R1129">
        <f>WEEKNUM(Table2[[#This Row],[OrderDate]])</f>
        <v>28</v>
      </c>
      <c r="S1129" s="1">
        <v>45121</v>
      </c>
      <c r="T1129" t="s">
        <v>2921</v>
      </c>
    </row>
    <row r="1130" spans="1:20" x14ac:dyDescent="0.35">
      <c r="A1130" s="1">
        <v>45732</v>
      </c>
      <c r="B1130" t="s">
        <v>2930</v>
      </c>
      <c r="C1130" t="s">
        <v>19</v>
      </c>
      <c r="D1130" s="9">
        <v>14</v>
      </c>
      <c r="E1130" s="7">
        <v>459.61</v>
      </c>
      <c r="F1130" t="s">
        <v>26</v>
      </c>
      <c r="G1130" t="s">
        <v>31</v>
      </c>
      <c r="H1130" s="12">
        <v>0.05</v>
      </c>
      <c r="I1130" t="s">
        <v>34</v>
      </c>
      <c r="J1130" s="7">
        <f>Table2[[#This Row],[UnitPrice]]*Table2[[#This Row],[Quantity]]*(1-Table2[[#This Row],[Discount]])</f>
        <v>6112.8130000000001</v>
      </c>
      <c r="K1130" t="s">
        <v>38</v>
      </c>
      <c r="L1130" t="s">
        <v>2937</v>
      </c>
      <c r="M1130">
        <v>1</v>
      </c>
      <c r="N1130" t="s">
        <v>1174</v>
      </c>
      <c r="O1130" t="s">
        <v>2601</v>
      </c>
      <c r="P1130" s="7">
        <v>43.41</v>
      </c>
      <c r="Q1130" s="1">
        <v>45732</v>
      </c>
      <c r="R1130">
        <f>WEEKNUM(Table2[[#This Row],[OrderDate]])</f>
        <v>12</v>
      </c>
      <c r="S1130" s="1">
        <v>45742</v>
      </c>
      <c r="T1130" t="s">
        <v>2917</v>
      </c>
    </row>
    <row r="1131" spans="1:20" x14ac:dyDescent="0.35">
      <c r="A1131" s="1">
        <v>45696</v>
      </c>
      <c r="B1131" t="s">
        <v>2931</v>
      </c>
      <c r="C1131" t="s">
        <v>24</v>
      </c>
      <c r="D1131" s="9">
        <v>10</v>
      </c>
      <c r="E1131" s="7">
        <v>396.73</v>
      </c>
      <c r="F1131" t="s">
        <v>26</v>
      </c>
      <c r="G1131" t="s">
        <v>31</v>
      </c>
      <c r="H1131" s="12">
        <v>0.1</v>
      </c>
      <c r="I1131" t="s">
        <v>32</v>
      </c>
      <c r="J1131" s="7">
        <f>Table2[[#This Row],[UnitPrice]]*Table2[[#This Row],[Quantity]]*(1-Table2[[#This Row],[Discount]])</f>
        <v>3570.57</v>
      </c>
      <c r="K1131" t="s">
        <v>38</v>
      </c>
      <c r="L1131" t="s">
        <v>43</v>
      </c>
      <c r="M1131">
        <v>0</v>
      </c>
      <c r="N1131" t="s">
        <v>1175</v>
      </c>
      <c r="O1131" t="s">
        <v>2602</v>
      </c>
      <c r="P1131" s="7">
        <v>18.13</v>
      </c>
      <c r="Q1131" s="1">
        <v>45696</v>
      </c>
      <c r="R1131">
        <f>WEEKNUM(Table2[[#This Row],[OrderDate]])</f>
        <v>6</v>
      </c>
      <c r="S1131" s="1">
        <v>45701</v>
      </c>
      <c r="T1131" t="s">
        <v>2919</v>
      </c>
    </row>
    <row r="1132" spans="1:20" x14ac:dyDescent="0.35">
      <c r="A1132" s="1">
        <v>45402</v>
      </c>
      <c r="B1132" t="s">
        <v>2932</v>
      </c>
      <c r="C1132" t="s">
        <v>25</v>
      </c>
      <c r="D1132" s="9">
        <v>20</v>
      </c>
      <c r="E1132" s="7">
        <v>516.42999999999995</v>
      </c>
      <c r="F1132" t="s">
        <v>26</v>
      </c>
      <c r="G1132" t="s">
        <v>31</v>
      </c>
      <c r="H1132" s="12">
        <v>0</v>
      </c>
      <c r="I1132" t="s">
        <v>37</v>
      </c>
      <c r="J1132" s="7">
        <f>Table2[[#This Row],[UnitPrice]]*Table2[[#This Row],[Quantity]]*(1-Table2[[#This Row],[Discount]])</f>
        <v>10328.599999999999</v>
      </c>
      <c r="K1132" t="s">
        <v>38</v>
      </c>
      <c r="L1132" t="s">
        <v>43</v>
      </c>
      <c r="M1132">
        <v>0</v>
      </c>
      <c r="N1132" t="s">
        <v>1176</v>
      </c>
      <c r="O1132" t="s">
        <v>1664</v>
      </c>
      <c r="P1132" s="7">
        <v>36.229999999999997</v>
      </c>
      <c r="Q1132" s="1">
        <v>45402</v>
      </c>
      <c r="R1132">
        <f>WEEKNUM(Table2[[#This Row],[OrderDate]])</f>
        <v>16</v>
      </c>
      <c r="S1132" s="1">
        <v>45404</v>
      </c>
      <c r="T1132" t="s">
        <v>2918</v>
      </c>
    </row>
    <row r="1133" spans="1:20" x14ac:dyDescent="0.35">
      <c r="A1133" s="1">
        <v>45813</v>
      </c>
      <c r="B1133" t="s">
        <v>2930</v>
      </c>
      <c r="C1133" t="s">
        <v>19</v>
      </c>
      <c r="D1133" s="9">
        <v>1</v>
      </c>
      <c r="E1133" s="7">
        <v>299.66000000000003</v>
      </c>
      <c r="F1133" t="s">
        <v>27</v>
      </c>
      <c r="G1133" t="s">
        <v>31</v>
      </c>
      <c r="H1133" s="12">
        <v>0.1</v>
      </c>
      <c r="I1133" t="s">
        <v>36</v>
      </c>
      <c r="J1133" s="7">
        <f>Table2[[#This Row],[UnitPrice]]*Table2[[#This Row],[Quantity]]*(1-Table2[[#This Row],[Discount]])</f>
        <v>269.69400000000002</v>
      </c>
      <c r="K1133" t="s">
        <v>42</v>
      </c>
      <c r="L1133" t="s">
        <v>44</v>
      </c>
      <c r="M1133">
        <v>0</v>
      </c>
      <c r="N1133" t="s">
        <v>1177</v>
      </c>
      <c r="O1133" t="s">
        <v>2603</v>
      </c>
      <c r="P1133" s="7">
        <v>38.94</v>
      </c>
      <c r="Q1133" s="1">
        <v>45813</v>
      </c>
      <c r="R1133">
        <f>WEEKNUM(Table2[[#This Row],[OrderDate]])</f>
        <v>23</v>
      </c>
      <c r="S1133" s="1">
        <v>45815</v>
      </c>
      <c r="T1133" t="s">
        <v>2917</v>
      </c>
    </row>
    <row r="1134" spans="1:20" x14ac:dyDescent="0.35">
      <c r="A1134" s="1">
        <v>45772</v>
      </c>
      <c r="B1134" t="s">
        <v>2932</v>
      </c>
      <c r="C1134" t="s">
        <v>22</v>
      </c>
      <c r="D1134" s="9">
        <v>12</v>
      </c>
      <c r="E1134" s="7">
        <v>31.72</v>
      </c>
      <c r="F1134" t="s">
        <v>26</v>
      </c>
      <c r="G1134" t="s">
        <v>31</v>
      </c>
      <c r="H1134" s="12">
        <v>0</v>
      </c>
      <c r="I1134" t="s">
        <v>33</v>
      </c>
      <c r="J1134" s="7">
        <f>Table2[[#This Row],[UnitPrice]]*Table2[[#This Row],[Quantity]]*(1-Table2[[#This Row],[Discount]])</f>
        <v>380.64</v>
      </c>
      <c r="K1134" t="s">
        <v>41</v>
      </c>
      <c r="L1134" t="s">
        <v>44</v>
      </c>
      <c r="M1134">
        <v>0</v>
      </c>
      <c r="N1134" t="s">
        <v>1178</v>
      </c>
      <c r="O1134" t="s">
        <v>2604</v>
      </c>
      <c r="P1134" s="7">
        <v>30.78</v>
      </c>
      <c r="Q1134" s="1">
        <v>45772</v>
      </c>
      <c r="R1134">
        <f>WEEKNUM(Table2[[#This Row],[OrderDate]])</f>
        <v>17</v>
      </c>
      <c r="S1134" s="1">
        <v>45780</v>
      </c>
      <c r="T1134" t="s">
        <v>2918</v>
      </c>
    </row>
    <row r="1135" spans="1:20" x14ac:dyDescent="0.35">
      <c r="A1135" s="1">
        <v>45175</v>
      </c>
      <c r="B1135" t="s">
        <v>2934</v>
      </c>
      <c r="C1135" t="s">
        <v>20</v>
      </c>
      <c r="D1135" s="9">
        <v>17</v>
      </c>
      <c r="E1135" s="7">
        <v>588.58000000000004</v>
      </c>
      <c r="F1135" t="s">
        <v>29</v>
      </c>
      <c r="G1135" t="s">
        <v>30</v>
      </c>
      <c r="H1135" s="12">
        <v>0.05</v>
      </c>
      <c r="I1135" t="s">
        <v>36</v>
      </c>
      <c r="J1135" s="7">
        <f>Table2[[#This Row],[UnitPrice]]*Table2[[#This Row],[Quantity]]*(1-Table2[[#This Row],[Discount]])</f>
        <v>9505.5670000000009</v>
      </c>
      <c r="K1135" t="s">
        <v>41</v>
      </c>
      <c r="L1135" t="s">
        <v>44</v>
      </c>
      <c r="M1135">
        <v>1</v>
      </c>
      <c r="N1135" t="s">
        <v>1179</v>
      </c>
      <c r="O1135" t="s">
        <v>2605</v>
      </c>
      <c r="P1135" s="7">
        <v>25.31</v>
      </c>
      <c r="Q1135" s="1">
        <v>45175</v>
      </c>
      <c r="R1135">
        <f>WEEKNUM(Table2[[#This Row],[OrderDate]])</f>
        <v>36</v>
      </c>
      <c r="S1135" s="1">
        <v>45182</v>
      </c>
      <c r="T1135" t="s">
        <v>2920</v>
      </c>
    </row>
    <row r="1136" spans="1:20" x14ac:dyDescent="0.35">
      <c r="A1136" s="1">
        <v>45198</v>
      </c>
      <c r="B1136" t="s">
        <v>2930</v>
      </c>
      <c r="C1136" t="s">
        <v>19</v>
      </c>
      <c r="D1136" s="9">
        <v>11</v>
      </c>
      <c r="E1136" s="7">
        <v>203.15</v>
      </c>
      <c r="F1136" t="s">
        <v>28</v>
      </c>
      <c r="G1136" t="s">
        <v>31</v>
      </c>
      <c r="H1136" s="12">
        <v>0.1</v>
      </c>
      <c r="I1136" t="s">
        <v>32</v>
      </c>
      <c r="J1136" s="7">
        <f>Table2[[#This Row],[UnitPrice]]*Table2[[#This Row],[Quantity]]*(1-Table2[[#This Row],[Discount]])</f>
        <v>2011.1850000000002</v>
      </c>
      <c r="K1136" t="s">
        <v>38</v>
      </c>
      <c r="L1136" t="s">
        <v>43</v>
      </c>
      <c r="M1136">
        <v>0</v>
      </c>
      <c r="N1136" t="s">
        <v>1180</v>
      </c>
      <c r="O1136" t="s">
        <v>2606</v>
      </c>
      <c r="P1136" s="7">
        <v>30.97</v>
      </c>
      <c r="Q1136" s="1">
        <v>45198</v>
      </c>
      <c r="R1136">
        <f>WEEKNUM(Table2[[#This Row],[OrderDate]])</f>
        <v>39</v>
      </c>
      <c r="S1136" s="1">
        <v>45201</v>
      </c>
      <c r="T1136" t="s">
        <v>2917</v>
      </c>
    </row>
    <row r="1137" spans="1:20" x14ac:dyDescent="0.35">
      <c r="A1137" s="1">
        <v>45433</v>
      </c>
      <c r="B1137" t="s">
        <v>2934</v>
      </c>
      <c r="C1137" t="s">
        <v>23</v>
      </c>
      <c r="D1137" s="9">
        <v>18</v>
      </c>
      <c r="E1137" s="7">
        <v>139.13999999999999</v>
      </c>
      <c r="F1137" t="s">
        <v>27</v>
      </c>
      <c r="G1137" t="s">
        <v>30</v>
      </c>
      <c r="H1137" s="12">
        <v>0</v>
      </c>
      <c r="I1137" t="s">
        <v>35</v>
      </c>
      <c r="J1137" s="7">
        <f>Table2[[#This Row],[UnitPrice]]*Table2[[#This Row],[Quantity]]*(1-Table2[[#This Row],[Discount]])</f>
        <v>2504.5199999999995</v>
      </c>
      <c r="K1137" t="s">
        <v>38</v>
      </c>
      <c r="L1137" t="s">
        <v>43</v>
      </c>
      <c r="M1137">
        <v>1</v>
      </c>
      <c r="N1137" t="s">
        <v>1181</v>
      </c>
      <c r="O1137" t="s">
        <v>2607</v>
      </c>
      <c r="P1137" s="7">
        <v>10.56</v>
      </c>
      <c r="Q1137" s="1">
        <v>45433</v>
      </c>
      <c r="R1137">
        <f>WEEKNUM(Table2[[#This Row],[OrderDate]])</f>
        <v>21</v>
      </c>
      <c r="S1137" s="1">
        <v>45435</v>
      </c>
      <c r="T1137" t="s">
        <v>2920</v>
      </c>
    </row>
    <row r="1138" spans="1:20" x14ac:dyDescent="0.35">
      <c r="A1138" s="1">
        <v>45760</v>
      </c>
      <c r="B1138" t="s">
        <v>2933</v>
      </c>
      <c r="C1138" t="s">
        <v>23</v>
      </c>
      <c r="D1138" s="9">
        <v>2</v>
      </c>
      <c r="E1138" s="7">
        <v>158.99</v>
      </c>
      <c r="F1138" t="s">
        <v>27</v>
      </c>
      <c r="G1138" t="s">
        <v>30</v>
      </c>
      <c r="H1138" s="12">
        <v>0</v>
      </c>
      <c r="I1138" t="s">
        <v>37</v>
      </c>
      <c r="J1138" s="7">
        <f>Table2[[#This Row],[UnitPrice]]*Table2[[#This Row],[Quantity]]*(1-Table2[[#This Row],[Discount]])</f>
        <v>317.98</v>
      </c>
      <c r="K1138" t="s">
        <v>38</v>
      </c>
      <c r="L1138" t="s">
        <v>2937</v>
      </c>
      <c r="M1138">
        <v>0</v>
      </c>
      <c r="N1138" t="s">
        <v>1182</v>
      </c>
      <c r="O1138" t="s">
        <v>2608</v>
      </c>
      <c r="P1138" s="7">
        <v>48.32</v>
      </c>
      <c r="Q1138" s="1">
        <v>45760</v>
      </c>
      <c r="R1138">
        <f>WEEKNUM(Table2[[#This Row],[OrderDate]])</f>
        <v>16</v>
      </c>
      <c r="S1138" s="1">
        <v>45766</v>
      </c>
      <c r="T1138" t="s">
        <v>2921</v>
      </c>
    </row>
    <row r="1139" spans="1:20" x14ac:dyDescent="0.35">
      <c r="A1139" s="1">
        <v>45612</v>
      </c>
      <c r="B1139" t="s">
        <v>2930</v>
      </c>
      <c r="C1139" t="s">
        <v>22</v>
      </c>
      <c r="D1139" s="9">
        <v>3</v>
      </c>
      <c r="E1139" s="7">
        <v>387.63</v>
      </c>
      <c r="F1139" t="s">
        <v>27</v>
      </c>
      <c r="G1139" t="s">
        <v>30</v>
      </c>
      <c r="H1139" s="12">
        <v>0</v>
      </c>
      <c r="I1139" t="s">
        <v>36</v>
      </c>
      <c r="J1139" s="7">
        <f>Table2[[#This Row],[UnitPrice]]*Table2[[#This Row],[Quantity]]*(1-Table2[[#This Row],[Discount]])</f>
        <v>1162.8899999999999</v>
      </c>
      <c r="K1139" t="s">
        <v>40</v>
      </c>
      <c r="L1139" t="s">
        <v>45</v>
      </c>
      <c r="M1139">
        <v>0</v>
      </c>
      <c r="N1139" t="s">
        <v>1183</v>
      </c>
      <c r="O1139" t="s">
        <v>2609</v>
      </c>
      <c r="P1139" s="7">
        <v>30.08</v>
      </c>
      <c r="Q1139" s="1">
        <v>45612</v>
      </c>
      <c r="R1139">
        <f>WEEKNUM(Table2[[#This Row],[OrderDate]])</f>
        <v>46</v>
      </c>
      <c r="S1139" s="1">
        <v>45616</v>
      </c>
      <c r="T1139" t="s">
        <v>2917</v>
      </c>
    </row>
    <row r="1140" spans="1:20" x14ac:dyDescent="0.35">
      <c r="A1140" s="1">
        <v>45493</v>
      </c>
      <c r="B1140" t="s">
        <v>2931</v>
      </c>
      <c r="C1140" t="s">
        <v>21</v>
      </c>
      <c r="D1140" s="9">
        <v>5</v>
      </c>
      <c r="E1140" s="7">
        <v>202.12</v>
      </c>
      <c r="F1140" t="s">
        <v>27</v>
      </c>
      <c r="G1140" t="s">
        <v>31</v>
      </c>
      <c r="H1140" s="12">
        <v>0.1</v>
      </c>
      <c r="I1140" t="s">
        <v>36</v>
      </c>
      <c r="J1140" s="7">
        <f>Table2[[#This Row],[UnitPrice]]*Table2[[#This Row],[Quantity]]*(1-Table2[[#This Row],[Discount]])</f>
        <v>909.54000000000008</v>
      </c>
      <c r="K1140" t="s">
        <v>38</v>
      </c>
      <c r="L1140" t="s">
        <v>43</v>
      </c>
      <c r="M1140">
        <v>1</v>
      </c>
      <c r="N1140" t="s">
        <v>1184</v>
      </c>
      <c r="O1140" t="s">
        <v>2588</v>
      </c>
      <c r="P1140" s="7">
        <v>45.61</v>
      </c>
      <c r="Q1140" s="1">
        <v>45493</v>
      </c>
      <c r="R1140">
        <f>WEEKNUM(Table2[[#This Row],[OrderDate]])</f>
        <v>29</v>
      </c>
      <c r="S1140" s="1">
        <v>45501</v>
      </c>
      <c r="T1140" t="s">
        <v>2919</v>
      </c>
    </row>
    <row r="1141" spans="1:20" x14ac:dyDescent="0.35">
      <c r="A1141" s="1">
        <v>45066</v>
      </c>
      <c r="B1141" t="s">
        <v>2931</v>
      </c>
      <c r="C1141" t="s">
        <v>21</v>
      </c>
      <c r="D1141" s="9">
        <v>4</v>
      </c>
      <c r="E1141" s="7">
        <v>334.57</v>
      </c>
      <c r="F1141" t="s">
        <v>28</v>
      </c>
      <c r="G1141" t="s">
        <v>31</v>
      </c>
      <c r="H1141" s="12">
        <v>0.15</v>
      </c>
      <c r="I1141" t="s">
        <v>35</v>
      </c>
      <c r="J1141" s="7">
        <f>Table2[[#This Row],[UnitPrice]]*Table2[[#This Row],[Quantity]]*(1-Table2[[#This Row],[Discount]])</f>
        <v>1137.538</v>
      </c>
      <c r="K1141" t="s">
        <v>39</v>
      </c>
      <c r="L1141" t="s">
        <v>2937</v>
      </c>
      <c r="M1141">
        <v>0</v>
      </c>
      <c r="N1141" t="s">
        <v>1185</v>
      </c>
      <c r="O1141" t="s">
        <v>2610</v>
      </c>
      <c r="P1141" s="7">
        <v>11.49</v>
      </c>
      <c r="Q1141" s="1">
        <v>45066</v>
      </c>
      <c r="R1141">
        <f>WEEKNUM(Table2[[#This Row],[OrderDate]])</f>
        <v>20</v>
      </c>
      <c r="S1141" s="1">
        <v>45073</v>
      </c>
      <c r="T1141" t="s">
        <v>2919</v>
      </c>
    </row>
    <row r="1142" spans="1:20" x14ac:dyDescent="0.35">
      <c r="A1142" s="1">
        <v>45221</v>
      </c>
      <c r="B1142" t="s">
        <v>2933</v>
      </c>
      <c r="C1142" t="s">
        <v>20</v>
      </c>
      <c r="D1142" s="9">
        <v>16</v>
      </c>
      <c r="E1142" s="7">
        <v>486.71</v>
      </c>
      <c r="F1142" t="s">
        <v>26</v>
      </c>
      <c r="G1142" t="s">
        <v>30</v>
      </c>
      <c r="H1142" s="12">
        <v>0.15</v>
      </c>
      <c r="I1142" t="s">
        <v>35</v>
      </c>
      <c r="J1142" s="7">
        <f>Table2[[#This Row],[UnitPrice]]*Table2[[#This Row],[Quantity]]*(1-Table2[[#This Row],[Discount]])</f>
        <v>6619.2559999999994</v>
      </c>
      <c r="K1142" t="s">
        <v>38</v>
      </c>
      <c r="L1142" t="s">
        <v>43</v>
      </c>
      <c r="M1142">
        <v>1</v>
      </c>
      <c r="N1142" t="s">
        <v>1186</v>
      </c>
      <c r="O1142" t="s">
        <v>2611</v>
      </c>
      <c r="P1142" s="7">
        <v>12.53</v>
      </c>
      <c r="Q1142" s="1">
        <v>45221</v>
      </c>
      <c r="R1142">
        <f>WEEKNUM(Table2[[#This Row],[OrderDate]])</f>
        <v>43</v>
      </c>
      <c r="S1142" s="1">
        <v>45225</v>
      </c>
      <c r="T1142" t="s">
        <v>2921</v>
      </c>
    </row>
    <row r="1143" spans="1:20" x14ac:dyDescent="0.35">
      <c r="A1143" s="1">
        <v>45795</v>
      </c>
      <c r="B1143" t="s">
        <v>2931</v>
      </c>
      <c r="C1143" t="s">
        <v>23</v>
      </c>
      <c r="D1143" s="9">
        <v>2</v>
      </c>
      <c r="E1143" s="7">
        <v>188.29</v>
      </c>
      <c r="F1143" t="s">
        <v>29</v>
      </c>
      <c r="G1143" t="s">
        <v>30</v>
      </c>
      <c r="H1143" s="12">
        <v>0.15</v>
      </c>
      <c r="I1143" t="s">
        <v>37</v>
      </c>
      <c r="J1143" s="7">
        <f>Table2[[#This Row],[UnitPrice]]*Table2[[#This Row],[Quantity]]*(1-Table2[[#This Row],[Discount]])</f>
        <v>320.09299999999996</v>
      </c>
      <c r="K1143" t="s">
        <v>40</v>
      </c>
      <c r="L1143" t="s">
        <v>44</v>
      </c>
      <c r="M1143">
        <v>0</v>
      </c>
      <c r="N1143" t="s">
        <v>1187</v>
      </c>
      <c r="O1143" t="s">
        <v>2612</v>
      </c>
      <c r="P1143" s="7">
        <v>32.22</v>
      </c>
      <c r="Q1143" s="1">
        <v>45795</v>
      </c>
      <c r="R1143">
        <f>WEEKNUM(Table2[[#This Row],[OrderDate]])</f>
        <v>21</v>
      </c>
      <c r="S1143" s="1">
        <v>45798</v>
      </c>
      <c r="T1143" t="s">
        <v>2919</v>
      </c>
    </row>
    <row r="1144" spans="1:20" x14ac:dyDescent="0.35">
      <c r="A1144" s="1">
        <v>45354</v>
      </c>
      <c r="B1144" t="s">
        <v>2932</v>
      </c>
      <c r="C1144" t="s">
        <v>19</v>
      </c>
      <c r="D1144" s="9">
        <v>3</v>
      </c>
      <c r="E1144" s="7">
        <v>260.72000000000003</v>
      </c>
      <c r="F1144" t="s">
        <v>26</v>
      </c>
      <c r="G1144" t="s">
        <v>30</v>
      </c>
      <c r="H1144" s="12">
        <v>0.15</v>
      </c>
      <c r="I1144" t="s">
        <v>34</v>
      </c>
      <c r="J1144" s="7">
        <f>Table2[[#This Row],[UnitPrice]]*Table2[[#This Row],[Quantity]]*(1-Table2[[#This Row],[Discount]])</f>
        <v>664.83600000000001</v>
      </c>
      <c r="K1144" t="s">
        <v>38</v>
      </c>
      <c r="L1144" t="s">
        <v>45</v>
      </c>
      <c r="M1144">
        <v>0</v>
      </c>
      <c r="N1144" t="s">
        <v>1188</v>
      </c>
      <c r="O1144" t="s">
        <v>2613</v>
      </c>
      <c r="P1144" s="7">
        <v>19.41</v>
      </c>
      <c r="Q1144" s="1">
        <v>45354</v>
      </c>
      <c r="R1144">
        <f>WEEKNUM(Table2[[#This Row],[OrderDate]])</f>
        <v>10</v>
      </c>
      <c r="S1144" s="1">
        <v>45357</v>
      </c>
      <c r="T1144" t="s">
        <v>2918</v>
      </c>
    </row>
    <row r="1145" spans="1:20" x14ac:dyDescent="0.35">
      <c r="A1145" s="1">
        <v>45130</v>
      </c>
      <c r="B1145" t="s">
        <v>2930</v>
      </c>
      <c r="C1145" t="s">
        <v>21</v>
      </c>
      <c r="D1145" s="9">
        <v>6</v>
      </c>
      <c r="E1145" s="7">
        <v>358.27</v>
      </c>
      <c r="F1145" t="s">
        <v>26</v>
      </c>
      <c r="G1145" t="s">
        <v>31</v>
      </c>
      <c r="H1145" s="12">
        <v>0.1</v>
      </c>
      <c r="I1145" t="s">
        <v>34</v>
      </c>
      <c r="J1145" s="7">
        <f>Table2[[#This Row],[UnitPrice]]*Table2[[#This Row],[Quantity]]*(1-Table2[[#This Row],[Discount]])</f>
        <v>1934.6579999999999</v>
      </c>
      <c r="K1145" t="s">
        <v>39</v>
      </c>
      <c r="L1145" t="s">
        <v>2937</v>
      </c>
      <c r="M1145">
        <v>0</v>
      </c>
      <c r="N1145" t="s">
        <v>1189</v>
      </c>
      <c r="O1145" t="s">
        <v>2551</v>
      </c>
      <c r="P1145" s="7">
        <v>7.34</v>
      </c>
      <c r="Q1145" s="1">
        <v>45130</v>
      </c>
      <c r="R1145">
        <f>WEEKNUM(Table2[[#This Row],[OrderDate]])</f>
        <v>30</v>
      </c>
      <c r="S1145" s="1">
        <v>45140</v>
      </c>
      <c r="T1145" t="s">
        <v>2917</v>
      </c>
    </row>
    <row r="1146" spans="1:20" x14ac:dyDescent="0.35">
      <c r="A1146" s="1">
        <v>45697</v>
      </c>
      <c r="B1146" t="s">
        <v>2931</v>
      </c>
      <c r="C1146" t="s">
        <v>21</v>
      </c>
      <c r="D1146" s="9">
        <v>13</v>
      </c>
      <c r="E1146" s="7">
        <v>492.66</v>
      </c>
      <c r="F1146" t="s">
        <v>26</v>
      </c>
      <c r="G1146" t="s">
        <v>31</v>
      </c>
      <c r="H1146" s="12">
        <v>0.1</v>
      </c>
      <c r="I1146" t="s">
        <v>34</v>
      </c>
      <c r="J1146" s="7">
        <f>Table2[[#This Row],[UnitPrice]]*Table2[[#This Row],[Quantity]]*(1-Table2[[#This Row],[Discount]])</f>
        <v>5764.1220000000003</v>
      </c>
      <c r="K1146" t="s">
        <v>39</v>
      </c>
      <c r="L1146" t="s">
        <v>43</v>
      </c>
      <c r="M1146">
        <v>0</v>
      </c>
      <c r="N1146" t="s">
        <v>1190</v>
      </c>
      <c r="O1146" t="s">
        <v>2614</v>
      </c>
      <c r="P1146" s="7">
        <v>46.21</v>
      </c>
      <c r="Q1146" s="1">
        <v>45697</v>
      </c>
      <c r="R1146">
        <f>WEEKNUM(Table2[[#This Row],[OrderDate]])</f>
        <v>7</v>
      </c>
      <c r="S1146" s="1">
        <v>45702</v>
      </c>
      <c r="T1146" t="s">
        <v>2919</v>
      </c>
    </row>
    <row r="1147" spans="1:20" x14ac:dyDescent="0.35">
      <c r="A1147" s="1">
        <v>44943</v>
      </c>
      <c r="B1147" t="s">
        <v>2932</v>
      </c>
      <c r="C1147" t="s">
        <v>22</v>
      </c>
      <c r="D1147" s="9">
        <v>3</v>
      </c>
      <c r="E1147" s="7">
        <v>348.38</v>
      </c>
      <c r="F1147" t="s">
        <v>26</v>
      </c>
      <c r="G1147" t="s">
        <v>30</v>
      </c>
      <c r="H1147" s="12">
        <v>0</v>
      </c>
      <c r="I1147" t="s">
        <v>35</v>
      </c>
      <c r="J1147" s="7">
        <f>Table2[[#This Row],[UnitPrice]]*Table2[[#This Row],[Quantity]]*(1-Table2[[#This Row],[Discount]])</f>
        <v>1045.1399999999999</v>
      </c>
      <c r="K1147" t="s">
        <v>39</v>
      </c>
      <c r="L1147" t="s">
        <v>43</v>
      </c>
      <c r="M1147">
        <v>0</v>
      </c>
      <c r="N1147" t="s">
        <v>1191</v>
      </c>
      <c r="O1147" t="s">
        <v>2615</v>
      </c>
      <c r="P1147" s="7">
        <v>26.25</v>
      </c>
      <c r="Q1147" s="1">
        <v>44943</v>
      </c>
      <c r="R1147">
        <f>WEEKNUM(Table2[[#This Row],[OrderDate]])</f>
        <v>3</v>
      </c>
      <c r="S1147" s="1">
        <v>44949</v>
      </c>
      <c r="T1147" t="s">
        <v>2918</v>
      </c>
    </row>
    <row r="1148" spans="1:20" x14ac:dyDescent="0.35">
      <c r="A1148" s="1">
        <v>45186</v>
      </c>
      <c r="B1148" t="s">
        <v>2931</v>
      </c>
      <c r="C1148" t="s">
        <v>20</v>
      </c>
      <c r="D1148" s="9">
        <v>6</v>
      </c>
      <c r="E1148" s="7">
        <v>437.59</v>
      </c>
      <c r="F1148" t="s">
        <v>29</v>
      </c>
      <c r="G1148" t="s">
        <v>30</v>
      </c>
      <c r="H1148" s="12">
        <v>0.05</v>
      </c>
      <c r="I1148" t="s">
        <v>36</v>
      </c>
      <c r="J1148" s="7">
        <f>Table2[[#This Row],[UnitPrice]]*Table2[[#This Row],[Quantity]]*(1-Table2[[#This Row],[Discount]])</f>
        <v>2494.2629999999999</v>
      </c>
      <c r="K1148" t="s">
        <v>39</v>
      </c>
      <c r="L1148" t="s">
        <v>45</v>
      </c>
      <c r="M1148">
        <v>1</v>
      </c>
      <c r="N1148" t="s">
        <v>1192</v>
      </c>
      <c r="O1148" t="s">
        <v>2616</v>
      </c>
      <c r="P1148" s="7">
        <v>39.4</v>
      </c>
      <c r="Q1148" s="1">
        <v>45186</v>
      </c>
      <c r="R1148">
        <f>WEEKNUM(Table2[[#This Row],[OrderDate]])</f>
        <v>38</v>
      </c>
      <c r="S1148" s="1">
        <v>45195</v>
      </c>
      <c r="T1148" t="s">
        <v>2919</v>
      </c>
    </row>
    <row r="1149" spans="1:20" x14ac:dyDescent="0.35">
      <c r="A1149" s="1">
        <v>45703</v>
      </c>
      <c r="B1149" t="s">
        <v>2931</v>
      </c>
      <c r="C1149" t="s">
        <v>25</v>
      </c>
      <c r="D1149" s="9">
        <v>19</v>
      </c>
      <c r="E1149" s="7">
        <v>118.09</v>
      </c>
      <c r="F1149" t="s">
        <v>29</v>
      </c>
      <c r="G1149" t="s">
        <v>30</v>
      </c>
      <c r="H1149" s="12">
        <v>0.1</v>
      </c>
      <c r="I1149" t="s">
        <v>33</v>
      </c>
      <c r="J1149" s="7">
        <f>Table2[[#This Row],[UnitPrice]]*Table2[[#This Row],[Quantity]]*(1-Table2[[#This Row],[Discount]])</f>
        <v>2019.3390000000002</v>
      </c>
      <c r="K1149" t="s">
        <v>38</v>
      </c>
      <c r="L1149" t="s">
        <v>44</v>
      </c>
      <c r="M1149">
        <v>0</v>
      </c>
      <c r="N1149" t="s">
        <v>1193</v>
      </c>
      <c r="O1149" t="s">
        <v>2617</v>
      </c>
      <c r="P1149" s="7">
        <v>10.77</v>
      </c>
      <c r="Q1149" s="1">
        <v>45703</v>
      </c>
      <c r="R1149">
        <f>WEEKNUM(Table2[[#This Row],[OrderDate]])</f>
        <v>7</v>
      </c>
      <c r="S1149" s="1">
        <v>45711</v>
      </c>
      <c r="T1149" t="s">
        <v>2919</v>
      </c>
    </row>
    <row r="1150" spans="1:20" x14ac:dyDescent="0.35">
      <c r="A1150" s="1">
        <v>45206</v>
      </c>
      <c r="B1150" t="s">
        <v>2933</v>
      </c>
      <c r="C1150" t="s">
        <v>24</v>
      </c>
      <c r="D1150" s="9">
        <v>15</v>
      </c>
      <c r="E1150" s="7">
        <v>188.57</v>
      </c>
      <c r="F1150" t="s">
        <v>28</v>
      </c>
      <c r="G1150" t="s">
        <v>30</v>
      </c>
      <c r="H1150" s="12">
        <v>0.05</v>
      </c>
      <c r="I1150" t="s">
        <v>37</v>
      </c>
      <c r="J1150" s="7">
        <f>Table2[[#This Row],[UnitPrice]]*Table2[[#This Row],[Quantity]]*(1-Table2[[#This Row],[Discount]])</f>
        <v>2687.1224999999995</v>
      </c>
      <c r="K1150" t="s">
        <v>40</v>
      </c>
      <c r="L1150" t="s">
        <v>43</v>
      </c>
      <c r="M1150">
        <v>1</v>
      </c>
      <c r="N1150" t="s">
        <v>1194</v>
      </c>
      <c r="O1150" t="s">
        <v>2618</v>
      </c>
      <c r="P1150" s="7">
        <v>38.61</v>
      </c>
      <c r="Q1150" s="1">
        <v>45206</v>
      </c>
      <c r="R1150">
        <f>WEEKNUM(Table2[[#This Row],[OrderDate]])</f>
        <v>40</v>
      </c>
      <c r="S1150" s="1">
        <v>45208</v>
      </c>
      <c r="T1150" t="s">
        <v>2921</v>
      </c>
    </row>
    <row r="1151" spans="1:20" x14ac:dyDescent="0.35">
      <c r="A1151" s="1">
        <v>45146</v>
      </c>
      <c r="B1151" t="s">
        <v>2933</v>
      </c>
      <c r="C1151" t="s">
        <v>20</v>
      </c>
      <c r="D1151" s="9">
        <v>8</v>
      </c>
      <c r="E1151" s="7">
        <v>200.74</v>
      </c>
      <c r="F1151" t="s">
        <v>27</v>
      </c>
      <c r="G1151" t="s">
        <v>30</v>
      </c>
      <c r="H1151" s="12">
        <v>0</v>
      </c>
      <c r="I1151" t="s">
        <v>36</v>
      </c>
      <c r="J1151" s="7">
        <f>Table2[[#This Row],[UnitPrice]]*Table2[[#This Row],[Quantity]]*(1-Table2[[#This Row],[Discount]])</f>
        <v>1605.92</v>
      </c>
      <c r="K1151" t="s">
        <v>39</v>
      </c>
      <c r="L1151" t="s">
        <v>44</v>
      </c>
      <c r="M1151">
        <v>1</v>
      </c>
      <c r="N1151" t="s">
        <v>1195</v>
      </c>
      <c r="O1151" t="s">
        <v>2619</v>
      </c>
      <c r="P1151" s="7">
        <v>30.7</v>
      </c>
      <c r="Q1151" s="1">
        <v>45146</v>
      </c>
      <c r="R1151">
        <f>WEEKNUM(Table2[[#This Row],[OrderDate]])</f>
        <v>32</v>
      </c>
      <c r="S1151" s="1">
        <v>45148</v>
      </c>
      <c r="T1151" t="s">
        <v>2921</v>
      </c>
    </row>
    <row r="1152" spans="1:20" x14ac:dyDescent="0.35">
      <c r="A1152" s="1">
        <v>45159</v>
      </c>
      <c r="B1152" t="s">
        <v>2930</v>
      </c>
      <c r="C1152" t="s">
        <v>19</v>
      </c>
      <c r="D1152" s="9">
        <v>3</v>
      </c>
      <c r="E1152" s="7">
        <v>142.09</v>
      </c>
      <c r="F1152" t="s">
        <v>28</v>
      </c>
      <c r="G1152" t="s">
        <v>30</v>
      </c>
      <c r="H1152" s="12">
        <v>0.15</v>
      </c>
      <c r="I1152" t="s">
        <v>34</v>
      </c>
      <c r="J1152" s="7">
        <f>Table2[[#This Row],[UnitPrice]]*Table2[[#This Row],[Quantity]]*(1-Table2[[#This Row],[Discount]])</f>
        <v>362.3295</v>
      </c>
      <c r="K1152" t="s">
        <v>39</v>
      </c>
      <c r="L1152" t="s">
        <v>45</v>
      </c>
      <c r="M1152">
        <v>0</v>
      </c>
      <c r="N1152" t="s">
        <v>1196</v>
      </c>
      <c r="O1152" t="s">
        <v>1914</v>
      </c>
      <c r="P1152" s="7">
        <v>26.04</v>
      </c>
      <c r="Q1152" s="1">
        <v>45159</v>
      </c>
      <c r="R1152">
        <f>WEEKNUM(Table2[[#This Row],[OrderDate]])</f>
        <v>34</v>
      </c>
      <c r="S1152" s="1">
        <v>45165</v>
      </c>
      <c r="T1152" t="s">
        <v>2917</v>
      </c>
    </row>
    <row r="1153" spans="1:20" x14ac:dyDescent="0.35">
      <c r="A1153" s="1">
        <v>45480</v>
      </c>
      <c r="B1153" t="s">
        <v>2931</v>
      </c>
      <c r="C1153" t="s">
        <v>24</v>
      </c>
      <c r="D1153" s="9">
        <v>15</v>
      </c>
      <c r="E1153" s="7">
        <v>576.12</v>
      </c>
      <c r="F1153" t="s">
        <v>29</v>
      </c>
      <c r="G1153" t="s">
        <v>31</v>
      </c>
      <c r="H1153" s="12">
        <v>0.1</v>
      </c>
      <c r="I1153" t="s">
        <v>33</v>
      </c>
      <c r="J1153" s="7">
        <f>Table2[[#This Row],[UnitPrice]]*Table2[[#This Row],[Quantity]]*(1-Table2[[#This Row],[Discount]])</f>
        <v>7777.62</v>
      </c>
      <c r="K1153" t="s">
        <v>38</v>
      </c>
      <c r="L1153" t="s">
        <v>45</v>
      </c>
      <c r="M1153">
        <v>0</v>
      </c>
      <c r="N1153" t="s">
        <v>1197</v>
      </c>
      <c r="O1153" t="s">
        <v>2620</v>
      </c>
      <c r="P1153" s="7">
        <v>29.31</v>
      </c>
      <c r="Q1153" s="1">
        <v>45480</v>
      </c>
      <c r="R1153">
        <f>WEEKNUM(Table2[[#This Row],[OrderDate]])</f>
        <v>28</v>
      </c>
      <c r="S1153" s="1">
        <v>45484</v>
      </c>
      <c r="T1153" t="s">
        <v>2919</v>
      </c>
    </row>
    <row r="1154" spans="1:20" x14ac:dyDescent="0.35">
      <c r="A1154" s="1">
        <v>45674</v>
      </c>
      <c r="B1154" t="s">
        <v>2932</v>
      </c>
      <c r="C1154" t="s">
        <v>21</v>
      </c>
      <c r="D1154" s="9">
        <v>9</v>
      </c>
      <c r="E1154" s="7">
        <v>96.97</v>
      </c>
      <c r="F1154" t="s">
        <v>29</v>
      </c>
      <c r="G1154" t="s">
        <v>31</v>
      </c>
      <c r="H1154" s="12">
        <v>0.15</v>
      </c>
      <c r="I1154" t="s">
        <v>37</v>
      </c>
      <c r="J1154" s="7">
        <f>Table2[[#This Row],[UnitPrice]]*Table2[[#This Row],[Quantity]]*(1-Table2[[#This Row],[Discount]])</f>
        <v>741.82050000000004</v>
      </c>
      <c r="K1154" t="s">
        <v>40</v>
      </c>
      <c r="L1154" t="s">
        <v>45</v>
      </c>
      <c r="M1154">
        <v>1</v>
      </c>
      <c r="N1154" t="s">
        <v>1198</v>
      </c>
      <c r="O1154" t="s">
        <v>2621</v>
      </c>
      <c r="P1154" s="7">
        <v>30.87</v>
      </c>
      <c r="Q1154" s="1">
        <v>45674</v>
      </c>
      <c r="R1154">
        <f>WEEKNUM(Table2[[#This Row],[OrderDate]])</f>
        <v>3</v>
      </c>
      <c r="S1154" s="1">
        <v>45681</v>
      </c>
      <c r="T1154" t="s">
        <v>2918</v>
      </c>
    </row>
    <row r="1155" spans="1:20" x14ac:dyDescent="0.35">
      <c r="A1155" s="1">
        <v>45266</v>
      </c>
      <c r="B1155" t="s">
        <v>2931</v>
      </c>
      <c r="C1155" t="s">
        <v>24</v>
      </c>
      <c r="D1155" s="9">
        <v>17</v>
      </c>
      <c r="E1155" s="7">
        <v>218.04</v>
      </c>
      <c r="F1155" t="s">
        <v>29</v>
      </c>
      <c r="G1155" t="s">
        <v>30</v>
      </c>
      <c r="H1155" s="12">
        <v>0.15</v>
      </c>
      <c r="I1155" t="s">
        <v>37</v>
      </c>
      <c r="J1155" s="7">
        <f>Table2[[#This Row],[UnitPrice]]*Table2[[#This Row],[Quantity]]*(1-Table2[[#This Row],[Discount]])</f>
        <v>3150.6779999999999</v>
      </c>
      <c r="K1155" t="s">
        <v>42</v>
      </c>
      <c r="L1155" t="s">
        <v>2937</v>
      </c>
      <c r="M1155">
        <v>0</v>
      </c>
      <c r="N1155" t="s">
        <v>1199</v>
      </c>
      <c r="O1155" t="s">
        <v>2622</v>
      </c>
      <c r="P1155" s="7">
        <v>16</v>
      </c>
      <c r="Q1155" s="1">
        <v>45266</v>
      </c>
      <c r="R1155">
        <f>WEEKNUM(Table2[[#This Row],[OrderDate]])</f>
        <v>49</v>
      </c>
      <c r="S1155" s="1">
        <v>45276</v>
      </c>
      <c r="T1155" t="s">
        <v>2919</v>
      </c>
    </row>
    <row r="1156" spans="1:20" x14ac:dyDescent="0.35">
      <c r="A1156" s="1">
        <v>44986</v>
      </c>
      <c r="B1156" t="s">
        <v>2932</v>
      </c>
      <c r="C1156" t="s">
        <v>21</v>
      </c>
      <c r="D1156" s="9">
        <v>2</v>
      </c>
      <c r="E1156" s="7">
        <v>153.33000000000001</v>
      </c>
      <c r="F1156" t="s">
        <v>28</v>
      </c>
      <c r="G1156" t="s">
        <v>30</v>
      </c>
      <c r="H1156" s="12">
        <v>0.05</v>
      </c>
      <c r="I1156" t="s">
        <v>35</v>
      </c>
      <c r="J1156" s="7">
        <f>Table2[[#This Row],[UnitPrice]]*Table2[[#This Row],[Quantity]]*(1-Table2[[#This Row],[Discount]])</f>
        <v>291.327</v>
      </c>
      <c r="K1156" t="s">
        <v>42</v>
      </c>
      <c r="L1156" t="s">
        <v>2937</v>
      </c>
      <c r="M1156">
        <v>0</v>
      </c>
      <c r="N1156" t="s">
        <v>1200</v>
      </c>
      <c r="O1156" t="s">
        <v>2623</v>
      </c>
      <c r="P1156" s="7">
        <v>31.55</v>
      </c>
      <c r="Q1156" s="1">
        <v>44986</v>
      </c>
      <c r="R1156">
        <f>WEEKNUM(Table2[[#This Row],[OrderDate]])</f>
        <v>9</v>
      </c>
      <c r="S1156" s="1">
        <v>44989</v>
      </c>
      <c r="T1156" t="s">
        <v>2918</v>
      </c>
    </row>
    <row r="1157" spans="1:20" x14ac:dyDescent="0.35">
      <c r="A1157" s="1">
        <v>45699</v>
      </c>
      <c r="B1157" t="s">
        <v>2931</v>
      </c>
      <c r="C1157" t="s">
        <v>25</v>
      </c>
      <c r="D1157" s="9">
        <v>8</v>
      </c>
      <c r="E1157" s="7">
        <v>316.12</v>
      </c>
      <c r="F1157" t="s">
        <v>26</v>
      </c>
      <c r="G1157" t="s">
        <v>30</v>
      </c>
      <c r="H1157" s="12">
        <v>0.1</v>
      </c>
      <c r="I1157" t="s">
        <v>36</v>
      </c>
      <c r="J1157" s="7">
        <f>Table2[[#This Row],[UnitPrice]]*Table2[[#This Row],[Quantity]]*(1-Table2[[#This Row],[Discount]])</f>
        <v>2276.0640000000003</v>
      </c>
      <c r="K1157" t="s">
        <v>39</v>
      </c>
      <c r="L1157" t="s">
        <v>45</v>
      </c>
      <c r="M1157">
        <v>0</v>
      </c>
      <c r="N1157" t="s">
        <v>1201</v>
      </c>
      <c r="O1157" t="s">
        <v>2624</v>
      </c>
      <c r="P1157" s="7">
        <v>6.28</v>
      </c>
      <c r="Q1157" s="1">
        <v>45699</v>
      </c>
      <c r="R1157">
        <f>WEEKNUM(Table2[[#This Row],[OrderDate]])</f>
        <v>7</v>
      </c>
      <c r="S1157" s="1">
        <v>45703</v>
      </c>
      <c r="T1157" t="s">
        <v>2919</v>
      </c>
    </row>
    <row r="1158" spans="1:20" x14ac:dyDescent="0.35">
      <c r="A1158" s="1">
        <v>45097</v>
      </c>
      <c r="B1158" t="s">
        <v>2934</v>
      </c>
      <c r="C1158" t="s">
        <v>25</v>
      </c>
      <c r="D1158" s="9">
        <v>13</v>
      </c>
      <c r="E1158" s="7">
        <v>153.57</v>
      </c>
      <c r="F1158" t="s">
        <v>26</v>
      </c>
      <c r="G1158" t="s">
        <v>30</v>
      </c>
      <c r="H1158" s="12">
        <v>0.05</v>
      </c>
      <c r="I1158" t="s">
        <v>35</v>
      </c>
      <c r="J1158" s="7">
        <f>Table2[[#This Row],[UnitPrice]]*Table2[[#This Row],[Quantity]]*(1-Table2[[#This Row],[Discount]])</f>
        <v>1896.5894999999998</v>
      </c>
      <c r="K1158" t="s">
        <v>39</v>
      </c>
      <c r="L1158" t="s">
        <v>2937</v>
      </c>
      <c r="M1158">
        <v>0</v>
      </c>
      <c r="N1158" t="s">
        <v>1202</v>
      </c>
      <c r="O1158" t="s">
        <v>2625</v>
      </c>
      <c r="P1158" s="7">
        <v>27.98</v>
      </c>
      <c r="Q1158" s="1">
        <v>45097</v>
      </c>
      <c r="R1158">
        <f>WEEKNUM(Table2[[#This Row],[OrderDate]])</f>
        <v>25</v>
      </c>
      <c r="S1158" s="1">
        <v>45102</v>
      </c>
      <c r="T1158" t="s">
        <v>2920</v>
      </c>
    </row>
    <row r="1159" spans="1:20" x14ac:dyDescent="0.35">
      <c r="A1159" s="1">
        <v>45351</v>
      </c>
      <c r="B1159" t="s">
        <v>2933</v>
      </c>
      <c r="C1159" t="s">
        <v>25</v>
      </c>
      <c r="D1159" s="9">
        <v>7</v>
      </c>
      <c r="E1159" s="7">
        <v>208.31</v>
      </c>
      <c r="F1159" t="s">
        <v>28</v>
      </c>
      <c r="G1159" t="s">
        <v>30</v>
      </c>
      <c r="H1159" s="12">
        <v>0.05</v>
      </c>
      <c r="I1159" t="s">
        <v>34</v>
      </c>
      <c r="J1159" s="7">
        <f>Table2[[#This Row],[UnitPrice]]*Table2[[#This Row],[Quantity]]*(1-Table2[[#This Row],[Discount]])</f>
        <v>1385.2615000000001</v>
      </c>
      <c r="K1159" t="s">
        <v>38</v>
      </c>
      <c r="L1159" t="s">
        <v>44</v>
      </c>
      <c r="M1159">
        <v>0</v>
      </c>
      <c r="N1159" t="s">
        <v>1203</v>
      </c>
      <c r="O1159" t="s">
        <v>2626</v>
      </c>
      <c r="P1159" s="7">
        <v>26.57</v>
      </c>
      <c r="Q1159" s="1">
        <v>45351</v>
      </c>
      <c r="R1159">
        <f>WEEKNUM(Table2[[#This Row],[OrderDate]])</f>
        <v>9</v>
      </c>
      <c r="S1159" s="1">
        <v>45354</v>
      </c>
      <c r="T1159" t="s">
        <v>2921</v>
      </c>
    </row>
    <row r="1160" spans="1:20" x14ac:dyDescent="0.35">
      <c r="A1160" s="1">
        <v>45838</v>
      </c>
      <c r="B1160" t="s">
        <v>2931</v>
      </c>
      <c r="C1160" t="s">
        <v>22</v>
      </c>
      <c r="D1160" s="9">
        <v>2</v>
      </c>
      <c r="E1160" s="7">
        <v>160.96</v>
      </c>
      <c r="F1160" t="s">
        <v>28</v>
      </c>
      <c r="G1160" t="s">
        <v>30</v>
      </c>
      <c r="H1160" s="12">
        <v>0.1</v>
      </c>
      <c r="I1160" t="s">
        <v>32</v>
      </c>
      <c r="J1160" s="7">
        <f>Table2[[#This Row],[UnitPrice]]*Table2[[#This Row],[Quantity]]*(1-Table2[[#This Row],[Discount]])</f>
        <v>289.72800000000001</v>
      </c>
      <c r="K1160" t="s">
        <v>39</v>
      </c>
      <c r="L1160" t="s">
        <v>45</v>
      </c>
      <c r="M1160">
        <v>0</v>
      </c>
      <c r="N1160" t="s">
        <v>1204</v>
      </c>
      <c r="O1160" t="s">
        <v>2627</v>
      </c>
      <c r="P1160" s="7">
        <v>44.97</v>
      </c>
      <c r="Q1160" s="1">
        <v>45838</v>
      </c>
      <c r="R1160">
        <f>WEEKNUM(Table2[[#This Row],[OrderDate]])</f>
        <v>27</v>
      </c>
      <c r="S1160" s="1">
        <v>45843</v>
      </c>
      <c r="T1160" t="s">
        <v>2919</v>
      </c>
    </row>
    <row r="1161" spans="1:20" x14ac:dyDescent="0.35">
      <c r="A1161" s="1">
        <v>45523</v>
      </c>
      <c r="B1161" t="s">
        <v>2931</v>
      </c>
      <c r="C1161" t="s">
        <v>23</v>
      </c>
      <c r="D1161" s="9">
        <v>3</v>
      </c>
      <c r="E1161" s="7">
        <v>373.77</v>
      </c>
      <c r="F1161" t="s">
        <v>26</v>
      </c>
      <c r="G1161" t="s">
        <v>31</v>
      </c>
      <c r="H1161" s="12">
        <v>0.1</v>
      </c>
      <c r="I1161" t="s">
        <v>32</v>
      </c>
      <c r="J1161" s="7">
        <f>Table2[[#This Row],[UnitPrice]]*Table2[[#This Row],[Quantity]]*(1-Table2[[#This Row],[Discount]])</f>
        <v>1009.179</v>
      </c>
      <c r="K1161" t="s">
        <v>42</v>
      </c>
      <c r="L1161" t="s">
        <v>45</v>
      </c>
      <c r="M1161">
        <v>1</v>
      </c>
      <c r="N1161" t="s">
        <v>1205</v>
      </c>
      <c r="O1161" t="s">
        <v>2628</v>
      </c>
      <c r="P1161" s="7">
        <v>17.62</v>
      </c>
      <c r="Q1161" s="1">
        <v>45523</v>
      </c>
      <c r="R1161">
        <f>WEEKNUM(Table2[[#This Row],[OrderDate]])</f>
        <v>34</v>
      </c>
      <c r="S1161" s="1">
        <v>45529</v>
      </c>
      <c r="T1161" t="s">
        <v>2919</v>
      </c>
    </row>
    <row r="1162" spans="1:20" x14ac:dyDescent="0.35">
      <c r="A1162" s="1">
        <v>45306</v>
      </c>
      <c r="B1162" t="s">
        <v>2934</v>
      </c>
      <c r="C1162" t="s">
        <v>25</v>
      </c>
      <c r="D1162" s="9">
        <v>20</v>
      </c>
      <c r="E1162" s="7">
        <v>200.7</v>
      </c>
      <c r="F1162" t="s">
        <v>29</v>
      </c>
      <c r="G1162" t="s">
        <v>31</v>
      </c>
      <c r="H1162" s="12">
        <v>0.1</v>
      </c>
      <c r="I1162" t="s">
        <v>33</v>
      </c>
      <c r="J1162" s="7">
        <f>Table2[[#This Row],[UnitPrice]]*Table2[[#This Row],[Quantity]]*(1-Table2[[#This Row],[Discount]])</f>
        <v>3612.6</v>
      </c>
      <c r="K1162" t="s">
        <v>38</v>
      </c>
      <c r="L1162" t="s">
        <v>43</v>
      </c>
      <c r="M1162">
        <v>0</v>
      </c>
      <c r="N1162" t="s">
        <v>1206</v>
      </c>
      <c r="O1162" t="s">
        <v>2629</v>
      </c>
      <c r="P1162" s="7">
        <v>29.6</v>
      </c>
      <c r="Q1162" s="1">
        <v>45306</v>
      </c>
      <c r="R1162">
        <f>WEEKNUM(Table2[[#This Row],[OrderDate]])</f>
        <v>3</v>
      </c>
      <c r="S1162" s="1">
        <v>45310</v>
      </c>
      <c r="T1162" t="s">
        <v>2920</v>
      </c>
    </row>
    <row r="1163" spans="1:20" x14ac:dyDescent="0.35">
      <c r="A1163" s="1">
        <v>45512</v>
      </c>
      <c r="B1163" t="s">
        <v>2934</v>
      </c>
      <c r="C1163" t="s">
        <v>21</v>
      </c>
      <c r="D1163" s="9">
        <v>14</v>
      </c>
      <c r="E1163" s="7">
        <v>115.77</v>
      </c>
      <c r="F1163" t="s">
        <v>26</v>
      </c>
      <c r="G1163" t="s">
        <v>30</v>
      </c>
      <c r="H1163" s="12">
        <v>0.15</v>
      </c>
      <c r="I1163" t="s">
        <v>34</v>
      </c>
      <c r="J1163" s="7">
        <f>Table2[[#This Row],[UnitPrice]]*Table2[[#This Row],[Quantity]]*(1-Table2[[#This Row],[Discount]])</f>
        <v>1377.663</v>
      </c>
      <c r="K1163" t="s">
        <v>40</v>
      </c>
      <c r="L1163" t="s">
        <v>44</v>
      </c>
      <c r="M1163">
        <v>1</v>
      </c>
      <c r="N1163" t="s">
        <v>1207</v>
      </c>
      <c r="O1163" t="s">
        <v>2630</v>
      </c>
      <c r="P1163" s="7">
        <v>20.12</v>
      </c>
      <c r="Q1163" s="1">
        <v>45512</v>
      </c>
      <c r="R1163">
        <f>WEEKNUM(Table2[[#This Row],[OrderDate]])</f>
        <v>32</v>
      </c>
      <c r="S1163" s="1">
        <v>45515</v>
      </c>
      <c r="T1163" t="s">
        <v>2920</v>
      </c>
    </row>
    <row r="1164" spans="1:20" x14ac:dyDescent="0.35">
      <c r="A1164" s="1">
        <v>45570</v>
      </c>
      <c r="B1164" t="s">
        <v>2933</v>
      </c>
      <c r="C1164" t="s">
        <v>20</v>
      </c>
      <c r="D1164" s="9">
        <v>12</v>
      </c>
      <c r="E1164" s="7">
        <v>535.41</v>
      </c>
      <c r="F1164" t="s">
        <v>28</v>
      </c>
      <c r="G1164" t="s">
        <v>31</v>
      </c>
      <c r="H1164" s="12">
        <v>0.1</v>
      </c>
      <c r="I1164" t="s">
        <v>34</v>
      </c>
      <c r="J1164" s="7">
        <f>Table2[[#This Row],[UnitPrice]]*Table2[[#This Row],[Quantity]]*(1-Table2[[#This Row],[Discount]])</f>
        <v>5782.4279999999999</v>
      </c>
      <c r="K1164" t="s">
        <v>39</v>
      </c>
      <c r="L1164" t="s">
        <v>2937</v>
      </c>
      <c r="M1164">
        <v>0</v>
      </c>
      <c r="N1164" t="s">
        <v>1208</v>
      </c>
      <c r="O1164" t="s">
        <v>2631</v>
      </c>
      <c r="P1164" s="7">
        <v>27.82</v>
      </c>
      <c r="Q1164" s="1">
        <v>45570</v>
      </c>
      <c r="R1164">
        <f>WEEKNUM(Table2[[#This Row],[OrderDate]])</f>
        <v>40</v>
      </c>
      <c r="S1164" s="1">
        <v>45572</v>
      </c>
      <c r="T1164" t="s">
        <v>2921</v>
      </c>
    </row>
    <row r="1165" spans="1:20" x14ac:dyDescent="0.35">
      <c r="A1165" s="1">
        <v>45304</v>
      </c>
      <c r="B1165" t="s">
        <v>2932</v>
      </c>
      <c r="C1165" t="s">
        <v>21</v>
      </c>
      <c r="D1165" s="9">
        <v>12</v>
      </c>
      <c r="E1165" s="7">
        <v>103.59</v>
      </c>
      <c r="F1165" t="s">
        <v>27</v>
      </c>
      <c r="G1165" t="s">
        <v>31</v>
      </c>
      <c r="H1165" s="12">
        <v>0.1</v>
      </c>
      <c r="I1165" t="s">
        <v>34</v>
      </c>
      <c r="J1165" s="7">
        <f>Table2[[#This Row],[UnitPrice]]*Table2[[#This Row],[Quantity]]*(1-Table2[[#This Row],[Discount]])</f>
        <v>1118.7719999999999</v>
      </c>
      <c r="K1165" t="s">
        <v>41</v>
      </c>
      <c r="L1165" t="s">
        <v>43</v>
      </c>
      <c r="M1165">
        <v>0</v>
      </c>
      <c r="N1165" t="s">
        <v>1209</v>
      </c>
      <c r="O1165" t="s">
        <v>2632</v>
      </c>
      <c r="P1165" s="7">
        <v>48.11</v>
      </c>
      <c r="Q1165" s="1">
        <v>45304</v>
      </c>
      <c r="R1165">
        <f>WEEKNUM(Table2[[#This Row],[OrderDate]])</f>
        <v>2</v>
      </c>
      <c r="S1165" s="1">
        <v>45312</v>
      </c>
      <c r="T1165" t="s">
        <v>2918</v>
      </c>
    </row>
    <row r="1166" spans="1:20" x14ac:dyDescent="0.35">
      <c r="A1166" s="1">
        <v>45014</v>
      </c>
      <c r="B1166" t="s">
        <v>2933</v>
      </c>
      <c r="C1166" t="s">
        <v>19</v>
      </c>
      <c r="D1166" s="9">
        <v>18</v>
      </c>
      <c r="E1166" s="7">
        <v>176.32</v>
      </c>
      <c r="F1166" t="s">
        <v>26</v>
      </c>
      <c r="G1166" t="s">
        <v>30</v>
      </c>
      <c r="H1166" s="12">
        <v>0.05</v>
      </c>
      <c r="I1166" t="s">
        <v>36</v>
      </c>
      <c r="J1166" s="7">
        <f>Table2[[#This Row],[UnitPrice]]*Table2[[#This Row],[Quantity]]*(1-Table2[[#This Row],[Discount]])</f>
        <v>3015.0719999999997</v>
      </c>
      <c r="K1166" t="s">
        <v>41</v>
      </c>
      <c r="L1166" t="s">
        <v>2937</v>
      </c>
      <c r="M1166">
        <v>0</v>
      </c>
      <c r="N1166" t="s">
        <v>1210</v>
      </c>
      <c r="O1166" t="s">
        <v>2633</v>
      </c>
      <c r="P1166" s="7">
        <v>36.35</v>
      </c>
      <c r="Q1166" s="1">
        <v>45014</v>
      </c>
      <c r="R1166">
        <f>WEEKNUM(Table2[[#This Row],[OrderDate]])</f>
        <v>13</v>
      </c>
      <c r="S1166" s="1">
        <v>45020</v>
      </c>
      <c r="T1166" t="s">
        <v>2921</v>
      </c>
    </row>
    <row r="1167" spans="1:20" x14ac:dyDescent="0.35">
      <c r="A1167" s="1">
        <v>45218</v>
      </c>
      <c r="B1167" t="s">
        <v>2931</v>
      </c>
      <c r="C1167" t="s">
        <v>25</v>
      </c>
      <c r="D1167" s="9">
        <v>5</v>
      </c>
      <c r="E1167" s="7">
        <v>112.44</v>
      </c>
      <c r="F1167" t="s">
        <v>29</v>
      </c>
      <c r="G1167" t="s">
        <v>31</v>
      </c>
      <c r="H1167" s="12">
        <v>0.1</v>
      </c>
      <c r="I1167" t="s">
        <v>37</v>
      </c>
      <c r="J1167" s="7">
        <f>Table2[[#This Row],[UnitPrice]]*Table2[[#This Row],[Quantity]]*(1-Table2[[#This Row],[Discount]])</f>
        <v>505.98000000000008</v>
      </c>
      <c r="K1167" t="s">
        <v>40</v>
      </c>
      <c r="L1167" t="s">
        <v>2937</v>
      </c>
      <c r="M1167">
        <v>1</v>
      </c>
      <c r="N1167" t="s">
        <v>1211</v>
      </c>
      <c r="O1167" t="s">
        <v>1698</v>
      </c>
      <c r="P1167" s="7">
        <v>7.46</v>
      </c>
      <c r="Q1167" s="1">
        <v>45218</v>
      </c>
      <c r="R1167">
        <f>WEEKNUM(Table2[[#This Row],[OrderDate]])</f>
        <v>42</v>
      </c>
      <c r="S1167" s="1">
        <v>45222</v>
      </c>
      <c r="T1167" t="s">
        <v>2919</v>
      </c>
    </row>
    <row r="1168" spans="1:20" x14ac:dyDescent="0.35">
      <c r="A1168" s="1">
        <v>45222</v>
      </c>
      <c r="B1168" t="s">
        <v>2933</v>
      </c>
      <c r="C1168" t="s">
        <v>22</v>
      </c>
      <c r="D1168" s="9">
        <v>20</v>
      </c>
      <c r="E1168" s="7">
        <v>19.3</v>
      </c>
      <c r="F1168" t="s">
        <v>28</v>
      </c>
      <c r="G1168" t="s">
        <v>30</v>
      </c>
      <c r="H1168" s="12">
        <v>0</v>
      </c>
      <c r="I1168" t="s">
        <v>37</v>
      </c>
      <c r="J1168" s="7">
        <f>Table2[[#This Row],[UnitPrice]]*Table2[[#This Row],[Quantity]]*(1-Table2[[#This Row],[Discount]])</f>
        <v>386</v>
      </c>
      <c r="K1168" t="s">
        <v>41</v>
      </c>
      <c r="L1168" t="s">
        <v>44</v>
      </c>
      <c r="M1168">
        <v>0</v>
      </c>
      <c r="N1168" t="s">
        <v>1212</v>
      </c>
      <c r="O1168" t="s">
        <v>2634</v>
      </c>
      <c r="P1168" s="7">
        <v>47.23</v>
      </c>
      <c r="Q1168" s="1">
        <v>45222</v>
      </c>
      <c r="R1168">
        <f>WEEKNUM(Table2[[#This Row],[OrderDate]])</f>
        <v>43</v>
      </c>
      <c r="S1168" s="1">
        <v>45231</v>
      </c>
      <c r="T1168" t="s">
        <v>2921</v>
      </c>
    </row>
    <row r="1169" spans="1:20" x14ac:dyDescent="0.35">
      <c r="A1169" s="1">
        <v>45009</v>
      </c>
      <c r="B1169" t="s">
        <v>2932</v>
      </c>
      <c r="C1169" t="s">
        <v>20</v>
      </c>
      <c r="D1169" s="9">
        <v>9</v>
      </c>
      <c r="E1169" s="7">
        <v>233.11</v>
      </c>
      <c r="F1169" t="s">
        <v>26</v>
      </c>
      <c r="G1169" t="s">
        <v>31</v>
      </c>
      <c r="H1169" s="12">
        <v>0.05</v>
      </c>
      <c r="I1169" t="s">
        <v>32</v>
      </c>
      <c r="J1169" s="7">
        <f>Table2[[#This Row],[UnitPrice]]*Table2[[#This Row],[Quantity]]*(1-Table2[[#This Row],[Discount]])</f>
        <v>1993.0905</v>
      </c>
      <c r="K1169" t="s">
        <v>41</v>
      </c>
      <c r="L1169" t="s">
        <v>45</v>
      </c>
      <c r="M1169">
        <v>0</v>
      </c>
      <c r="N1169" t="s">
        <v>1213</v>
      </c>
      <c r="O1169" t="s">
        <v>2635</v>
      </c>
      <c r="P1169" s="7">
        <v>31.43</v>
      </c>
      <c r="Q1169" s="1">
        <v>45009</v>
      </c>
      <c r="R1169">
        <f>WEEKNUM(Table2[[#This Row],[OrderDate]])</f>
        <v>12</v>
      </c>
      <c r="S1169" s="1">
        <v>45013</v>
      </c>
      <c r="T1169" t="s">
        <v>2918</v>
      </c>
    </row>
    <row r="1170" spans="1:20" x14ac:dyDescent="0.35">
      <c r="A1170" s="1">
        <v>45513</v>
      </c>
      <c r="B1170" t="s">
        <v>2933</v>
      </c>
      <c r="C1170" t="s">
        <v>25</v>
      </c>
      <c r="D1170" s="9">
        <v>17</v>
      </c>
      <c r="E1170" s="7">
        <v>66.48</v>
      </c>
      <c r="F1170" t="s">
        <v>28</v>
      </c>
      <c r="G1170" t="s">
        <v>30</v>
      </c>
      <c r="H1170" s="12">
        <v>0.15</v>
      </c>
      <c r="I1170" t="s">
        <v>32</v>
      </c>
      <c r="J1170" s="7">
        <f>Table2[[#This Row],[UnitPrice]]*Table2[[#This Row],[Quantity]]*(1-Table2[[#This Row],[Discount]])</f>
        <v>960.63600000000008</v>
      </c>
      <c r="K1170" t="s">
        <v>39</v>
      </c>
      <c r="L1170" t="s">
        <v>45</v>
      </c>
      <c r="M1170">
        <v>1</v>
      </c>
      <c r="N1170" t="s">
        <v>1214</v>
      </c>
      <c r="O1170" t="s">
        <v>2636</v>
      </c>
      <c r="P1170" s="7">
        <v>10.79</v>
      </c>
      <c r="Q1170" s="1">
        <v>45513</v>
      </c>
      <c r="R1170">
        <f>WEEKNUM(Table2[[#This Row],[OrderDate]])</f>
        <v>32</v>
      </c>
      <c r="S1170" s="1">
        <v>45518</v>
      </c>
      <c r="T1170" t="s">
        <v>2921</v>
      </c>
    </row>
    <row r="1171" spans="1:20" x14ac:dyDescent="0.35">
      <c r="A1171" s="1">
        <v>45042</v>
      </c>
      <c r="B1171" t="s">
        <v>2932</v>
      </c>
      <c r="C1171" t="s">
        <v>19</v>
      </c>
      <c r="D1171" s="9">
        <v>17</v>
      </c>
      <c r="E1171" s="7">
        <v>504.63</v>
      </c>
      <c r="F1171" t="s">
        <v>27</v>
      </c>
      <c r="G1171" t="s">
        <v>30</v>
      </c>
      <c r="H1171" s="12">
        <v>0.1</v>
      </c>
      <c r="I1171" t="s">
        <v>35</v>
      </c>
      <c r="J1171" s="7">
        <f>Table2[[#This Row],[UnitPrice]]*Table2[[#This Row],[Quantity]]*(1-Table2[[#This Row],[Discount]])</f>
        <v>7720.838999999999</v>
      </c>
      <c r="K1171" t="s">
        <v>38</v>
      </c>
      <c r="L1171" t="s">
        <v>45</v>
      </c>
      <c r="M1171">
        <v>1</v>
      </c>
      <c r="N1171" t="s">
        <v>1215</v>
      </c>
      <c r="O1171" t="s">
        <v>2637</v>
      </c>
      <c r="P1171" s="7">
        <v>48.33</v>
      </c>
      <c r="Q1171" s="1">
        <v>45042</v>
      </c>
      <c r="R1171">
        <f>WEEKNUM(Table2[[#This Row],[OrderDate]])</f>
        <v>17</v>
      </c>
      <c r="S1171" s="1">
        <v>45052</v>
      </c>
      <c r="T1171" t="s">
        <v>2918</v>
      </c>
    </row>
    <row r="1172" spans="1:20" x14ac:dyDescent="0.35">
      <c r="A1172" s="1">
        <v>45355</v>
      </c>
      <c r="B1172" t="s">
        <v>2933</v>
      </c>
      <c r="C1172" t="s">
        <v>24</v>
      </c>
      <c r="D1172" s="9">
        <v>11</v>
      </c>
      <c r="E1172" s="7">
        <v>97.84</v>
      </c>
      <c r="F1172" t="s">
        <v>26</v>
      </c>
      <c r="G1172" t="s">
        <v>31</v>
      </c>
      <c r="H1172" s="12">
        <v>0.05</v>
      </c>
      <c r="I1172" t="s">
        <v>33</v>
      </c>
      <c r="J1172" s="7">
        <f>Table2[[#This Row],[UnitPrice]]*Table2[[#This Row],[Quantity]]*(1-Table2[[#This Row],[Discount]])</f>
        <v>1022.428</v>
      </c>
      <c r="K1172" t="s">
        <v>41</v>
      </c>
      <c r="L1172" t="s">
        <v>44</v>
      </c>
      <c r="M1172">
        <v>1</v>
      </c>
      <c r="N1172" t="s">
        <v>1216</v>
      </c>
      <c r="O1172" t="s">
        <v>2638</v>
      </c>
      <c r="P1172" s="7">
        <v>45.97</v>
      </c>
      <c r="Q1172" s="1">
        <v>45355</v>
      </c>
      <c r="R1172">
        <f>WEEKNUM(Table2[[#This Row],[OrderDate]])</f>
        <v>10</v>
      </c>
      <c r="S1172" s="1">
        <v>45363</v>
      </c>
      <c r="T1172" t="s">
        <v>2921</v>
      </c>
    </row>
    <row r="1173" spans="1:20" x14ac:dyDescent="0.35">
      <c r="A1173" s="1">
        <v>44971</v>
      </c>
      <c r="B1173" t="s">
        <v>2930</v>
      </c>
      <c r="C1173" t="s">
        <v>24</v>
      </c>
      <c r="D1173" s="9">
        <v>7</v>
      </c>
      <c r="E1173" s="7">
        <v>468.14</v>
      </c>
      <c r="F1173" t="s">
        <v>27</v>
      </c>
      <c r="G1173" t="s">
        <v>31</v>
      </c>
      <c r="H1173" s="12">
        <v>0.15</v>
      </c>
      <c r="I1173" t="s">
        <v>37</v>
      </c>
      <c r="J1173" s="7">
        <f>Table2[[#This Row],[UnitPrice]]*Table2[[#This Row],[Quantity]]*(1-Table2[[#This Row],[Discount]])</f>
        <v>2785.433</v>
      </c>
      <c r="K1173" t="s">
        <v>42</v>
      </c>
      <c r="L1173" t="s">
        <v>44</v>
      </c>
      <c r="M1173">
        <v>0</v>
      </c>
      <c r="N1173" t="s">
        <v>1217</v>
      </c>
      <c r="O1173" t="s">
        <v>2639</v>
      </c>
      <c r="P1173" s="7">
        <v>47.56</v>
      </c>
      <c r="Q1173" s="1">
        <v>44971</v>
      </c>
      <c r="R1173">
        <f>WEEKNUM(Table2[[#This Row],[OrderDate]])</f>
        <v>7</v>
      </c>
      <c r="S1173" s="1">
        <v>44974</v>
      </c>
      <c r="T1173" t="s">
        <v>2917</v>
      </c>
    </row>
    <row r="1174" spans="1:20" x14ac:dyDescent="0.35">
      <c r="A1174" s="1">
        <v>45044</v>
      </c>
      <c r="B1174" t="s">
        <v>2933</v>
      </c>
      <c r="C1174" t="s">
        <v>24</v>
      </c>
      <c r="D1174" s="9">
        <v>20</v>
      </c>
      <c r="E1174" s="7">
        <v>476.69</v>
      </c>
      <c r="F1174" t="s">
        <v>26</v>
      </c>
      <c r="G1174" t="s">
        <v>30</v>
      </c>
      <c r="H1174" s="12">
        <v>0.05</v>
      </c>
      <c r="I1174" t="s">
        <v>37</v>
      </c>
      <c r="J1174" s="7">
        <f>Table2[[#This Row],[UnitPrice]]*Table2[[#This Row],[Quantity]]*(1-Table2[[#This Row],[Discount]])</f>
        <v>9057.1099999999988</v>
      </c>
      <c r="K1174" t="s">
        <v>38</v>
      </c>
      <c r="L1174" t="s">
        <v>45</v>
      </c>
      <c r="M1174">
        <v>0</v>
      </c>
      <c r="N1174" t="s">
        <v>1218</v>
      </c>
      <c r="O1174" t="s">
        <v>2640</v>
      </c>
      <c r="P1174" s="7">
        <v>10.199999999999999</v>
      </c>
      <c r="Q1174" s="1">
        <v>45044</v>
      </c>
      <c r="R1174">
        <f>WEEKNUM(Table2[[#This Row],[OrderDate]])</f>
        <v>17</v>
      </c>
      <c r="S1174" s="1">
        <v>45049</v>
      </c>
      <c r="T1174" t="s">
        <v>2921</v>
      </c>
    </row>
    <row r="1175" spans="1:20" x14ac:dyDescent="0.35">
      <c r="A1175" s="1">
        <v>45354</v>
      </c>
      <c r="B1175" t="s">
        <v>2931</v>
      </c>
      <c r="C1175" t="s">
        <v>20</v>
      </c>
      <c r="D1175" s="9">
        <v>2</v>
      </c>
      <c r="E1175" s="7">
        <v>160.72999999999999</v>
      </c>
      <c r="F1175" t="s">
        <v>27</v>
      </c>
      <c r="G1175" t="s">
        <v>30</v>
      </c>
      <c r="H1175" s="12">
        <v>0.15</v>
      </c>
      <c r="I1175" t="s">
        <v>34</v>
      </c>
      <c r="J1175" s="7">
        <f>Table2[[#This Row],[UnitPrice]]*Table2[[#This Row],[Quantity]]*(1-Table2[[#This Row],[Discount]])</f>
        <v>273.24099999999999</v>
      </c>
      <c r="K1175" t="s">
        <v>42</v>
      </c>
      <c r="L1175" t="s">
        <v>43</v>
      </c>
      <c r="M1175">
        <v>0</v>
      </c>
      <c r="N1175" t="s">
        <v>1219</v>
      </c>
      <c r="O1175" t="s">
        <v>2641</v>
      </c>
      <c r="P1175" s="7">
        <v>20.18</v>
      </c>
      <c r="Q1175" s="1">
        <v>45354</v>
      </c>
      <c r="R1175">
        <f>WEEKNUM(Table2[[#This Row],[OrderDate]])</f>
        <v>10</v>
      </c>
      <c r="S1175" s="1">
        <v>45362</v>
      </c>
      <c r="T1175" t="s">
        <v>2919</v>
      </c>
    </row>
    <row r="1176" spans="1:20" x14ac:dyDescent="0.35">
      <c r="A1176" s="1">
        <v>45539</v>
      </c>
      <c r="B1176" t="s">
        <v>2933</v>
      </c>
      <c r="C1176" t="s">
        <v>24</v>
      </c>
      <c r="D1176" s="9">
        <v>9</v>
      </c>
      <c r="E1176" s="7">
        <v>228.98</v>
      </c>
      <c r="F1176" t="s">
        <v>29</v>
      </c>
      <c r="G1176" t="s">
        <v>31</v>
      </c>
      <c r="H1176" s="12">
        <v>0.15</v>
      </c>
      <c r="I1176" t="s">
        <v>34</v>
      </c>
      <c r="J1176" s="7">
        <f>Table2[[#This Row],[UnitPrice]]*Table2[[#This Row],[Quantity]]*(1-Table2[[#This Row],[Discount]])</f>
        <v>1751.6969999999997</v>
      </c>
      <c r="K1176" t="s">
        <v>38</v>
      </c>
      <c r="L1176" t="s">
        <v>45</v>
      </c>
      <c r="M1176">
        <v>0</v>
      </c>
      <c r="N1176" t="s">
        <v>1220</v>
      </c>
      <c r="O1176" t="s">
        <v>2642</v>
      </c>
      <c r="P1176" s="7">
        <v>45.79</v>
      </c>
      <c r="Q1176" s="1">
        <v>45539</v>
      </c>
      <c r="R1176">
        <f>WEEKNUM(Table2[[#This Row],[OrderDate]])</f>
        <v>36</v>
      </c>
      <c r="S1176" s="1">
        <v>45543</v>
      </c>
      <c r="T1176" t="s">
        <v>2921</v>
      </c>
    </row>
    <row r="1177" spans="1:20" x14ac:dyDescent="0.35">
      <c r="A1177" s="1">
        <v>45656</v>
      </c>
      <c r="B1177" t="s">
        <v>2930</v>
      </c>
      <c r="C1177" t="s">
        <v>24</v>
      </c>
      <c r="D1177" s="9">
        <v>19</v>
      </c>
      <c r="E1177" s="7">
        <v>336.5</v>
      </c>
      <c r="F1177" t="s">
        <v>26</v>
      </c>
      <c r="G1177" t="s">
        <v>30</v>
      </c>
      <c r="H1177" s="12">
        <v>0</v>
      </c>
      <c r="I1177" t="s">
        <v>33</v>
      </c>
      <c r="J1177" s="7">
        <f>Table2[[#This Row],[UnitPrice]]*Table2[[#This Row],[Quantity]]*(1-Table2[[#This Row],[Discount]])</f>
        <v>6393.5</v>
      </c>
      <c r="K1177" t="s">
        <v>38</v>
      </c>
      <c r="L1177" t="s">
        <v>45</v>
      </c>
      <c r="M1177">
        <v>0</v>
      </c>
      <c r="N1177" t="s">
        <v>1221</v>
      </c>
      <c r="O1177" t="s">
        <v>2643</v>
      </c>
      <c r="P1177" s="7">
        <v>27.43</v>
      </c>
      <c r="Q1177" s="1">
        <v>45656</v>
      </c>
      <c r="R1177">
        <f>WEEKNUM(Table2[[#This Row],[OrderDate]])</f>
        <v>53</v>
      </c>
      <c r="S1177" s="1">
        <v>45664</v>
      </c>
      <c r="T1177" t="s">
        <v>2917</v>
      </c>
    </row>
    <row r="1178" spans="1:20" x14ac:dyDescent="0.35">
      <c r="A1178" s="1">
        <v>45332</v>
      </c>
      <c r="B1178" t="s">
        <v>2930</v>
      </c>
      <c r="C1178" t="s">
        <v>25</v>
      </c>
      <c r="D1178" s="9">
        <v>18</v>
      </c>
      <c r="E1178" s="7">
        <v>411.59</v>
      </c>
      <c r="F1178" t="s">
        <v>27</v>
      </c>
      <c r="G1178" t="s">
        <v>30</v>
      </c>
      <c r="H1178" s="12">
        <v>0</v>
      </c>
      <c r="I1178" t="s">
        <v>37</v>
      </c>
      <c r="J1178" s="7">
        <f>Table2[[#This Row],[UnitPrice]]*Table2[[#This Row],[Quantity]]*(1-Table2[[#This Row],[Discount]])</f>
        <v>7408.62</v>
      </c>
      <c r="K1178" t="s">
        <v>40</v>
      </c>
      <c r="L1178" t="s">
        <v>45</v>
      </c>
      <c r="M1178">
        <v>0</v>
      </c>
      <c r="N1178" t="s">
        <v>1222</v>
      </c>
      <c r="O1178" t="s">
        <v>2644</v>
      </c>
      <c r="P1178" s="7">
        <v>9.6199999999999992</v>
      </c>
      <c r="Q1178" s="1">
        <v>45332</v>
      </c>
      <c r="R1178">
        <f>WEEKNUM(Table2[[#This Row],[OrderDate]])</f>
        <v>6</v>
      </c>
      <c r="S1178" s="1">
        <v>45338</v>
      </c>
      <c r="T1178" t="s">
        <v>2917</v>
      </c>
    </row>
    <row r="1179" spans="1:20" x14ac:dyDescent="0.35">
      <c r="A1179" s="1">
        <v>45176</v>
      </c>
      <c r="B1179" t="s">
        <v>2934</v>
      </c>
      <c r="C1179" t="s">
        <v>25</v>
      </c>
      <c r="D1179" s="9">
        <v>1</v>
      </c>
      <c r="E1179" s="7">
        <v>431.49</v>
      </c>
      <c r="F1179" t="s">
        <v>28</v>
      </c>
      <c r="G1179" t="s">
        <v>30</v>
      </c>
      <c r="H1179" s="12">
        <v>0.15</v>
      </c>
      <c r="I1179" t="s">
        <v>33</v>
      </c>
      <c r="J1179" s="7">
        <f>Table2[[#This Row],[UnitPrice]]*Table2[[#This Row],[Quantity]]*(1-Table2[[#This Row],[Discount]])</f>
        <v>366.76650000000001</v>
      </c>
      <c r="K1179" t="s">
        <v>42</v>
      </c>
      <c r="L1179" t="s">
        <v>44</v>
      </c>
      <c r="M1179">
        <v>0</v>
      </c>
      <c r="N1179" t="s">
        <v>1223</v>
      </c>
      <c r="O1179" t="s">
        <v>2645</v>
      </c>
      <c r="P1179" s="7">
        <v>17.53</v>
      </c>
      <c r="Q1179" s="1">
        <v>45176</v>
      </c>
      <c r="R1179">
        <f>WEEKNUM(Table2[[#This Row],[OrderDate]])</f>
        <v>36</v>
      </c>
      <c r="S1179" s="1">
        <v>45184</v>
      </c>
      <c r="T1179" t="s">
        <v>2920</v>
      </c>
    </row>
    <row r="1180" spans="1:20" x14ac:dyDescent="0.35">
      <c r="A1180" s="1">
        <v>45149</v>
      </c>
      <c r="B1180" t="s">
        <v>2930</v>
      </c>
      <c r="C1180" t="s">
        <v>19</v>
      </c>
      <c r="D1180" s="9">
        <v>18</v>
      </c>
      <c r="E1180" s="7">
        <v>495.39</v>
      </c>
      <c r="F1180" t="s">
        <v>27</v>
      </c>
      <c r="G1180" t="s">
        <v>30</v>
      </c>
      <c r="H1180" s="12">
        <v>0</v>
      </c>
      <c r="I1180" t="s">
        <v>35</v>
      </c>
      <c r="J1180" s="7">
        <f>Table2[[#This Row],[UnitPrice]]*Table2[[#This Row],[Quantity]]*(1-Table2[[#This Row],[Discount]])</f>
        <v>8917.02</v>
      </c>
      <c r="K1180" t="s">
        <v>39</v>
      </c>
      <c r="L1180" t="s">
        <v>44</v>
      </c>
      <c r="M1180">
        <v>0</v>
      </c>
      <c r="N1180" t="s">
        <v>1224</v>
      </c>
      <c r="O1180" t="s">
        <v>2646</v>
      </c>
      <c r="P1180" s="7">
        <v>14.88</v>
      </c>
      <c r="Q1180" s="1">
        <v>45149</v>
      </c>
      <c r="R1180">
        <f>WEEKNUM(Table2[[#This Row],[OrderDate]])</f>
        <v>32</v>
      </c>
      <c r="S1180" s="1">
        <v>45153</v>
      </c>
      <c r="T1180" t="s">
        <v>2917</v>
      </c>
    </row>
    <row r="1181" spans="1:20" x14ac:dyDescent="0.35">
      <c r="A1181" s="1">
        <v>44997</v>
      </c>
      <c r="B1181" t="s">
        <v>2933</v>
      </c>
      <c r="C1181" t="s">
        <v>20</v>
      </c>
      <c r="D1181" s="9">
        <v>4</v>
      </c>
      <c r="E1181" s="7">
        <v>149.30000000000001</v>
      </c>
      <c r="F1181" t="s">
        <v>27</v>
      </c>
      <c r="G1181" t="s">
        <v>30</v>
      </c>
      <c r="H1181" s="12">
        <v>0.1</v>
      </c>
      <c r="I1181" t="s">
        <v>36</v>
      </c>
      <c r="J1181" s="7">
        <f>Table2[[#This Row],[UnitPrice]]*Table2[[#This Row],[Quantity]]*(1-Table2[[#This Row],[Discount]])</f>
        <v>537.48</v>
      </c>
      <c r="K1181" t="s">
        <v>41</v>
      </c>
      <c r="L1181" t="s">
        <v>43</v>
      </c>
      <c r="M1181">
        <v>0</v>
      </c>
      <c r="N1181" t="s">
        <v>1225</v>
      </c>
      <c r="O1181" t="s">
        <v>2647</v>
      </c>
      <c r="P1181" s="7">
        <v>47.84</v>
      </c>
      <c r="Q1181" s="1">
        <v>44997</v>
      </c>
      <c r="R1181">
        <f>WEEKNUM(Table2[[#This Row],[OrderDate]])</f>
        <v>11</v>
      </c>
      <c r="S1181" s="1">
        <v>45001</v>
      </c>
      <c r="T1181" t="s">
        <v>2921</v>
      </c>
    </row>
    <row r="1182" spans="1:20" x14ac:dyDescent="0.35">
      <c r="A1182" s="1">
        <v>45014</v>
      </c>
      <c r="B1182" t="s">
        <v>2934</v>
      </c>
      <c r="C1182" t="s">
        <v>21</v>
      </c>
      <c r="D1182" s="9">
        <v>18</v>
      </c>
      <c r="E1182" s="7">
        <v>179.97</v>
      </c>
      <c r="F1182" t="s">
        <v>28</v>
      </c>
      <c r="G1182" t="s">
        <v>30</v>
      </c>
      <c r="H1182" s="12">
        <v>0.1</v>
      </c>
      <c r="I1182" t="s">
        <v>32</v>
      </c>
      <c r="J1182" s="7">
        <f>Table2[[#This Row],[UnitPrice]]*Table2[[#This Row],[Quantity]]*(1-Table2[[#This Row],[Discount]])</f>
        <v>2915.5140000000001</v>
      </c>
      <c r="K1182" t="s">
        <v>42</v>
      </c>
      <c r="L1182" t="s">
        <v>44</v>
      </c>
      <c r="M1182">
        <v>0</v>
      </c>
      <c r="N1182" t="s">
        <v>1226</v>
      </c>
      <c r="O1182" t="s">
        <v>2648</v>
      </c>
      <c r="P1182" s="7">
        <v>22.15</v>
      </c>
      <c r="Q1182" s="1">
        <v>45014</v>
      </c>
      <c r="R1182">
        <f>WEEKNUM(Table2[[#This Row],[OrderDate]])</f>
        <v>13</v>
      </c>
      <c r="S1182" s="1">
        <v>45016</v>
      </c>
      <c r="T1182" t="s">
        <v>2920</v>
      </c>
    </row>
    <row r="1183" spans="1:20" x14ac:dyDescent="0.35">
      <c r="A1183" s="1">
        <v>45705</v>
      </c>
      <c r="B1183" t="s">
        <v>2932</v>
      </c>
      <c r="C1183" t="s">
        <v>22</v>
      </c>
      <c r="D1183" s="9">
        <v>11</v>
      </c>
      <c r="E1183" s="7">
        <v>381.14</v>
      </c>
      <c r="F1183" t="s">
        <v>26</v>
      </c>
      <c r="G1183" t="s">
        <v>31</v>
      </c>
      <c r="H1183" s="12">
        <v>0.05</v>
      </c>
      <c r="I1183" t="s">
        <v>34</v>
      </c>
      <c r="J1183" s="7">
        <f>Table2[[#This Row],[UnitPrice]]*Table2[[#This Row],[Quantity]]*(1-Table2[[#This Row],[Discount]])</f>
        <v>3982.9129999999996</v>
      </c>
      <c r="K1183" t="s">
        <v>39</v>
      </c>
      <c r="L1183" t="s">
        <v>43</v>
      </c>
      <c r="M1183">
        <v>0</v>
      </c>
      <c r="N1183" t="s">
        <v>1227</v>
      </c>
      <c r="O1183" t="s">
        <v>2649</v>
      </c>
      <c r="P1183" s="7">
        <v>32.83</v>
      </c>
      <c r="Q1183" s="1">
        <v>45705</v>
      </c>
      <c r="R1183">
        <f>WEEKNUM(Table2[[#This Row],[OrderDate]])</f>
        <v>8</v>
      </c>
      <c r="S1183" s="1">
        <v>45715</v>
      </c>
      <c r="T1183" t="s">
        <v>2918</v>
      </c>
    </row>
    <row r="1184" spans="1:20" x14ac:dyDescent="0.35">
      <c r="A1184" s="1">
        <v>45298</v>
      </c>
      <c r="B1184" t="s">
        <v>2931</v>
      </c>
      <c r="C1184" t="s">
        <v>22</v>
      </c>
      <c r="D1184" s="9">
        <v>5</v>
      </c>
      <c r="E1184" s="7">
        <v>454.62</v>
      </c>
      <c r="F1184" t="s">
        <v>28</v>
      </c>
      <c r="G1184" t="s">
        <v>30</v>
      </c>
      <c r="H1184" s="12">
        <v>0.05</v>
      </c>
      <c r="I1184" t="s">
        <v>36</v>
      </c>
      <c r="J1184" s="7">
        <f>Table2[[#This Row],[UnitPrice]]*Table2[[#This Row],[Quantity]]*(1-Table2[[#This Row],[Discount]])</f>
        <v>2159.4449999999997</v>
      </c>
      <c r="K1184" t="s">
        <v>39</v>
      </c>
      <c r="L1184" t="s">
        <v>2937</v>
      </c>
      <c r="M1184">
        <v>0</v>
      </c>
      <c r="N1184" t="s">
        <v>1228</v>
      </c>
      <c r="O1184" t="s">
        <v>2650</v>
      </c>
      <c r="P1184" s="7">
        <v>10.19</v>
      </c>
      <c r="Q1184" s="1">
        <v>45298</v>
      </c>
      <c r="R1184">
        <f>WEEKNUM(Table2[[#This Row],[OrderDate]])</f>
        <v>2</v>
      </c>
      <c r="S1184" s="1">
        <v>45306</v>
      </c>
      <c r="T1184" t="s">
        <v>2919</v>
      </c>
    </row>
    <row r="1185" spans="1:20" x14ac:dyDescent="0.35">
      <c r="A1185" s="1">
        <v>44940</v>
      </c>
      <c r="B1185" t="s">
        <v>2930</v>
      </c>
      <c r="C1185" t="s">
        <v>20</v>
      </c>
      <c r="D1185" s="9">
        <v>17</v>
      </c>
      <c r="E1185" s="7">
        <v>226.56</v>
      </c>
      <c r="F1185" t="s">
        <v>27</v>
      </c>
      <c r="G1185" t="s">
        <v>30</v>
      </c>
      <c r="H1185" s="12">
        <v>0.1</v>
      </c>
      <c r="I1185" t="s">
        <v>36</v>
      </c>
      <c r="J1185" s="7">
        <f>Table2[[#This Row],[UnitPrice]]*Table2[[#This Row],[Quantity]]*(1-Table2[[#This Row],[Discount]])</f>
        <v>3466.3679999999999</v>
      </c>
      <c r="K1185" t="s">
        <v>39</v>
      </c>
      <c r="L1185" t="s">
        <v>45</v>
      </c>
      <c r="M1185">
        <v>1</v>
      </c>
      <c r="N1185" t="s">
        <v>1229</v>
      </c>
      <c r="O1185" t="s">
        <v>2651</v>
      </c>
      <c r="P1185" s="7">
        <v>36.89</v>
      </c>
      <c r="Q1185" s="1">
        <v>44940</v>
      </c>
      <c r="R1185">
        <f>WEEKNUM(Table2[[#This Row],[OrderDate]])</f>
        <v>2</v>
      </c>
      <c r="S1185" s="1">
        <v>44946</v>
      </c>
      <c r="T1185" t="s">
        <v>2917</v>
      </c>
    </row>
    <row r="1186" spans="1:20" x14ac:dyDescent="0.35">
      <c r="A1186" s="1">
        <v>45294</v>
      </c>
      <c r="B1186" t="s">
        <v>2933</v>
      </c>
      <c r="C1186" t="s">
        <v>19</v>
      </c>
      <c r="D1186" s="9">
        <v>2</v>
      </c>
      <c r="E1186" s="7">
        <v>132.91</v>
      </c>
      <c r="F1186" t="s">
        <v>27</v>
      </c>
      <c r="G1186" t="s">
        <v>30</v>
      </c>
      <c r="H1186" s="12">
        <v>0</v>
      </c>
      <c r="I1186" t="s">
        <v>37</v>
      </c>
      <c r="J1186" s="7">
        <f>Table2[[#This Row],[UnitPrice]]*Table2[[#This Row],[Quantity]]*(1-Table2[[#This Row],[Discount]])</f>
        <v>265.82</v>
      </c>
      <c r="K1186" t="s">
        <v>41</v>
      </c>
      <c r="L1186" t="s">
        <v>45</v>
      </c>
      <c r="M1186">
        <v>0</v>
      </c>
      <c r="N1186" t="s">
        <v>1230</v>
      </c>
      <c r="O1186" t="s">
        <v>2652</v>
      </c>
      <c r="P1186" s="7">
        <v>7.76</v>
      </c>
      <c r="Q1186" s="1">
        <v>45294</v>
      </c>
      <c r="R1186">
        <f>WEEKNUM(Table2[[#This Row],[OrderDate]])</f>
        <v>1</v>
      </c>
      <c r="S1186" s="1">
        <v>45303</v>
      </c>
      <c r="T1186" t="s">
        <v>2921</v>
      </c>
    </row>
    <row r="1187" spans="1:20" x14ac:dyDescent="0.35">
      <c r="A1187" s="1">
        <v>45163</v>
      </c>
      <c r="B1187" t="s">
        <v>2932</v>
      </c>
      <c r="C1187" t="s">
        <v>21</v>
      </c>
      <c r="D1187" s="9">
        <v>2</v>
      </c>
      <c r="E1187" s="7">
        <v>35.69</v>
      </c>
      <c r="F1187" t="s">
        <v>28</v>
      </c>
      <c r="G1187" t="s">
        <v>31</v>
      </c>
      <c r="H1187" s="12">
        <v>0</v>
      </c>
      <c r="I1187" t="s">
        <v>32</v>
      </c>
      <c r="J1187" s="7">
        <f>Table2[[#This Row],[UnitPrice]]*Table2[[#This Row],[Quantity]]*(1-Table2[[#This Row],[Discount]])</f>
        <v>71.38</v>
      </c>
      <c r="K1187" t="s">
        <v>41</v>
      </c>
      <c r="L1187" t="s">
        <v>43</v>
      </c>
      <c r="M1187">
        <v>0</v>
      </c>
      <c r="N1187" t="s">
        <v>1231</v>
      </c>
      <c r="O1187" t="s">
        <v>2653</v>
      </c>
      <c r="P1187" s="7">
        <v>39.89</v>
      </c>
      <c r="Q1187" s="1">
        <v>45163</v>
      </c>
      <c r="R1187">
        <f>WEEKNUM(Table2[[#This Row],[OrderDate]])</f>
        <v>34</v>
      </c>
      <c r="S1187" s="1">
        <v>45166</v>
      </c>
      <c r="T1187" t="s">
        <v>2918</v>
      </c>
    </row>
    <row r="1188" spans="1:20" x14ac:dyDescent="0.35">
      <c r="A1188" s="1">
        <v>45793</v>
      </c>
      <c r="B1188" t="s">
        <v>2931</v>
      </c>
      <c r="C1188" t="s">
        <v>21</v>
      </c>
      <c r="D1188" s="9">
        <v>6</v>
      </c>
      <c r="E1188" s="7">
        <v>451.93</v>
      </c>
      <c r="F1188" t="s">
        <v>27</v>
      </c>
      <c r="G1188" t="s">
        <v>30</v>
      </c>
      <c r="H1188" s="12">
        <v>0.15</v>
      </c>
      <c r="I1188" t="s">
        <v>32</v>
      </c>
      <c r="J1188" s="7">
        <f>Table2[[#This Row],[UnitPrice]]*Table2[[#This Row],[Quantity]]*(1-Table2[[#This Row],[Discount]])</f>
        <v>2304.8429999999998</v>
      </c>
      <c r="K1188" t="s">
        <v>42</v>
      </c>
      <c r="L1188" t="s">
        <v>45</v>
      </c>
      <c r="M1188">
        <v>1</v>
      </c>
      <c r="N1188" t="s">
        <v>1232</v>
      </c>
      <c r="O1188" t="s">
        <v>2654</v>
      </c>
      <c r="P1188" s="7">
        <v>49.37</v>
      </c>
      <c r="Q1188" s="1">
        <v>45793</v>
      </c>
      <c r="R1188">
        <f>WEEKNUM(Table2[[#This Row],[OrderDate]])</f>
        <v>20</v>
      </c>
      <c r="S1188" s="1">
        <v>45802</v>
      </c>
      <c r="T1188" t="s">
        <v>2919</v>
      </c>
    </row>
    <row r="1189" spans="1:20" x14ac:dyDescent="0.35">
      <c r="A1189" s="1">
        <v>45290</v>
      </c>
      <c r="B1189" t="s">
        <v>2932</v>
      </c>
      <c r="C1189" t="s">
        <v>19</v>
      </c>
      <c r="D1189" s="9">
        <v>7</v>
      </c>
      <c r="E1189" s="7">
        <v>270.47000000000003</v>
      </c>
      <c r="F1189" t="s">
        <v>29</v>
      </c>
      <c r="G1189" t="s">
        <v>30</v>
      </c>
      <c r="H1189" s="12">
        <v>0.05</v>
      </c>
      <c r="I1189" t="s">
        <v>36</v>
      </c>
      <c r="J1189" s="7">
        <f>Table2[[#This Row],[UnitPrice]]*Table2[[#This Row],[Quantity]]*(1-Table2[[#This Row],[Discount]])</f>
        <v>1798.6255000000001</v>
      </c>
      <c r="K1189" t="s">
        <v>40</v>
      </c>
      <c r="L1189" t="s">
        <v>45</v>
      </c>
      <c r="M1189">
        <v>1</v>
      </c>
      <c r="N1189" t="s">
        <v>1233</v>
      </c>
      <c r="O1189" t="s">
        <v>2655</v>
      </c>
      <c r="P1189" s="7">
        <v>41.56</v>
      </c>
      <c r="Q1189" s="1">
        <v>45290</v>
      </c>
      <c r="R1189">
        <f>WEEKNUM(Table2[[#This Row],[OrderDate]])</f>
        <v>52</v>
      </c>
      <c r="S1189" s="1">
        <v>45294</v>
      </c>
      <c r="T1189" t="s">
        <v>2918</v>
      </c>
    </row>
    <row r="1190" spans="1:20" x14ac:dyDescent="0.35">
      <c r="A1190" s="1">
        <v>45571</v>
      </c>
      <c r="B1190" t="s">
        <v>2932</v>
      </c>
      <c r="C1190" t="s">
        <v>20</v>
      </c>
      <c r="D1190" s="9">
        <v>13</v>
      </c>
      <c r="E1190" s="7">
        <v>55.46</v>
      </c>
      <c r="F1190" t="s">
        <v>27</v>
      </c>
      <c r="G1190" t="s">
        <v>31</v>
      </c>
      <c r="H1190" s="12">
        <v>0.05</v>
      </c>
      <c r="I1190" t="s">
        <v>37</v>
      </c>
      <c r="J1190" s="7">
        <f>Table2[[#This Row],[UnitPrice]]*Table2[[#This Row],[Quantity]]*(1-Table2[[#This Row],[Discount]])</f>
        <v>684.93100000000004</v>
      </c>
      <c r="K1190" t="s">
        <v>40</v>
      </c>
      <c r="L1190" t="s">
        <v>43</v>
      </c>
      <c r="M1190">
        <v>1</v>
      </c>
      <c r="N1190" t="s">
        <v>1234</v>
      </c>
      <c r="O1190" t="s">
        <v>2656</v>
      </c>
      <c r="P1190" s="7">
        <v>18.010000000000002</v>
      </c>
      <c r="Q1190" s="1">
        <v>45571</v>
      </c>
      <c r="R1190">
        <f>WEEKNUM(Table2[[#This Row],[OrderDate]])</f>
        <v>41</v>
      </c>
      <c r="S1190" s="1">
        <v>45574</v>
      </c>
      <c r="T1190" t="s">
        <v>2918</v>
      </c>
    </row>
    <row r="1191" spans="1:20" x14ac:dyDescent="0.35">
      <c r="A1191" s="1">
        <v>44997</v>
      </c>
      <c r="B1191" t="s">
        <v>2934</v>
      </c>
      <c r="C1191" t="s">
        <v>24</v>
      </c>
      <c r="D1191" s="9">
        <v>17</v>
      </c>
      <c r="E1191" s="7">
        <v>515.12</v>
      </c>
      <c r="F1191" t="s">
        <v>29</v>
      </c>
      <c r="G1191" t="s">
        <v>30</v>
      </c>
      <c r="H1191" s="12">
        <v>0.15</v>
      </c>
      <c r="I1191" t="s">
        <v>37</v>
      </c>
      <c r="J1191" s="7">
        <f>Table2[[#This Row],[UnitPrice]]*Table2[[#This Row],[Quantity]]*(1-Table2[[#This Row],[Discount]])</f>
        <v>7443.4840000000004</v>
      </c>
      <c r="K1191" t="s">
        <v>40</v>
      </c>
      <c r="L1191" t="s">
        <v>44</v>
      </c>
      <c r="M1191">
        <v>1</v>
      </c>
      <c r="N1191" t="s">
        <v>1235</v>
      </c>
      <c r="O1191" t="s">
        <v>1633</v>
      </c>
      <c r="P1191" s="7">
        <v>32.74</v>
      </c>
      <c r="Q1191" s="1">
        <v>44997</v>
      </c>
      <c r="R1191">
        <f>WEEKNUM(Table2[[#This Row],[OrderDate]])</f>
        <v>11</v>
      </c>
      <c r="S1191" s="1">
        <v>45007</v>
      </c>
      <c r="T1191" t="s">
        <v>2920</v>
      </c>
    </row>
    <row r="1192" spans="1:20" x14ac:dyDescent="0.35">
      <c r="A1192" s="1">
        <v>45388</v>
      </c>
      <c r="B1192" t="s">
        <v>2931</v>
      </c>
      <c r="C1192" t="s">
        <v>20</v>
      </c>
      <c r="D1192" s="9">
        <v>1</v>
      </c>
      <c r="E1192" s="7">
        <v>256.63</v>
      </c>
      <c r="F1192" t="s">
        <v>29</v>
      </c>
      <c r="G1192" t="s">
        <v>30</v>
      </c>
      <c r="H1192" s="12">
        <v>0</v>
      </c>
      <c r="I1192" t="s">
        <v>35</v>
      </c>
      <c r="J1192" s="7">
        <f>Table2[[#This Row],[UnitPrice]]*Table2[[#This Row],[Quantity]]*(1-Table2[[#This Row],[Discount]])</f>
        <v>256.63</v>
      </c>
      <c r="K1192" t="s">
        <v>39</v>
      </c>
      <c r="L1192" t="s">
        <v>43</v>
      </c>
      <c r="M1192">
        <v>0</v>
      </c>
      <c r="N1192" t="s">
        <v>1236</v>
      </c>
      <c r="O1192" t="s">
        <v>2657</v>
      </c>
      <c r="P1192" s="7">
        <v>12.97</v>
      </c>
      <c r="Q1192" s="1">
        <v>45388</v>
      </c>
      <c r="R1192">
        <f>WEEKNUM(Table2[[#This Row],[OrderDate]])</f>
        <v>14</v>
      </c>
      <c r="S1192" s="1">
        <v>45390</v>
      </c>
      <c r="T1192" t="s">
        <v>2919</v>
      </c>
    </row>
    <row r="1193" spans="1:20" x14ac:dyDescent="0.35">
      <c r="A1193" s="1">
        <v>44946</v>
      </c>
      <c r="B1193" t="s">
        <v>2931</v>
      </c>
      <c r="C1193" t="s">
        <v>24</v>
      </c>
      <c r="D1193" s="9">
        <v>4</v>
      </c>
      <c r="E1193" s="7">
        <v>423.99</v>
      </c>
      <c r="F1193" t="s">
        <v>26</v>
      </c>
      <c r="G1193" t="s">
        <v>31</v>
      </c>
      <c r="H1193" s="12">
        <v>0.05</v>
      </c>
      <c r="I1193" t="s">
        <v>34</v>
      </c>
      <c r="J1193" s="7">
        <f>Table2[[#This Row],[UnitPrice]]*Table2[[#This Row],[Quantity]]*(1-Table2[[#This Row],[Discount]])</f>
        <v>1611.162</v>
      </c>
      <c r="K1193" t="s">
        <v>38</v>
      </c>
      <c r="L1193" t="s">
        <v>43</v>
      </c>
      <c r="M1193">
        <v>0</v>
      </c>
      <c r="N1193" t="s">
        <v>1237</v>
      </c>
      <c r="O1193" t="s">
        <v>2658</v>
      </c>
      <c r="P1193" s="7">
        <v>20.05</v>
      </c>
      <c r="Q1193" s="1">
        <v>44946</v>
      </c>
      <c r="R1193">
        <f>WEEKNUM(Table2[[#This Row],[OrderDate]])</f>
        <v>3</v>
      </c>
      <c r="S1193" s="1">
        <v>44951</v>
      </c>
      <c r="T1193" t="s">
        <v>2919</v>
      </c>
    </row>
    <row r="1194" spans="1:20" x14ac:dyDescent="0.35">
      <c r="A1194" s="1">
        <v>45481</v>
      </c>
      <c r="B1194" t="s">
        <v>2933</v>
      </c>
      <c r="C1194" t="s">
        <v>19</v>
      </c>
      <c r="D1194" s="9">
        <v>15</v>
      </c>
      <c r="E1194" s="7">
        <v>77.89</v>
      </c>
      <c r="F1194" t="s">
        <v>26</v>
      </c>
      <c r="G1194" t="s">
        <v>30</v>
      </c>
      <c r="H1194" s="12">
        <v>0.05</v>
      </c>
      <c r="I1194" t="s">
        <v>36</v>
      </c>
      <c r="J1194" s="7">
        <f>Table2[[#This Row],[UnitPrice]]*Table2[[#This Row],[Quantity]]*(1-Table2[[#This Row],[Discount]])</f>
        <v>1109.9324999999999</v>
      </c>
      <c r="K1194" t="s">
        <v>40</v>
      </c>
      <c r="L1194" t="s">
        <v>2937</v>
      </c>
      <c r="M1194">
        <v>0</v>
      </c>
      <c r="N1194" t="s">
        <v>1238</v>
      </c>
      <c r="O1194" t="s">
        <v>2659</v>
      </c>
      <c r="P1194" s="7">
        <v>20.87</v>
      </c>
      <c r="Q1194" s="1">
        <v>45481</v>
      </c>
      <c r="R1194">
        <f>WEEKNUM(Table2[[#This Row],[OrderDate]])</f>
        <v>28</v>
      </c>
      <c r="S1194" s="1">
        <v>45485</v>
      </c>
      <c r="T1194" t="s">
        <v>2921</v>
      </c>
    </row>
    <row r="1195" spans="1:20" x14ac:dyDescent="0.35">
      <c r="A1195" s="1">
        <v>45205</v>
      </c>
      <c r="B1195" t="s">
        <v>2931</v>
      </c>
      <c r="C1195" t="s">
        <v>20</v>
      </c>
      <c r="D1195" s="9">
        <v>12</v>
      </c>
      <c r="E1195" s="7">
        <v>11.95</v>
      </c>
      <c r="F1195" t="s">
        <v>27</v>
      </c>
      <c r="G1195" t="s">
        <v>31</v>
      </c>
      <c r="H1195" s="12">
        <v>0.05</v>
      </c>
      <c r="I1195" t="s">
        <v>35</v>
      </c>
      <c r="J1195" s="7">
        <f>Table2[[#This Row],[UnitPrice]]*Table2[[#This Row],[Quantity]]*(1-Table2[[#This Row],[Discount]])</f>
        <v>136.22999999999996</v>
      </c>
      <c r="K1195" t="s">
        <v>38</v>
      </c>
      <c r="L1195" t="s">
        <v>2937</v>
      </c>
      <c r="M1195">
        <v>0</v>
      </c>
      <c r="N1195" t="s">
        <v>1239</v>
      </c>
      <c r="O1195" t="s">
        <v>2660</v>
      </c>
      <c r="P1195" s="7">
        <v>26.66</v>
      </c>
      <c r="Q1195" s="1">
        <v>45205</v>
      </c>
      <c r="R1195">
        <f>WEEKNUM(Table2[[#This Row],[OrderDate]])</f>
        <v>40</v>
      </c>
      <c r="S1195" s="1">
        <v>45215</v>
      </c>
      <c r="T1195" t="s">
        <v>2919</v>
      </c>
    </row>
    <row r="1196" spans="1:20" x14ac:dyDescent="0.35">
      <c r="A1196" s="1">
        <v>45180</v>
      </c>
      <c r="B1196" t="s">
        <v>2930</v>
      </c>
      <c r="C1196" t="s">
        <v>21</v>
      </c>
      <c r="D1196" s="9">
        <v>7</v>
      </c>
      <c r="E1196" s="7">
        <v>67.05</v>
      </c>
      <c r="F1196" t="s">
        <v>29</v>
      </c>
      <c r="G1196" t="s">
        <v>30</v>
      </c>
      <c r="H1196" s="12">
        <v>0.1</v>
      </c>
      <c r="I1196" t="s">
        <v>35</v>
      </c>
      <c r="J1196" s="7">
        <f>Table2[[#This Row],[UnitPrice]]*Table2[[#This Row],[Quantity]]*(1-Table2[[#This Row],[Discount]])</f>
        <v>422.41499999999996</v>
      </c>
      <c r="K1196" t="s">
        <v>42</v>
      </c>
      <c r="L1196" t="s">
        <v>43</v>
      </c>
      <c r="M1196">
        <v>0</v>
      </c>
      <c r="N1196" t="s">
        <v>1240</v>
      </c>
      <c r="O1196" t="s">
        <v>1653</v>
      </c>
      <c r="P1196" s="7">
        <v>36.67</v>
      </c>
      <c r="Q1196" s="1">
        <v>45180</v>
      </c>
      <c r="R1196">
        <f>WEEKNUM(Table2[[#This Row],[OrderDate]])</f>
        <v>37</v>
      </c>
      <c r="S1196" s="1">
        <v>45187</v>
      </c>
      <c r="T1196" t="s">
        <v>2917</v>
      </c>
    </row>
    <row r="1197" spans="1:20" x14ac:dyDescent="0.35">
      <c r="A1197" s="1">
        <v>45183</v>
      </c>
      <c r="B1197" t="s">
        <v>2931</v>
      </c>
      <c r="C1197" t="s">
        <v>20</v>
      </c>
      <c r="D1197" s="9">
        <v>19</v>
      </c>
      <c r="E1197" s="7">
        <v>118.15</v>
      </c>
      <c r="F1197" t="s">
        <v>28</v>
      </c>
      <c r="G1197" t="s">
        <v>31</v>
      </c>
      <c r="H1197" s="12">
        <v>0.15</v>
      </c>
      <c r="I1197" t="s">
        <v>34</v>
      </c>
      <c r="J1197" s="7">
        <f>Table2[[#This Row],[UnitPrice]]*Table2[[#This Row],[Quantity]]*(1-Table2[[#This Row],[Discount]])</f>
        <v>1908.1224999999999</v>
      </c>
      <c r="K1197" t="s">
        <v>42</v>
      </c>
      <c r="L1197" t="s">
        <v>44</v>
      </c>
      <c r="M1197">
        <v>0</v>
      </c>
      <c r="N1197" t="s">
        <v>1241</v>
      </c>
      <c r="O1197" t="s">
        <v>2661</v>
      </c>
      <c r="P1197" s="7">
        <v>12.95</v>
      </c>
      <c r="Q1197" s="1">
        <v>45183</v>
      </c>
      <c r="R1197">
        <f>WEEKNUM(Table2[[#This Row],[OrderDate]])</f>
        <v>37</v>
      </c>
      <c r="S1197" s="1">
        <v>45188</v>
      </c>
      <c r="T1197" t="s">
        <v>2919</v>
      </c>
    </row>
    <row r="1198" spans="1:20" x14ac:dyDescent="0.35">
      <c r="A1198" s="1">
        <v>45236</v>
      </c>
      <c r="B1198" t="s">
        <v>2931</v>
      </c>
      <c r="C1198" t="s">
        <v>25</v>
      </c>
      <c r="D1198" s="9">
        <v>16</v>
      </c>
      <c r="E1198" s="7">
        <v>114.47</v>
      </c>
      <c r="F1198" t="s">
        <v>26</v>
      </c>
      <c r="G1198" t="s">
        <v>30</v>
      </c>
      <c r="H1198" s="12">
        <v>0.15</v>
      </c>
      <c r="I1198" t="s">
        <v>35</v>
      </c>
      <c r="J1198" s="7">
        <f>Table2[[#This Row],[UnitPrice]]*Table2[[#This Row],[Quantity]]*(1-Table2[[#This Row],[Discount]])</f>
        <v>1556.7919999999999</v>
      </c>
      <c r="K1198" t="s">
        <v>38</v>
      </c>
      <c r="L1198" t="s">
        <v>2937</v>
      </c>
      <c r="M1198">
        <v>0</v>
      </c>
      <c r="N1198" t="s">
        <v>1242</v>
      </c>
      <c r="O1198" t="s">
        <v>1755</v>
      </c>
      <c r="P1198" s="7">
        <v>43.85</v>
      </c>
      <c r="Q1198" s="1">
        <v>45236</v>
      </c>
      <c r="R1198">
        <f>WEEKNUM(Table2[[#This Row],[OrderDate]])</f>
        <v>45</v>
      </c>
      <c r="S1198" s="1">
        <v>45241</v>
      </c>
      <c r="T1198" t="s">
        <v>2919</v>
      </c>
    </row>
    <row r="1199" spans="1:20" x14ac:dyDescent="0.35">
      <c r="A1199" s="1">
        <v>45466</v>
      </c>
      <c r="B1199" t="s">
        <v>2931</v>
      </c>
      <c r="C1199" t="s">
        <v>23</v>
      </c>
      <c r="D1199" s="9">
        <v>9</v>
      </c>
      <c r="E1199" s="7">
        <v>36.21</v>
      </c>
      <c r="F1199" t="s">
        <v>28</v>
      </c>
      <c r="G1199" t="s">
        <v>30</v>
      </c>
      <c r="H1199" s="12">
        <v>0.15</v>
      </c>
      <c r="I1199" t="s">
        <v>37</v>
      </c>
      <c r="J1199" s="7">
        <f>Table2[[#This Row],[UnitPrice]]*Table2[[#This Row],[Quantity]]*(1-Table2[[#This Row],[Discount]])</f>
        <v>277.00649999999996</v>
      </c>
      <c r="K1199" t="s">
        <v>40</v>
      </c>
      <c r="L1199" t="s">
        <v>43</v>
      </c>
      <c r="M1199">
        <v>0</v>
      </c>
      <c r="N1199" t="s">
        <v>1243</v>
      </c>
      <c r="O1199" t="s">
        <v>2662</v>
      </c>
      <c r="P1199" s="7">
        <v>6.71</v>
      </c>
      <c r="Q1199" s="1">
        <v>45466</v>
      </c>
      <c r="R1199">
        <f>WEEKNUM(Table2[[#This Row],[OrderDate]])</f>
        <v>26</v>
      </c>
      <c r="S1199" s="1">
        <v>45473</v>
      </c>
      <c r="T1199" t="s">
        <v>2919</v>
      </c>
    </row>
    <row r="1200" spans="1:20" x14ac:dyDescent="0.35">
      <c r="A1200" s="1">
        <v>45015</v>
      </c>
      <c r="B1200" t="s">
        <v>2933</v>
      </c>
      <c r="C1200" t="s">
        <v>25</v>
      </c>
      <c r="D1200" s="9">
        <v>10</v>
      </c>
      <c r="E1200" s="7">
        <v>52.58</v>
      </c>
      <c r="F1200" t="s">
        <v>26</v>
      </c>
      <c r="G1200" t="s">
        <v>30</v>
      </c>
      <c r="H1200" s="12">
        <v>0.1</v>
      </c>
      <c r="I1200" t="s">
        <v>32</v>
      </c>
      <c r="J1200" s="7">
        <f>Table2[[#This Row],[UnitPrice]]*Table2[[#This Row],[Quantity]]*(1-Table2[[#This Row],[Discount]])</f>
        <v>473.21999999999997</v>
      </c>
      <c r="K1200" t="s">
        <v>42</v>
      </c>
      <c r="L1200" t="s">
        <v>45</v>
      </c>
      <c r="M1200">
        <v>0</v>
      </c>
      <c r="N1200" t="s">
        <v>1244</v>
      </c>
      <c r="O1200" t="s">
        <v>2663</v>
      </c>
      <c r="P1200" s="7">
        <v>14.01</v>
      </c>
      <c r="Q1200" s="1">
        <v>45015</v>
      </c>
      <c r="R1200">
        <f>WEEKNUM(Table2[[#This Row],[OrderDate]])</f>
        <v>13</v>
      </c>
      <c r="S1200" s="1">
        <v>45025</v>
      </c>
      <c r="T1200" t="s">
        <v>2921</v>
      </c>
    </row>
    <row r="1201" spans="1:20" x14ac:dyDescent="0.35">
      <c r="A1201" s="1">
        <v>45570</v>
      </c>
      <c r="B1201" t="s">
        <v>2930</v>
      </c>
      <c r="C1201" t="s">
        <v>20</v>
      </c>
      <c r="D1201" s="9">
        <v>6</v>
      </c>
      <c r="E1201" s="7">
        <v>272.26</v>
      </c>
      <c r="F1201" t="s">
        <v>27</v>
      </c>
      <c r="G1201" t="s">
        <v>31</v>
      </c>
      <c r="H1201" s="12">
        <v>0.1</v>
      </c>
      <c r="I1201" t="s">
        <v>35</v>
      </c>
      <c r="J1201" s="7">
        <f>Table2[[#This Row],[UnitPrice]]*Table2[[#This Row],[Quantity]]*(1-Table2[[#This Row],[Discount]])</f>
        <v>1470.204</v>
      </c>
      <c r="K1201" t="s">
        <v>41</v>
      </c>
      <c r="L1201" t="s">
        <v>44</v>
      </c>
      <c r="M1201">
        <v>0</v>
      </c>
      <c r="N1201" t="s">
        <v>1245</v>
      </c>
      <c r="O1201" t="s">
        <v>2664</v>
      </c>
      <c r="P1201" s="7">
        <v>43.67</v>
      </c>
      <c r="Q1201" s="1">
        <v>45570</v>
      </c>
      <c r="R1201">
        <f>WEEKNUM(Table2[[#This Row],[OrderDate]])</f>
        <v>40</v>
      </c>
      <c r="S1201" s="1">
        <v>45580</v>
      </c>
      <c r="T1201" t="s">
        <v>2917</v>
      </c>
    </row>
    <row r="1202" spans="1:20" x14ac:dyDescent="0.35">
      <c r="A1202" s="1">
        <v>45004</v>
      </c>
      <c r="B1202" t="s">
        <v>2934</v>
      </c>
      <c r="C1202" t="s">
        <v>22</v>
      </c>
      <c r="D1202" s="9">
        <v>10</v>
      </c>
      <c r="E1202" s="7">
        <v>124.97</v>
      </c>
      <c r="F1202" t="s">
        <v>29</v>
      </c>
      <c r="G1202" t="s">
        <v>31</v>
      </c>
      <c r="H1202" s="12">
        <v>0.15</v>
      </c>
      <c r="I1202" t="s">
        <v>32</v>
      </c>
      <c r="J1202" s="7">
        <f>Table2[[#This Row],[UnitPrice]]*Table2[[#This Row],[Quantity]]*(1-Table2[[#This Row],[Discount]])</f>
        <v>1062.2450000000001</v>
      </c>
      <c r="K1202" t="s">
        <v>39</v>
      </c>
      <c r="L1202" t="s">
        <v>45</v>
      </c>
      <c r="M1202">
        <v>1</v>
      </c>
      <c r="N1202" t="s">
        <v>1246</v>
      </c>
      <c r="O1202" t="s">
        <v>2665</v>
      </c>
      <c r="P1202" s="7">
        <v>40.229999999999997</v>
      </c>
      <c r="Q1202" s="1">
        <v>45004</v>
      </c>
      <c r="R1202">
        <f>WEEKNUM(Table2[[#This Row],[OrderDate]])</f>
        <v>12</v>
      </c>
      <c r="S1202" s="1">
        <v>45014</v>
      </c>
      <c r="T1202" t="s">
        <v>2920</v>
      </c>
    </row>
    <row r="1203" spans="1:20" x14ac:dyDescent="0.35">
      <c r="A1203" s="1">
        <v>45733</v>
      </c>
      <c r="B1203" t="s">
        <v>2931</v>
      </c>
      <c r="C1203" t="s">
        <v>20</v>
      </c>
      <c r="D1203" s="9">
        <v>9</v>
      </c>
      <c r="E1203" s="7">
        <v>228.62</v>
      </c>
      <c r="F1203" t="s">
        <v>28</v>
      </c>
      <c r="G1203" t="s">
        <v>31</v>
      </c>
      <c r="H1203" s="12">
        <v>0.05</v>
      </c>
      <c r="I1203" t="s">
        <v>32</v>
      </c>
      <c r="J1203" s="7">
        <f>Table2[[#This Row],[UnitPrice]]*Table2[[#This Row],[Quantity]]*(1-Table2[[#This Row],[Discount]])</f>
        <v>1954.7009999999998</v>
      </c>
      <c r="K1203" t="s">
        <v>39</v>
      </c>
      <c r="L1203" t="s">
        <v>44</v>
      </c>
      <c r="M1203">
        <v>0</v>
      </c>
      <c r="N1203" t="s">
        <v>1247</v>
      </c>
      <c r="O1203" t="s">
        <v>2666</v>
      </c>
      <c r="P1203" s="7">
        <v>31.43</v>
      </c>
      <c r="Q1203" s="1">
        <v>45733</v>
      </c>
      <c r="R1203">
        <f>WEEKNUM(Table2[[#This Row],[OrderDate]])</f>
        <v>12</v>
      </c>
      <c r="S1203" s="1">
        <v>45737</v>
      </c>
      <c r="T1203" t="s">
        <v>2919</v>
      </c>
    </row>
    <row r="1204" spans="1:20" x14ac:dyDescent="0.35">
      <c r="A1204" s="1">
        <v>45644</v>
      </c>
      <c r="B1204" t="s">
        <v>2934</v>
      </c>
      <c r="C1204" t="s">
        <v>19</v>
      </c>
      <c r="D1204" s="9">
        <v>20</v>
      </c>
      <c r="E1204" s="7">
        <v>282.91000000000003</v>
      </c>
      <c r="F1204" t="s">
        <v>27</v>
      </c>
      <c r="G1204" t="s">
        <v>30</v>
      </c>
      <c r="H1204" s="12">
        <v>0.15</v>
      </c>
      <c r="I1204" t="s">
        <v>34</v>
      </c>
      <c r="J1204" s="7">
        <f>Table2[[#This Row],[UnitPrice]]*Table2[[#This Row],[Quantity]]*(1-Table2[[#This Row],[Discount]])</f>
        <v>4809.47</v>
      </c>
      <c r="K1204" t="s">
        <v>41</v>
      </c>
      <c r="L1204" t="s">
        <v>43</v>
      </c>
      <c r="M1204">
        <v>0</v>
      </c>
      <c r="N1204" t="s">
        <v>1248</v>
      </c>
      <c r="O1204" t="s">
        <v>2667</v>
      </c>
      <c r="P1204" s="7">
        <v>8.19</v>
      </c>
      <c r="Q1204" s="1">
        <v>45644</v>
      </c>
      <c r="R1204">
        <f>WEEKNUM(Table2[[#This Row],[OrderDate]])</f>
        <v>51</v>
      </c>
      <c r="S1204" s="1">
        <v>45654</v>
      </c>
      <c r="T1204" t="s">
        <v>2920</v>
      </c>
    </row>
    <row r="1205" spans="1:20" x14ac:dyDescent="0.35">
      <c r="A1205" s="1">
        <v>45663</v>
      </c>
      <c r="B1205" t="s">
        <v>2933</v>
      </c>
      <c r="C1205" t="s">
        <v>24</v>
      </c>
      <c r="D1205" s="9">
        <v>17</v>
      </c>
      <c r="E1205" s="7">
        <v>129.62</v>
      </c>
      <c r="F1205" t="s">
        <v>29</v>
      </c>
      <c r="G1205" t="s">
        <v>31</v>
      </c>
      <c r="H1205" s="12">
        <v>0.15</v>
      </c>
      <c r="I1205" t="s">
        <v>32</v>
      </c>
      <c r="J1205" s="7">
        <f>Table2[[#This Row],[UnitPrice]]*Table2[[#This Row],[Quantity]]*(1-Table2[[#This Row],[Discount]])</f>
        <v>1873.009</v>
      </c>
      <c r="K1205" t="s">
        <v>38</v>
      </c>
      <c r="L1205" t="s">
        <v>43</v>
      </c>
      <c r="M1205">
        <v>0</v>
      </c>
      <c r="N1205" t="s">
        <v>1249</v>
      </c>
      <c r="O1205" t="s">
        <v>2668</v>
      </c>
      <c r="P1205" s="7">
        <v>24.28</v>
      </c>
      <c r="Q1205" s="1">
        <v>45663</v>
      </c>
      <c r="R1205">
        <f>WEEKNUM(Table2[[#This Row],[OrderDate]])</f>
        <v>2</v>
      </c>
      <c r="S1205" s="1">
        <v>45665</v>
      </c>
      <c r="T1205" t="s">
        <v>2921</v>
      </c>
    </row>
    <row r="1206" spans="1:20" x14ac:dyDescent="0.35">
      <c r="A1206" s="1">
        <v>45671</v>
      </c>
      <c r="B1206" t="s">
        <v>2934</v>
      </c>
      <c r="C1206" t="s">
        <v>23</v>
      </c>
      <c r="D1206" s="9">
        <v>6</v>
      </c>
      <c r="E1206" s="7">
        <v>162.35</v>
      </c>
      <c r="F1206" t="s">
        <v>26</v>
      </c>
      <c r="G1206" t="s">
        <v>30</v>
      </c>
      <c r="H1206" s="12">
        <v>0.05</v>
      </c>
      <c r="I1206" t="s">
        <v>32</v>
      </c>
      <c r="J1206" s="7">
        <f>Table2[[#This Row],[UnitPrice]]*Table2[[#This Row],[Quantity]]*(1-Table2[[#This Row],[Discount]])</f>
        <v>925.39499999999987</v>
      </c>
      <c r="K1206" t="s">
        <v>40</v>
      </c>
      <c r="L1206" t="s">
        <v>44</v>
      </c>
      <c r="M1206">
        <v>1</v>
      </c>
      <c r="N1206" t="s">
        <v>1250</v>
      </c>
      <c r="O1206" t="s">
        <v>2669</v>
      </c>
      <c r="P1206" s="7">
        <v>19.18</v>
      </c>
      <c r="Q1206" s="1">
        <v>45671</v>
      </c>
      <c r="R1206">
        <f>WEEKNUM(Table2[[#This Row],[OrderDate]])</f>
        <v>3</v>
      </c>
      <c r="S1206" s="1">
        <v>45677</v>
      </c>
      <c r="T1206" t="s">
        <v>2920</v>
      </c>
    </row>
    <row r="1207" spans="1:20" x14ac:dyDescent="0.35">
      <c r="A1207" s="1">
        <v>44952</v>
      </c>
      <c r="B1207" t="s">
        <v>2932</v>
      </c>
      <c r="C1207" t="s">
        <v>25</v>
      </c>
      <c r="D1207" s="9">
        <v>14</v>
      </c>
      <c r="E1207" s="7">
        <v>209.82</v>
      </c>
      <c r="F1207" t="s">
        <v>26</v>
      </c>
      <c r="G1207" t="s">
        <v>30</v>
      </c>
      <c r="H1207" s="12">
        <v>0</v>
      </c>
      <c r="I1207" t="s">
        <v>32</v>
      </c>
      <c r="J1207" s="7">
        <f>Table2[[#This Row],[UnitPrice]]*Table2[[#This Row],[Quantity]]*(1-Table2[[#This Row],[Discount]])</f>
        <v>2937.48</v>
      </c>
      <c r="K1207" t="s">
        <v>42</v>
      </c>
      <c r="L1207" t="s">
        <v>44</v>
      </c>
      <c r="M1207">
        <v>0</v>
      </c>
      <c r="N1207" t="s">
        <v>1251</v>
      </c>
      <c r="O1207" t="s">
        <v>2670</v>
      </c>
      <c r="P1207" s="7">
        <v>36.11</v>
      </c>
      <c r="Q1207" s="1">
        <v>44952</v>
      </c>
      <c r="R1207">
        <f>WEEKNUM(Table2[[#This Row],[OrderDate]])</f>
        <v>4</v>
      </c>
      <c r="S1207" s="1">
        <v>44956</v>
      </c>
      <c r="T1207" t="s">
        <v>2918</v>
      </c>
    </row>
    <row r="1208" spans="1:20" x14ac:dyDescent="0.35">
      <c r="A1208" s="1">
        <v>45508</v>
      </c>
      <c r="B1208" t="s">
        <v>2931</v>
      </c>
      <c r="C1208" t="s">
        <v>19</v>
      </c>
      <c r="D1208" s="9">
        <v>16</v>
      </c>
      <c r="E1208" s="7">
        <v>293.44</v>
      </c>
      <c r="F1208" t="s">
        <v>29</v>
      </c>
      <c r="G1208" t="s">
        <v>30</v>
      </c>
      <c r="H1208" s="12">
        <v>0.05</v>
      </c>
      <c r="I1208" t="s">
        <v>36</v>
      </c>
      <c r="J1208" s="7">
        <f>Table2[[#This Row],[UnitPrice]]*Table2[[#This Row],[Quantity]]*(1-Table2[[#This Row],[Discount]])</f>
        <v>4460.2879999999996</v>
      </c>
      <c r="K1208" t="s">
        <v>39</v>
      </c>
      <c r="L1208" t="s">
        <v>44</v>
      </c>
      <c r="M1208">
        <v>0</v>
      </c>
      <c r="N1208" t="s">
        <v>1252</v>
      </c>
      <c r="O1208" t="s">
        <v>2671</v>
      </c>
      <c r="P1208" s="7">
        <v>42.56</v>
      </c>
      <c r="Q1208" s="1">
        <v>45508</v>
      </c>
      <c r="R1208">
        <f>WEEKNUM(Table2[[#This Row],[OrderDate]])</f>
        <v>32</v>
      </c>
      <c r="S1208" s="1">
        <v>45518</v>
      </c>
      <c r="T1208" t="s">
        <v>2919</v>
      </c>
    </row>
    <row r="1209" spans="1:20" x14ac:dyDescent="0.35">
      <c r="A1209" s="1">
        <v>45335</v>
      </c>
      <c r="B1209" t="s">
        <v>2931</v>
      </c>
      <c r="C1209" t="s">
        <v>20</v>
      </c>
      <c r="D1209" s="9">
        <v>11</v>
      </c>
      <c r="E1209" s="7">
        <v>185.52</v>
      </c>
      <c r="F1209" t="s">
        <v>29</v>
      </c>
      <c r="G1209" t="s">
        <v>30</v>
      </c>
      <c r="H1209" s="12">
        <v>0.15</v>
      </c>
      <c r="I1209" t="s">
        <v>36</v>
      </c>
      <c r="J1209" s="7">
        <f>Table2[[#This Row],[UnitPrice]]*Table2[[#This Row],[Quantity]]*(1-Table2[[#This Row],[Discount]])</f>
        <v>1734.6120000000001</v>
      </c>
      <c r="K1209" t="s">
        <v>40</v>
      </c>
      <c r="L1209" t="s">
        <v>45</v>
      </c>
      <c r="M1209">
        <v>0</v>
      </c>
      <c r="N1209" t="s">
        <v>1253</v>
      </c>
      <c r="O1209" t="s">
        <v>2672</v>
      </c>
      <c r="P1209" s="7">
        <v>38.53</v>
      </c>
      <c r="Q1209" s="1">
        <v>45335</v>
      </c>
      <c r="R1209">
        <f>WEEKNUM(Table2[[#This Row],[OrderDate]])</f>
        <v>7</v>
      </c>
      <c r="S1209" s="1">
        <v>45338</v>
      </c>
      <c r="T1209" t="s">
        <v>2919</v>
      </c>
    </row>
    <row r="1210" spans="1:20" x14ac:dyDescent="0.35">
      <c r="A1210" s="1">
        <v>44968</v>
      </c>
      <c r="B1210" t="s">
        <v>2934</v>
      </c>
      <c r="C1210" t="s">
        <v>21</v>
      </c>
      <c r="D1210" s="9">
        <v>18</v>
      </c>
      <c r="E1210" s="7">
        <v>268.38</v>
      </c>
      <c r="F1210" t="s">
        <v>29</v>
      </c>
      <c r="G1210" t="s">
        <v>30</v>
      </c>
      <c r="H1210" s="12">
        <v>0.15</v>
      </c>
      <c r="I1210" t="s">
        <v>33</v>
      </c>
      <c r="J1210" s="7">
        <f>Table2[[#This Row],[UnitPrice]]*Table2[[#This Row],[Quantity]]*(1-Table2[[#This Row],[Discount]])</f>
        <v>4106.2139999999999</v>
      </c>
      <c r="K1210" t="s">
        <v>42</v>
      </c>
      <c r="L1210" t="s">
        <v>43</v>
      </c>
      <c r="M1210">
        <v>0</v>
      </c>
      <c r="N1210" t="s">
        <v>1254</v>
      </c>
      <c r="O1210" t="s">
        <v>2673</v>
      </c>
      <c r="P1210" s="7">
        <v>48.38</v>
      </c>
      <c r="Q1210" s="1">
        <v>44968</v>
      </c>
      <c r="R1210">
        <f>WEEKNUM(Table2[[#This Row],[OrderDate]])</f>
        <v>6</v>
      </c>
      <c r="S1210" s="1">
        <v>44971</v>
      </c>
      <c r="T1210" t="s">
        <v>2920</v>
      </c>
    </row>
    <row r="1211" spans="1:20" x14ac:dyDescent="0.35">
      <c r="A1211" s="1">
        <v>45460</v>
      </c>
      <c r="B1211" t="s">
        <v>2930</v>
      </c>
      <c r="C1211" t="s">
        <v>25</v>
      </c>
      <c r="D1211" s="9">
        <v>18</v>
      </c>
      <c r="E1211" s="7">
        <v>547.04999999999995</v>
      </c>
      <c r="F1211" t="s">
        <v>28</v>
      </c>
      <c r="G1211" t="s">
        <v>30</v>
      </c>
      <c r="H1211" s="12">
        <v>0.1</v>
      </c>
      <c r="I1211" t="s">
        <v>35</v>
      </c>
      <c r="J1211" s="7">
        <f>Table2[[#This Row],[UnitPrice]]*Table2[[#This Row],[Quantity]]*(1-Table2[[#This Row],[Discount]])</f>
        <v>8862.2099999999991</v>
      </c>
      <c r="K1211" t="s">
        <v>42</v>
      </c>
      <c r="L1211" t="s">
        <v>43</v>
      </c>
      <c r="M1211">
        <v>0</v>
      </c>
      <c r="N1211" t="s">
        <v>1255</v>
      </c>
      <c r="O1211" t="s">
        <v>2674</v>
      </c>
      <c r="P1211" s="7">
        <v>10.99</v>
      </c>
      <c r="Q1211" s="1">
        <v>45460</v>
      </c>
      <c r="R1211">
        <f>WEEKNUM(Table2[[#This Row],[OrderDate]])</f>
        <v>25</v>
      </c>
      <c r="S1211" s="1">
        <v>45465</v>
      </c>
      <c r="T1211" t="s">
        <v>2917</v>
      </c>
    </row>
    <row r="1212" spans="1:20" x14ac:dyDescent="0.35">
      <c r="A1212" s="1">
        <v>45449</v>
      </c>
      <c r="B1212" t="s">
        <v>2932</v>
      </c>
      <c r="C1212" t="s">
        <v>19</v>
      </c>
      <c r="D1212" s="9">
        <v>1</v>
      </c>
      <c r="E1212" s="7">
        <v>354.21</v>
      </c>
      <c r="F1212" t="s">
        <v>27</v>
      </c>
      <c r="G1212" t="s">
        <v>30</v>
      </c>
      <c r="H1212" s="12">
        <v>0.15</v>
      </c>
      <c r="I1212" t="s">
        <v>35</v>
      </c>
      <c r="J1212" s="7">
        <f>Table2[[#This Row],[UnitPrice]]*Table2[[#This Row],[Quantity]]*(1-Table2[[#This Row],[Discount]])</f>
        <v>301.07849999999996</v>
      </c>
      <c r="K1212" t="s">
        <v>38</v>
      </c>
      <c r="L1212" t="s">
        <v>2937</v>
      </c>
      <c r="M1212">
        <v>0</v>
      </c>
      <c r="N1212" t="s">
        <v>1256</v>
      </c>
      <c r="O1212" t="s">
        <v>2675</v>
      </c>
      <c r="P1212" s="7">
        <v>26.16</v>
      </c>
      <c r="Q1212" s="1">
        <v>45449</v>
      </c>
      <c r="R1212">
        <f>WEEKNUM(Table2[[#This Row],[OrderDate]])</f>
        <v>23</v>
      </c>
      <c r="S1212" s="1">
        <v>45455</v>
      </c>
      <c r="T1212" t="s">
        <v>2918</v>
      </c>
    </row>
    <row r="1213" spans="1:20" x14ac:dyDescent="0.35">
      <c r="A1213" s="1">
        <v>45256</v>
      </c>
      <c r="B1213" t="s">
        <v>2932</v>
      </c>
      <c r="C1213" t="s">
        <v>22</v>
      </c>
      <c r="D1213" s="9">
        <v>18</v>
      </c>
      <c r="E1213" s="7">
        <v>250.93</v>
      </c>
      <c r="F1213" t="s">
        <v>28</v>
      </c>
      <c r="G1213" t="s">
        <v>30</v>
      </c>
      <c r="H1213" s="12">
        <v>0.05</v>
      </c>
      <c r="I1213" t="s">
        <v>37</v>
      </c>
      <c r="J1213" s="7">
        <f>Table2[[#This Row],[UnitPrice]]*Table2[[#This Row],[Quantity]]*(1-Table2[[#This Row],[Discount]])</f>
        <v>4290.9029999999993</v>
      </c>
      <c r="K1213" t="s">
        <v>39</v>
      </c>
      <c r="L1213" t="s">
        <v>2937</v>
      </c>
      <c r="M1213">
        <v>0</v>
      </c>
      <c r="N1213" t="s">
        <v>1257</v>
      </c>
      <c r="O1213" t="s">
        <v>2676</v>
      </c>
      <c r="P1213" s="7">
        <v>47.67</v>
      </c>
      <c r="Q1213" s="1">
        <v>45256</v>
      </c>
      <c r="R1213">
        <f>WEEKNUM(Table2[[#This Row],[OrderDate]])</f>
        <v>48</v>
      </c>
      <c r="S1213" s="1">
        <v>45262</v>
      </c>
      <c r="T1213" t="s">
        <v>2918</v>
      </c>
    </row>
    <row r="1214" spans="1:20" x14ac:dyDescent="0.35">
      <c r="A1214" s="1">
        <v>45389</v>
      </c>
      <c r="B1214" t="s">
        <v>2933</v>
      </c>
      <c r="C1214" t="s">
        <v>25</v>
      </c>
      <c r="D1214" s="9">
        <v>18</v>
      </c>
      <c r="E1214" s="7">
        <v>587.25</v>
      </c>
      <c r="F1214" t="s">
        <v>28</v>
      </c>
      <c r="G1214" t="s">
        <v>30</v>
      </c>
      <c r="H1214" s="12">
        <v>0.15</v>
      </c>
      <c r="I1214" t="s">
        <v>35</v>
      </c>
      <c r="J1214" s="7">
        <f>Table2[[#This Row],[UnitPrice]]*Table2[[#This Row],[Quantity]]*(1-Table2[[#This Row],[Discount]])</f>
        <v>8984.9249999999993</v>
      </c>
      <c r="K1214" t="s">
        <v>38</v>
      </c>
      <c r="L1214" t="s">
        <v>2937</v>
      </c>
      <c r="M1214">
        <v>0</v>
      </c>
      <c r="N1214" t="s">
        <v>1258</v>
      </c>
      <c r="O1214" t="s">
        <v>2677</v>
      </c>
      <c r="P1214" s="7">
        <v>42.15</v>
      </c>
      <c r="Q1214" s="1">
        <v>45389</v>
      </c>
      <c r="R1214">
        <f>WEEKNUM(Table2[[#This Row],[OrderDate]])</f>
        <v>15</v>
      </c>
      <c r="S1214" s="1">
        <v>45391</v>
      </c>
      <c r="T1214" t="s">
        <v>2921</v>
      </c>
    </row>
    <row r="1215" spans="1:20" x14ac:dyDescent="0.35">
      <c r="A1215" s="1">
        <v>44960</v>
      </c>
      <c r="B1215" t="s">
        <v>2933</v>
      </c>
      <c r="C1215" t="s">
        <v>21</v>
      </c>
      <c r="D1215" s="9">
        <v>2</v>
      </c>
      <c r="E1215" s="7">
        <v>438.06</v>
      </c>
      <c r="F1215" t="s">
        <v>26</v>
      </c>
      <c r="G1215" t="s">
        <v>31</v>
      </c>
      <c r="H1215" s="12">
        <v>0</v>
      </c>
      <c r="I1215" t="s">
        <v>34</v>
      </c>
      <c r="J1215" s="7">
        <f>Table2[[#This Row],[UnitPrice]]*Table2[[#This Row],[Quantity]]*(1-Table2[[#This Row],[Discount]])</f>
        <v>876.12</v>
      </c>
      <c r="K1215" t="s">
        <v>38</v>
      </c>
      <c r="L1215" t="s">
        <v>43</v>
      </c>
      <c r="M1215">
        <v>1</v>
      </c>
      <c r="N1215" t="s">
        <v>1259</v>
      </c>
      <c r="O1215" t="s">
        <v>2678</v>
      </c>
      <c r="P1215" s="7">
        <v>12.9</v>
      </c>
      <c r="Q1215" s="1">
        <v>44960</v>
      </c>
      <c r="R1215">
        <f>WEEKNUM(Table2[[#This Row],[OrderDate]])</f>
        <v>5</v>
      </c>
      <c r="S1215" s="1">
        <v>44966</v>
      </c>
      <c r="T1215" t="s">
        <v>2921</v>
      </c>
    </row>
    <row r="1216" spans="1:20" x14ac:dyDescent="0.35">
      <c r="A1216" s="1">
        <v>45621</v>
      </c>
      <c r="B1216" t="s">
        <v>2930</v>
      </c>
      <c r="C1216" t="s">
        <v>22</v>
      </c>
      <c r="D1216" s="9">
        <v>14</v>
      </c>
      <c r="E1216" s="7">
        <v>6.1</v>
      </c>
      <c r="F1216" t="s">
        <v>28</v>
      </c>
      <c r="G1216" t="s">
        <v>30</v>
      </c>
      <c r="H1216" s="12">
        <v>0.15</v>
      </c>
      <c r="I1216" t="s">
        <v>35</v>
      </c>
      <c r="J1216" s="7">
        <f>Table2[[#This Row],[UnitPrice]]*Table2[[#This Row],[Quantity]]*(1-Table2[[#This Row],[Discount]])</f>
        <v>72.589999999999989</v>
      </c>
      <c r="K1216" t="s">
        <v>38</v>
      </c>
      <c r="L1216" t="s">
        <v>43</v>
      </c>
      <c r="M1216">
        <v>1</v>
      </c>
      <c r="N1216" t="s">
        <v>1260</v>
      </c>
      <c r="O1216" t="s">
        <v>2679</v>
      </c>
      <c r="P1216" s="7">
        <v>10.18</v>
      </c>
      <c r="Q1216" s="1">
        <v>45621</v>
      </c>
      <c r="R1216">
        <f>WEEKNUM(Table2[[#This Row],[OrderDate]])</f>
        <v>48</v>
      </c>
      <c r="S1216" s="1">
        <v>45626</v>
      </c>
      <c r="T1216" t="s">
        <v>2917</v>
      </c>
    </row>
    <row r="1217" spans="1:20" x14ac:dyDescent="0.35">
      <c r="A1217" s="1">
        <v>45473</v>
      </c>
      <c r="B1217" t="s">
        <v>2931</v>
      </c>
      <c r="C1217" t="s">
        <v>19</v>
      </c>
      <c r="D1217" s="9">
        <v>2</v>
      </c>
      <c r="E1217" s="7">
        <v>80.14</v>
      </c>
      <c r="F1217" t="s">
        <v>29</v>
      </c>
      <c r="G1217" t="s">
        <v>30</v>
      </c>
      <c r="H1217" s="12">
        <v>0</v>
      </c>
      <c r="I1217" t="s">
        <v>35</v>
      </c>
      <c r="J1217" s="7">
        <f>Table2[[#This Row],[UnitPrice]]*Table2[[#This Row],[Quantity]]*(1-Table2[[#This Row],[Discount]])</f>
        <v>160.28</v>
      </c>
      <c r="K1217" t="s">
        <v>38</v>
      </c>
      <c r="L1217" t="s">
        <v>43</v>
      </c>
      <c r="M1217">
        <v>1</v>
      </c>
      <c r="N1217" t="s">
        <v>1261</v>
      </c>
      <c r="O1217" t="s">
        <v>2680</v>
      </c>
      <c r="P1217" s="7">
        <v>13.41</v>
      </c>
      <c r="Q1217" s="1">
        <v>45473</v>
      </c>
      <c r="R1217">
        <f>WEEKNUM(Table2[[#This Row],[OrderDate]])</f>
        <v>27</v>
      </c>
      <c r="S1217" s="1">
        <v>45476</v>
      </c>
      <c r="T1217" t="s">
        <v>2919</v>
      </c>
    </row>
    <row r="1218" spans="1:20" x14ac:dyDescent="0.35">
      <c r="A1218" s="1">
        <v>45140</v>
      </c>
      <c r="B1218" t="s">
        <v>2932</v>
      </c>
      <c r="C1218" t="s">
        <v>19</v>
      </c>
      <c r="D1218" s="9">
        <v>11</v>
      </c>
      <c r="E1218" s="7">
        <v>66.97</v>
      </c>
      <c r="F1218" t="s">
        <v>27</v>
      </c>
      <c r="G1218" t="s">
        <v>31</v>
      </c>
      <c r="H1218" s="12">
        <v>0.15</v>
      </c>
      <c r="I1218" t="s">
        <v>37</v>
      </c>
      <c r="J1218" s="7">
        <f>Table2[[#This Row],[UnitPrice]]*Table2[[#This Row],[Quantity]]*(1-Table2[[#This Row],[Discount]])</f>
        <v>626.16949999999997</v>
      </c>
      <c r="K1218" t="s">
        <v>39</v>
      </c>
      <c r="L1218" t="s">
        <v>43</v>
      </c>
      <c r="M1218">
        <v>1</v>
      </c>
      <c r="N1218" t="s">
        <v>1262</v>
      </c>
      <c r="O1218" t="s">
        <v>2681</v>
      </c>
      <c r="P1218" s="7">
        <v>20.350000000000001</v>
      </c>
      <c r="Q1218" s="1">
        <v>45140</v>
      </c>
      <c r="R1218">
        <f>WEEKNUM(Table2[[#This Row],[OrderDate]])</f>
        <v>31</v>
      </c>
      <c r="S1218" s="1">
        <v>45149</v>
      </c>
      <c r="T1218" t="s">
        <v>2918</v>
      </c>
    </row>
    <row r="1219" spans="1:20" x14ac:dyDescent="0.35">
      <c r="A1219" s="1">
        <v>45344</v>
      </c>
      <c r="B1219" t="s">
        <v>2932</v>
      </c>
      <c r="C1219" t="s">
        <v>22</v>
      </c>
      <c r="D1219" s="9">
        <v>6</v>
      </c>
      <c r="E1219" s="7">
        <v>181.34</v>
      </c>
      <c r="F1219" t="s">
        <v>27</v>
      </c>
      <c r="G1219" t="s">
        <v>30</v>
      </c>
      <c r="H1219" s="12">
        <v>0</v>
      </c>
      <c r="I1219" t="s">
        <v>33</v>
      </c>
      <c r="J1219" s="7">
        <f>Table2[[#This Row],[UnitPrice]]*Table2[[#This Row],[Quantity]]*(1-Table2[[#This Row],[Discount]])</f>
        <v>1088.04</v>
      </c>
      <c r="K1219" t="s">
        <v>42</v>
      </c>
      <c r="L1219" t="s">
        <v>43</v>
      </c>
      <c r="M1219">
        <v>0</v>
      </c>
      <c r="N1219" t="s">
        <v>1263</v>
      </c>
      <c r="O1219" t="s">
        <v>2682</v>
      </c>
      <c r="P1219" s="7">
        <v>27.65</v>
      </c>
      <c r="Q1219" s="1">
        <v>45344</v>
      </c>
      <c r="R1219">
        <f>WEEKNUM(Table2[[#This Row],[OrderDate]])</f>
        <v>8</v>
      </c>
      <c r="S1219" s="1">
        <v>45349</v>
      </c>
      <c r="T1219" t="s">
        <v>2918</v>
      </c>
    </row>
    <row r="1220" spans="1:20" x14ac:dyDescent="0.35">
      <c r="A1220" s="1">
        <v>45625</v>
      </c>
      <c r="B1220" t="s">
        <v>2931</v>
      </c>
      <c r="C1220" t="s">
        <v>23</v>
      </c>
      <c r="D1220" s="9">
        <v>15</v>
      </c>
      <c r="E1220" s="7">
        <v>570</v>
      </c>
      <c r="F1220" t="s">
        <v>29</v>
      </c>
      <c r="G1220" t="s">
        <v>30</v>
      </c>
      <c r="H1220" s="12">
        <v>0.05</v>
      </c>
      <c r="I1220" t="s">
        <v>34</v>
      </c>
      <c r="J1220" s="7">
        <f>Table2[[#This Row],[UnitPrice]]*Table2[[#This Row],[Quantity]]*(1-Table2[[#This Row],[Discount]])</f>
        <v>8122.5</v>
      </c>
      <c r="K1220" t="s">
        <v>39</v>
      </c>
      <c r="L1220" t="s">
        <v>2937</v>
      </c>
      <c r="M1220">
        <v>0</v>
      </c>
      <c r="N1220" t="s">
        <v>1264</v>
      </c>
      <c r="O1220" t="s">
        <v>2683</v>
      </c>
      <c r="P1220" s="7">
        <v>7.62</v>
      </c>
      <c r="Q1220" s="1">
        <v>45625</v>
      </c>
      <c r="R1220">
        <f>WEEKNUM(Table2[[#This Row],[OrderDate]])</f>
        <v>48</v>
      </c>
      <c r="S1220" s="1">
        <v>45635</v>
      </c>
      <c r="T1220" t="s">
        <v>2919</v>
      </c>
    </row>
    <row r="1221" spans="1:20" x14ac:dyDescent="0.35">
      <c r="A1221" s="1">
        <v>45128</v>
      </c>
      <c r="B1221" t="s">
        <v>2931</v>
      </c>
      <c r="C1221" t="s">
        <v>23</v>
      </c>
      <c r="D1221" s="9">
        <v>9</v>
      </c>
      <c r="E1221" s="7">
        <v>587.79</v>
      </c>
      <c r="F1221" t="s">
        <v>29</v>
      </c>
      <c r="G1221" t="s">
        <v>30</v>
      </c>
      <c r="H1221" s="12">
        <v>0.15</v>
      </c>
      <c r="I1221" t="s">
        <v>37</v>
      </c>
      <c r="J1221" s="7">
        <f>Table2[[#This Row],[UnitPrice]]*Table2[[#This Row],[Quantity]]*(1-Table2[[#This Row],[Discount]])</f>
        <v>4496.5934999999999</v>
      </c>
      <c r="K1221" t="s">
        <v>38</v>
      </c>
      <c r="L1221" t="s">
        <v>2937</v>
      </c>
      <c r="M1221">
        <v>0</v>
      </c>
      <c r="N1221" t="s">
        <v>1265</v>
      </c>
      <c r="O1221" t="s">
        <v>2684</v>
      </c>
      <c r="P1221" s="7">
        <v>24.64</v>
      </c>
      <c r="Q1221" s="1">
        <v>45128</v>
      </c>
      <c r="R1221">
        <f>WEEKNUM(Table2[[#This Row],[OrderDate]])</f>
        <v>29</v>
      </c>
      <c r="S1221" s="1">
        <v>45138</v>
      </c>
      <c r="T1221" t="s">
        <v>2919</v>
      </c>
    </row>
    <row r="1222" spans="1:20" x14ac:dyDescent="0.35">
      <c r="A1222" s="1">
        <v>45030</v>
      </c>
      <c r="B1222" t="s">
        <v>2934</v>
      </c>
      <c r="C1222" t="s">
        <v>20</v>
      </c>
      <c r="D1222" s="9">
        <v>6</v>
      </c>
      <c r="E1222" s="7">
        <v>196.31</v>
      </c>
      <c r="F1222" t="s">
        <v>28</v>
      </c>
      <c r="G1222" t="s">
        <v>31</v>
      </c>
      <c r="H1222" s="12">
        <v>0.1</v>
      </c>
      <c r="I1222" t="s">
        <v>35</v>
      </c>
      <c r="J1222" s="7">
        <f>Table2[[#This Row],[UnitPrice]]*Table2[[#This Row],[Quantity]]*(1-Table2[[#This Row],[Discount]])</f>
        <v>1060.0740000000001</v>
      </c>
      <c r="K1222" t="s">
        <v>38</v>
      </c>
      <c r="L1222" t="s">
        <v>45</v>
      </c>
      <c r="M1222">
        <v>0</v>
      </c>
      <c r="N1222" t="s">
        <v>1266</v>
      </c>
      <c r="O1222" t="s">
        <v>2685</v>
      </c>
      <c r="P1222" s="7">
        <v>38.65</v>
      </c>
      <c r="Q1222" s="1">
        <v>45030</v>
      </c>
      <c r="R1222">
        <f>WEEKNUM(Table2[[#This Row],[OrderDate]])</f>
        <v>15</v>
      </c>
      <c r="S1222" s="1">
        <v>45033</v>
      </c>
      <c r="T1222" t="s">
        <v>2920</v>
      </c>
    </row>
    <row r="1223" spans="1:20" x14ac:dyDescent="0.35">
      <c r="A1223" s="1">
        <v>44958</v>
      </c>
      <c r="B1223" t="s">
        <v>2931</v>
      </c>
      <c r="C1223" t="s">
        <v>20</v>
      </c>
      <c r="D1223" s="9">
        <v>8</v>
      </c>
      <c r="E1223" s="7">
        <v>430.06</v>
      </c>
      <c r="F1223" t="s">
        <v>26</v>
      </c>
      <c r="G1223" t="s">
        <v>30</v>
      </c>
      <c r="H1223" s="12">
        <v>0.05</v>
      </c>
      <c r="I1223" t="s">
        <v>37</v>
      </c>
      <c r="J1223" s="7">
        <f>Table2[[#This Row],[UnitPrice]]*Table2[[#This Row],[Quantity]]*(1-Table2[[#This Row],[Discount]])</f>
        <v>3268.4559999999997</v>
      </c>
      <c r="K1223" t="s">
        <v>41</v>
      </c>
      <c r="L1223" t="s">
        <v>44</v>
      </c>
      <c r="M1223">
        <v>0</v>
      </c>
      <c r="N1223" t="s">
        <v>1267</v>
      </c>
      <c r="O1223" t="s">
        <v>2686</v>
      </c>
      <c r="P1223" s="7">
        <v>38.450000000000003</v>
      </c>
      <c r="Q1223" s="1">
        <v>44958</v>
      </c>
      <c r="R1223">
        <f>WEEKNUM(Table2[[#This Row],[OrderDate]])</f>
        <v>5</v>
      </c>
      <c r="S1223" s="1">
        <v>44962</v>
      </c>
      <c r="T1223" t="s">
        <v>2919</v>
      </c>
    </row>
    <row r="1224" spans="1:20" x14ac:dyDescent="0.35">
      <c r="A1224" s="1">
        <v>45473</v>
      </c>
      <c r="B1224" t="s">
        <v>2930</v>
      </c>
      <c r="C1224" t="s">
        <v>23</v>
      </c>
      <c r="D1224" s="9">
        <v>14</v>
      </c>
      <c r="E1224" s="7">
        <v>429.72</v>
      </c>
      <c r="F1224" t="s">
        <v>27</v>
      </c>
      <c r="G1224" t="s">
        <v>31</v>
      </c>
      <c r="H1224" s="12">
        <v>0.1</v>
      </c>
      <c r="I1224" t="s">
        <v>32</v>
      </c>
      <c r="J1224" s="7">
        <f>Table2[[#This Row],[UnitPrice]]*Table2[[#This Row],[Quantity]]*(1-Table2[[#This Row],[Discount]])</f>
        <v>5414.4719999999998</v>
      </c>
      <c r="K1224" t="s">
        <v>42</v>
      </c>
      <c r="L1224" t="s">
        <v>44</v>
      </c>
      <c r="M1224">
        <v>0</v>
      </c>
      <c r="N1224" t="s">
        <v>1268</v>
      </c>
      <c r="O1224" t="s">
        <v>2687</v>
      </c>
      <c r="P1224" s="7">
        <v>45.78</v>
      </c>
      <c r="Q1224" s="1">
        <v>45473</v>
      </c>
      <c r="R1224">
        <f>WEEKNUM(Table2[[#This Row],[OrderDate]])</f>
        <v>27</v>
      </c>
      <c r="S1224" s="1">
        <v>45478</v>
      </c>
      <c r="T1224" t="s">
        <v>2917</v>
      </c>
    </row>
    <row r="1225" spans="1:20" x14ac:dyDescent="0.35">
      <c r="A1225" s="1">
        <v>45217</v>
      </c>
      <c r="B1225" t="s">
        <v>2934</v>
      </c>
      <c r="C1225" t="s">
        <v>20</v>
      </c>
      <c r="D1225" s="9">
        <v>13</v>
      </c>
      <c r="E1225" s="7">
        <v>127.34</v>
      </c>
      <c r="F1225" t="s">
        <v>29</v>
      </c>
      <c r="G1225" t="s">
        <v>30</v>
      </c>
      <c r="H1225" s="12">
        <v>0</v>
      </c>
      <c r="I1225" t="s">
        <v>33</v>
      </c>
      <c r="J1225" s="7">
        <f>Table2[[#This Row],[UnitPrice]]*Table2[[#This Row],[Quantity]]*(1-Table2[[#This Row],[Discount]])</f>
        <v>1655.42</v>
      </c>
      <c r="K1225" t="s">
        <v>40</v>
      </c>
      <c r="L1225" t="s">
        <v>45</v>
      </c>
      <c r="M1225">
        <v>0</v>
      </c>
      <c r="N1225" t="s">
        <v>1269</v>
      </c>
      <c r="O1225" t="s">
        <v>2688</v>
      </c>
      <c r="P1225" s="7">
        <v>6.15</v>
      </c>
      <c r="Q1225" s="1">
        <v>45217</v>
      </c>
      <c r="R1225">
        <f>WEEKNUM(Table2[[#This Row],[OrderDate]])</f>
        <v>42</v>
      </c>
      <c r="S1225" s="1">
        <v>45220</v>
      </c>
      <c r="T1225" t="s">
        <v>2920</v>
      </c>
    </row>
    <row r="1226" spans="1:20" x14ac:dyDescent="0.35">
      <c r="A1226" s="1">
        <v>45477</v>
      </c>
      <c r="B1226" t="s">
        <v>2930</v>
      </c>
      <c r="C1226" t="s">
        <v>23</v>
      </c>
      <c r="D1226" s="9">
        <v>6</v>
      </c>
      <c r="E1226" s="7">
        <v>421.97</v>
      </c>
      <c r="F1226" t="s">
        <v>26</v>
      </c>
      <c r="G1226" t="s">
        <v>30</v>
      </c>
      <c r="H1226" s="12">
        <v>0.05</v>
      </c>
      <c r="I1226" t="s">
        <v>37</v>
      </c>
      <c r="J1226" s="7">
        <f>Table2[[#This Row],[UnitPrice]]*Table2[[#This Row],[Quantity]]*(1-Table2[[#This Row],[Discount]])</f>
        <v>2405.2290000000003</v>
      </c>
      <c r="K1226" t="s">
        <v>42</v>
      </c>
      <c r="L1226" t="s">
        <v>45</v>
      </c>
      <c r="M1226">
        <v>0</v>
      </c>
      <c r="N1226" t="s">
        <v>1270</v>
      </c>
      <c r="O1226" t="s">
        <v>2689</v>
      </c>
      <c r="P1226" s="7">
        <v>41.31</v>
      </c>
      <c r="Q1226" s="1">
        <v>45477</v>
      </c>
      <c r="R1226">
        <f>WEEKNUM(Table2[[#This Row],[OrderDate]])</f>
        <v>27</v>
      </c>
      <c r="S1226" s="1">
        <v>45486</v>
      </c>
      <c r="T1226" t="s">
        <v>2917</v>
      </c>
    </row>
    <row r="1227" spans="1:20" x14ac:dyDescent="0.35">
      <c r="A1227" s="1">
        <v>45477</v>
      </c>
      <c r="B1227" t="s">
        <v>2930</v>
      </c>
      <c r="C1227" t="s">
        <v>24</v>
      </c>
      <c r="D1227" s="9">
        <v>5</v>
      </c>
      <c r="E1227" s="7">
        <v>225.69</v>
      </c>
      <c r="F1227" t="s">
        <v>27</v>
      </c>
      <c r="G1227" t="s">
        <v>30</v>
      </c>
      <c r="H1227" s="12">
        <v>0.15</v>
      </c>
      <c r="I1227" t="s">
        <v>35</v>
      </c>
      <c r="J1227" s="7">
        <f>Table2[[#This Row],[UnitPrice]]*Table2[[#This Row],[Quantity]]*(1-Table2[[#This Row],[Discount]])</f>
        <v>959.1825</v>
      </c>
      <c r="K1227" t="s">
        <v>39</v>
      </c>
      <c r="L1227" t="s">
        <v>45</v>
      </c>
      <c r="M1227">
        <v>0</v>
      </c>
      <c r="N1227" t="s">
        <v>1271</v>
      </c>
      <c r="O1227" t="s">
        <v>2690</v>
      </c>
      <c r="P1227" s="7">
        <v>47.6</v>
      </c>
      <c r="Q1227" s="1">
        <v>45477</v>
      </c>
      <c r="R1227">
        <f>WEEKNUM(Table2[[#This Row],[OrderDate]])</f>
        <v>27</v>
      </c>
      <c r="S1227" s="1">
        <v>45485</v>
      </c>
      <c r="T1227" t="s">
        <v>2917</v>
      </c>
    </row>
    <row r="1228" spans="1:20" x14ac:dyDescent="0.35">
      <c r="A1228" s="1">
        <v>45134</v>
      </c>
      <c r="B1228" t="s">
        <v>2931</v>
      </c>
      <c r="C1228" t="s">
        <v>23</v>
      </c>
      <c r="D1228" s="9">
        <v>10</v>
      </c>
      <c r="E1228" s="7">
        <v>322.11</v>
      </c>
      <c r="F1228" t="s">
        <v>27</v>
      </c>
      <c r="G1228" t="s">
        <v>31</v>
      </c>
      <c r="H1228" s="12">
        <v>0.15</v>
      </c>
      <c r="I1228" t="s">
        <v>36</v>
      </c>
      <c r="J1228" s="7">
        <f>Table2[[#This Row],[UnitPrice]]*Table2[[#This Row],[Quantity]]*(1-Table2[[#This Row],[Discount]])</f>
        <v>2737.9350000000004</v>
      </c>
      <c r="K1228" t="s">
        <v>41</v>
      </c>
      <c r="L1228" t="s">
        <v>45</v>
      </c>
      <c r="M1228">
        <v>0</v>
      </c>
      <c r="N1228" t="s">
        <v>1272</v>
      </c>
      <c r="O1228" t="s">
        <v>2691</v>
      </c>
      <c r="P1228" s="7">
        <v>28.72</v>
      </c>
      <c r="Q1228" s="1">
        <v>45134</v>
      </c>
      <c r="R1228">
        <f>WEEKNUM(Table2[[#This Row],[OrderDate]])</f>
        <v>30</v>
      </c>
      <c r="S1228" s="1">
        <v>45140</v>
      </c>
      <c r="T1228" t="s">
        <v>2919</v>
      </c>
    </row>
    <row r="1229" spans="1:20" x14ac:dyDescent="0.35">
      <c r="A1229" s="1">
        <v>45717</v>
      </c>
      <c r="B1229" t="s">
        <v>2933</v>
      </c>
      <c r="C1229" t="s">
        <v>21</v>
      </c>
      <c r="D1229" s="9">
        <v>4</v>
      </c>
      <c r="E1229" s="7">
        <v>209.3</v>
      </c>
      <c r="F1229" t="s">
        <v>26</v>
      </c>
      <c r="G1229" t="s">
        <v>31</v>
      </c>
      <c r="H1229" s="12">
        <v>0.05</v>
      </c>
      <c r="I1229" t="s">
        <v>33</v>
      </c>
      <c r="J1229" s="7">
        <f>Table2[[#This Row],[UnitPrice]]*Table2[[#This Row],[Quantity]]*(1-Table2[[#This Row],[Discount]])</f>
        <v>795.34</v>
      </c>
      <c r="K1229" t="s">
        <v>39</v>
      </c>
      <c r="L1229" t="s">
        <v>2937</v>
      </c>
      <c r="M1229">
        <v>0</v>
      </c>
      <c r="N1229" t="s">
        <v>1273</v>
      </c>
      <c r="O1229" t="s">
        <v>2692</v>
      </c>
      <c r="P1229" s="7">
        <v>6.89</v>
      </c>
      <c r="Q1229" s="1">
        <v>45717</v>
      </c>
      <c r="R1229">
        <f>WEEKNUM(Table2[[#This Row],[OrderDate]])</f>
        <v>9</v>
      </c>
      <c r="S1229" s="1">
        <v>45722</v>
      </c>
      <c r="T1229" t="s">
        <v>2921</v>
      </c>
    </row>
    <row r="1230" spans="1:20" x14ac:dyDescent="0.35">
      <c r="A1230" s="1">
        <v>44980</v>
      </c>
      <c r="B1230" t="s">
        <v>2934</v>
      </c>
      <c r="C1230" t="s">
        <v>21</v>
      </c>
      <c r="D1230" s="9">
        <v>16</v>
      </c>
      <c r="E1230" s="7">
        <v>326.16000000000003</v>
      </c>
      <c r="F1230" t="s">
        <v>28</v>
      </c>
      <c r="G1230" t="s">
        <v>30</v>
      </c>
      <c r="H1230" s="12">
        <v>0.1</v>
      </c>
      <c r="I1230" t="s">
        <v>34</v>
      </c>
      <c r="J1230" s="7">
        <f>Table2[[#This Row],[UnitPrice]]*Table2[[#This Row],[Quantity]]*(1-Table2[[#This Row],[Discount]])</f>
        <v>4696.7040000000006</v>
      </c>
      <c r="K1230" t="s">
        <v>40</v>
      </c>
      <c r="L1230" t="s">
        <v>2937</v>
      </c>
      <c r="M1230">
        <v>0</v>
      </c>
      <c r="N1230" t="s">
        <v>1274</v>
      </c>
      <c r="O1230" t="s">
        <v>2693</v>
      </c>
      <c r="P1230" s="7">
        <v>44.3</v>
      </c>
      <c r="Q1230" s="1">
        <v>44980</v>
      </c>
      <c r="R1230">
        <f>WEEKNUM(Table2[[#This Row],[OrderDate]])</f>
        <v>8</v>
      </c>
      <c r="S1230" s="1">
        <v>44982</v>
      </c>
      <c r="T1230" t="s">
        <v>2920</v>
      </c>
    </row>
    <row r="1231" spans="1:20" x14ac:dyDescent="0.35">
      <c r="A1231" s="1">
        <v>44937</v>
      </c>
      <c r="B1231" t="s">
        <v>2930</v>
      </c>
      <c r="C1231" t="s">
        <v>23</v>
      </c>
      <c r="D1231" s="9">
        <v>13</v>
      </c>
      <c r="E1231" s="7">
        <v>515.41999999999996</v>
      </c>
      <c r="F1231" t="s">
        <v>29</v>
      </c>
      <c r="G1231" t="s">
        <v>31</v>
      </c>
      <c r="H1231" s="12">
        <v>0</v>
      </c>
      <c r="I1231" t="s">
        <v>37</v>
      </c>
      <c r="J1231" s="7">
        <f>Table2[[#This Row],[UnitPrice]]*Table2[[#This Row],[Quantity]]*(1-Table2[[#This Row],[Discount]])</f>
        <v>6700.4599999999991</v>
      </c>
      <c r="K1231" t="s">
        <v>38</v>
      </c>
      <c r="L1231" t="s">
        <v>43</v>
      </c>
      <c r="M1231">
        <v>0</v>
      </c>
      <c r="N1231" t="s">
        <v>1275</v>
      </c>
      <c r="O1231" t="s">
        <v>2694</v>
      </c>
      <c r="P1231" s="7">
        <v>43.37</v>
      </c>
      <c r="Q1231" s="1">
        <v>44937</v>
      </c>
      <c r="R1231">
        <f>WEEKNUM(Table2[[#This Row],[OrderDate]])</f>
        <v>2</v>
      </c>
      <c r="S1231" s="1">
        <v>44946</v>
      </c>
      <c r="T1231" t="s">
        <v>2917</v>
      </c>
    </row>
    <row r="1232" spans="1:20" x14ac:dyDescent="0.35">
      <c r="A1232" s="1">
        <v>45398</v>
      </c>
      <c r="B1232" t="s">
        <v>2933</v>
      </c>
      <c r="C1232" t="s">
        <v>24</v>
      </c>
      <c r="D1232" s="9">
        <v>7</v>
      </c>
      <c r="E1232" s="7">
        <v>129.83000000000001</v>
      </c>
      <c r="F1232" t="s">
        <v>27</v>
      </c>
      <c r="G1232" t="s">
        <v>30</v>
      </c>
      <c r="H1232" s="12">
        <v>0</v>
      </c>
      <c r="I1232" t="s">
        <v>35</v>
      </c>
      <c r="J1232" s="7">
        <f>Table2[[#This Row],[UnitPrice]]*Table2[[#This Row],[Quantity]]*(1-Table2[[#This Row],[Discount]])</f>
        <v>908.81000000000006</v>
      </c>
      <c r="K1232" t="s">
        <v>39</v>
      </c>
      <c r="L1232" t="s">
        <v>45</v>
      </c>
      <c r="M1232">
        <v>0</v>
      </c>
      <c r="N1232" t="s">
        <v>1276</v>
      </c>
      <c r="O1232" t="s">
        <v>2695</v>
      </c>
      <c r="P1232" s="7">
        <v>13.12</v>
      </c>
      <c r="Q1232" s="1">
        <v>45398</v>
      </c>
      <c r="R1232">
        <f>WEEKNUM(Table2[[#This Row],[OrderDate]])</f>
        <v>16</v>
      </c>
      <c r="S1232" s="1">
        <v>45402</v>
      </c>
      <c r="T1232" t="s">
        <v>2921</v>
      </c>
    </row>
    <row r="1233" spans="1:20" x14ac:dyDescent="0.35">
      <c r="A1233" s="1">
        <v>45360</v>
      </c>
      <c r="B1233" t="s">
        <v>2934</v>
      </c>
      <c r="C1233" t="s">
        <v>23</v>
      </c>
      <c r="D1233" s="9">
        <v>17</v>
      </c>
      <c r="E1233" s="7">
        <v>376.15</v>
      </c>
      <c r="F1233" t="s">
        <v>28</v>
      </c>
      <c r="G1233" t="s">
        <v>31</v>
      </c>
      <c r="H1233" s="12">
        <v>0.05</v>
      </c>
      <c r="I1233" t="s">
        <v>36</v>
      </c>
      <c r="J1233" s="7">
        <f>Table2[[#This Row],[UnitPrice]]*Table2[[#This Row],[Quantity]]*(1-Table2[[#This Row],[Discount]])</f>
        <v>6074.8224999999993</v>
      </c>
      <c r="K1233" t="s">
        <v>39</v>
      </c>
      <c r="L1233" t="s">
        <v>45</v>
      </c>
      <c r="M1233">
        <v>1</v>
      </c>
      <c r="N1233" t="s">
        <v>1277</v>
      </c>
      <c r="O1233" t="s">
        <v>2696</v>
      </c>
      <c r="P1233" s="7">
        <v>31.96</v>
      </c>
      <c r="Q1233" s="1">
        <v>45360</v>
      </c>
      <c r="R1233">
        <f>WEEKNUM(Table2[[#This Row],[OrderDate]])</f>
        <v>10</v>
      </c>
      <c r="S1233" s="1">
        <v>45363</v>
      </c>
      <c r="T1233" t="s">
        <v>2920</v>
      </c>
    </row>
    <row r="1234" spans="1:20" x14ac:dyDescent="0.35">
      <c r="A1234" s="1">
        <v>45572</v>
      </c>
      <c r="B1234" t="s">
        <v>2932</v>
      </c>
      <c r="C1234" t="s">
        <v>22</v>
      </c>
      <c r="D1234" s="9">
        <v>8</v>
      </c>
      <c r="E1234" s="7">
        <v>385.46</v>
      </c>
      <c r="F1234" t="s">
        <v>27</v>
      </c>
      <c r="G1234" t="s">
        <v>30</v>
      </c>
      <c r="H1234" s="12">
        <v>0</v>
      </c>
      <c r="I1234" t="s">
        <v>37</v>
      </c>
      <c r="J1234" s="7">
        <f>Table2[[#This Row],[UnitPrice]]*Table2[[#This Row],[Quantity]]*(1-Table2[[#This Row],[Discount]])</f>
        <v>3083.68</v>
      </c>
      <c r="K1234" t="s">
        <v>42</v>
      </c>
      <c r="L1234" t="s">
        <v>44</v>
      </c>
      <c r="M1234">
        <v>0</v>
      </c>
      <c r="N1234" t="s">
        <v>1278</v>
      </c>
      <c r="O1234" t="s">
        <v>2697</v>
      </c>
      <c r="P1234" s="7">
        <v>8.89</v>
      </c>
      <c r="Q1234" s="1">
        <v>45572</v>
      </c>
      <c r="R1234">
        <f>WEEKNUM(Table2[[#This Row],[OrderDate]])</f>
        <v>41</v>
      </c>
      <c r="S1234" s="1">
        <v>45576</v>
      </c>
      <c r="T1234" t="s">
        <v>2918</v>
      </c>
    </row>
    <row r="1235" spans="1:20" x14ac:dyDescent="0.35">
      <c r="A1235" s="1">
        <v>45205</v>
      </c>
      <c r="B1235" t="s">
        <v>2933</v>
      </c>
      <c r="C1235" t="s">
        <v>25</v>
      </c>
      <c r="D1235" s="9">
        <v>2</v>
      </c>
      <c r="E1235" s="7">
        <v>474.13</v>
      </c>
      <c r="F1235" t="s">
        <v>29</v>
      </c>
      <c r="G1235" t="s">
        <v>30</v>
      </c>
      <c r="H1235" s="12">
        <v>0</v>
      </c>
      <c r="I1235" t="s">
        <v>35</v>
      </c>
      <c r="J1235" s="7">
        <f>Table2[[#This Row],[UnitPrice]]*Table2[[#This Row],[Quantity]]*(1-Table2[[#This Row],[Discount]])</f>
        <v>948.26</v>
      </c>
      <c r="K1235" t="s">
        <v>39</v>
      </c>
      <c r="L1235" t="s">
        <v>43</v>
      </c>
      <c r="M1235">
        <v>1</v>
      </c>
      <c r="N1235" t="s">
        <v>1279</v>
      </c>
      <c r="O1235" t="s">
        <v>2698</v>
      </c>
      <c r="P1235" s="7">
        <v>14.41</v>
      </c>
      <c r="Q1235" s="1">
        <v>45205</v>
      </c>
      <c r="R1235">
        <f>WEEKNUM(Table2[[#This Row],[OrderDate]])</f>
        <v>40</v>
      </c>
      <c r="S1235" s="1">
        <v>45214</v>
      </c>
      <c r="T1235" t="s">
        <v>2921</v>
      </c>
    </row>
    <row r="1236" spans="1:20" x14ac:dyDescent="0.35">
      <c r="A1236" s="1">
        <v>45024</v>
      </c>
      <c r="B1236" t="s">
        <v>2933</v>
      </c>
      <c r="C1236" t="s">
        <v>23</v>
      </c>
      <c r="D1236" s="9">
        <v>15</v>
      </c>
      <c r="E1236" s="7">
        <v>506.17</v>
      </c>
      <c r="F1236" t="s">
        <v>26</v>
      </c>
      <c r="G1236" t="s">
        <v>30</v>
      </c>
      <c r="H1236" s="12">
        <v>0.05</v>
      </c>
      <c r="I1236" t="s">
        <v>33</v>
      </c>
      <c r="J1236" s="7">
        <f>Table2[[#This Row],[UnitPrice]]*Table2[[#This Row],[Quantity]]*(1-Table2[[#This Row],[Discount]])</f>
        <v>7212.9224999999997</v>
      </c>
      <c r="K1236" t="s">
        <v>38</v>
      </c>
      <c r="L1236" t="s">
        <v>2937</v>
      </c>
      <c r="M1236">
        <v>0</v>
      </c>
      <c r="N1236" t="s">
        <v>1280</v>
      </c>
      <c r="O1236" t="s">
        <v>2699</v>
      </c>
      <c r="P1236" s="7">
        <v>41.73</v>
      </c>
      <c r="Q1236" s="1">
        <v>45024</v>
      </c>
      <c r="R1236">
        <f>WEEKNUM(Table2[[#This Row],[OrderDate]])</f>
        <v>14</v>
      </c>
      <c r="S1236" s="1">
        <v>45029</v>
      </c>
      <c r="T1236" t="s">
        <v>2921</v>
      </c>
    </row>
    <row r="1237" spans="1:20" x14ac:dyDescent="0.35">
      <c r="A1237" s="1">
        <v>45342</v>
      </c>
      <c r="B1237" t="s">
        <v>2932</v>
      </c>
      <c r="C1237" t="s">
        <v>20</v>
      </c>
      <c r="D1237" s="9">
        <v>1</v>
      </c>
      <c r="E1237" s="7">
        <v>67.38</v>
      </c>
      <c r="F1237" t="s">
        <v>29</v>
      </c>
      <c r="G1237" t="s">
        <v>31</v>
      </c>
      <c r="H1237" s="12">
        <v>0.15</v>
      </c>
      <c r="I1237" t="s">
        <v>33</v>
      </c>
      <c r="J1237" s="7">
        <f>Table2[[#This Row],[UnitPrice]]*Table2[[#This Row],[Quantity]]*(1-Table2[[#This Row],[Discount]])</f>
        <v>57.272999999999996</v>
      </c>
      <c r="K1237" t="s">
        <v>40</v>
      </c>
      <c r="L1237" t="s">
        <v>45</v>
      </c>
      <c r="M1237">
        <v>0</v>
      </c>
      <c r="N1237" t="s">
        <v>1281</v>
      </c>
      <c r="O1237" t="s">
        <v>2700</v>
      </c>
      <c r="P1237" s="7">
        <v>6.14</v>
      </c>
      <c r="Q1237" s="1">
        <v>45342</v>
      </c>
      <c r="R1237">
        <f>WEEKNUM(Table2[[#This Row],[OrderDate]])</f>
        <v>8</v>
      </c>
      <c r="S1237" s="1">
        <v>45349</v>
      </c>
      <c r="T1237" t="s">
        <v>2918</v>
      </c>
    </row>
    <row r="1238" spans="1:20" x14ac:dyDescent="0.35">
      <c r="A1238" s="1">
        <v>44956</v>
      </c>
      <c r="B1238" t="s">
        <v>2933</v>
      </c>
      <c r="C1238" t="s">
        <v>22</v>
      </c>
      <c r="D1238" s="9">
        <v>15</v>
      </c>
      <c r="E1238" s="7">
        <v>274.3</v>
      </c>
      <c r="F1238" t="s">
        <v>26</v>
      </c>
      <c r="G1238" t="s">
        <v>31</v>
      </c>
      <c r="H1238" s="12">
        <v>0.15</v>
      </c>
      <c r="I1238" t="s">
        <v>34</v>
      </c>
      <c r="J1238" s="7">
        <f>Table2[[#This Row],[UnitPrice]]*Table2[[#This Row],[Quantity]]*(1-Table2[[#This Row],[Discount]])</f>
        <v>3497.3249999999998</v>
      </c>
      <c r="K1238" t="s">
        <v>40</v>
      </c>
      <c r="L1238" t="s">
        <v>2937</v>
      </c>
      <c r="M1238">
        <v>0</v>
      </c>
      <c r="N1238" t="s">
        <v>1282</v>
      </c>
      <c r="O1238" t="s">
        <v>2701</v>
      </c>
      <c r="P1238" s="7">
        <v>21.56</v>
      </c>
      <c r="Q1238" s="1">
        <v>44956</v>
      </c>
      <c r="R1238">
        <f>WEEKNUM(Table2[[#This Row],[OrderDate]])</f>
        <v>5</v>
      </c>
      <c r="S1238" s="1">
        <v>44965</v>
      </c>
      <c r="T1238" t="s">
        <v>2921</v>
      </c>
    </row>
    <row r="1239" spans="1:20" x14ac:dyDescent="0.35">
      <c r="A1239" s="1">
        <v>45058</v>
      </c>
      <c r="B1239" t="s">
        <v>2932</v>
      </c>
      <c r="C1239" t="s">
        <v>23</v>
      </c>
      <c r="D1239" s="9">
        <v>2</v>
      </c>
      <c r="E1239" s="7">
        <v>334.48</v>
      </c>
      <c r="F1239" t="s">
        <v>26</v>
      </c>
      <c r="G1239" t="s">
        <v>30</v>
      </c>
      <c r="H1239" s="12">
        <v>0</v>
      </c>
      <c r="I1239" t="s">
        <v>33</v>
      </c>
      <c r="J1239" s="7">
        <f>Table2[[#This Row],[UnitPrice]]*Table2[[#This Row],[Quantity]]*(1-Table2[[#This Row],[Discount]])</f>
        <v>668.96</v>
      </c>
      <c r="K1239" t="s">
        <v>41</v>
      </c>
      <c r="L1239" t="s">
        <v>2937</v>
      </c>
      <c r="M1239">
        <v>0</v>
      </c>
      <c r="N1239" t="s">
        <v>1283</v>
      </c>
      <c r="O1239" t="s">
        <v>2702</v>
      </c>
      <c r="P1239" s="7">
        <v>31.53</v>
      </c>
      <c r="Q1239" s="1">
        <v>45058</v>
      </c>
      <c r="R1239">
        <f>WEEKNUM(Table2[[#This Row],[OrderDate]])</f>
        <v>19</v>
      </c>
      <c r="S1239" s="1">
        <v>45066</v>
      </c>
      <c r="T1239" t="s">
        <v>2918</v>
      </c>
    </row>
    <row r="1240" spans="1:20" x14ac:dyDescent="0.35">
      <c r="A1240" s="1">
        <v>45299</v>
      </c>
      <c r="B1240" t="s">
        <v>2932</v>
      </c>
      <c r="C1240" t="s">
        <v>22</v>
      </c>
      <c r="D1240" s="9">
        <v>7</v>
      </c>
      <c r="E1240" s="7">
        <v>562.6</v>
      </c>
      <c r="F1240" t="s">
        <v>27</v>
      </c>
      <c r="G1240" t="s">
        <v>31</v>
      </c>
      <c r="H1240" s="12">
        <v>0.15</v>
      </c>
      <c r="I1240" t="s">
        <v>32</v>
      </c>
      <c r="J1240" s="7">
        <f>Table2[[#This Row],[UnitPrice]]*Table2[[#This Row],[Quantity]]*(1-Table2[[#This Row],[Discount]])</f>
        <v>3347.4700000000003</v>
      </c>
      <c r="K1240" t="s">
        <v>38</v>
      </c>
      <c r="L1240" t="s">
        <v>45</v>
      </c>
      <c r="M1240">
        <v>0</v>
      </c>
      <c r="N1240" t="s">
        <v>1284</v>
      </c>
      <c r="O1240" t="s">
        <v>2703</v>
      </c>
      <c r="P1240" s="7">
        <v>19.95</v>
      </c>
      <c r="Q1240" s="1">
        <v>45299</v>
      </c>
      <c r="R1240">
        <f>WEEKNUM(Table2[[#This Row],[OrderDate]])</f>
        <v>2</v>
      </c>
      <c r="S1240" s="1">
        <v>45303</v>
      </c>
      <c r="T1240" t="s">
        <v>2918</v>
      </c>
    </row>
    <row r="1241" spans="1:20" x14ac:dyDescent="0.35">
      <c r="A1241" s="1">
        <v>45448</v>
      </c>
      <c r="B1241" t="s">
        <v>2931</v>
      </c>
      <c r="C1241" t="s">
        <v>23</v>
      </c>
      <c r="D1241" s="9">
        <v>7</v>
      </c>
      <c r="E1241" s="7">
        <v>14.34</v>
      </c>
      <c r="F1241" t="s">
        <v>29</v>
      </c>
      <c r="G1241" t="s">
        <v>31</v>
      </c>
      <c r="H1241" s="12">
        <v>0.05</v>
      </c>
      <c r="I1241" t="s">
        <v>33</v>
      </c>
      <c r="J1241" s="7">
        <f>Table2[[#This Row],[UnitPrice]]*Table2[[#This Row],[Quantity]]*(1-Table2[[#This Row],[Discount]])</f>
        <v>95.36099999999999</v>
      </c>
      <c r="K1241" t="s">
        <v>41</v>
      </c>
      <c r="L1241" t="s">
        <v>45</v>
      </c>
      <c r="M1241">
        <v>0</v>
      </c>
      <c r="N1241" t="s">
        <v>1285</v>
      </c>
      <c r="O1241" t="s">
        <v>1593</v>
      </c>
      <c r="P1241" s="7">
        <v>19.45</v>
      </c>
      <c r="Q1241" s="1">
        <v>45448</v>
      </c>
      <c r="R1241">
        <f>WEEKNUM(Table2[[#This Row],[OrderDate]])</f>
        <v>23</v>
      </c>
      <c r="S1241" s="1">
        <v>45451</v>
      </c>
      <c r="T1241" t="s">
        <v>2919</v>
      </c>
    </row>
    <row r="1242" spans="1:20" x14ac:dyDescent="0.35">
      <c r="A1242" s="1">
        <v>45798</v>
      </c>
      <c r="B1242" t="s">
        <v>2930</v>
      </c>
      <c r="C1242" t="s">
        <v>20</v>
      </c>
      <c r="D1242" s="9">
        <v>11</v>
      </c>
      <c r="E1242" s="7">
        <v>34.72</v>
      </c>
      <c r="F1242" t="s">
        <v>26</v>
      </c>
      <c r="G1242" t="s">
        <v>30</v>
      </c>
      <c r="H1242" s="12">
        <v>0.1</v>
      </c>
      <c r="I1242" t="s">
        <v>36</v>
      </c>
      <c r="J1242" s="7">
        <f>Table2[[#This Row],[UnitPrice]]*Table2[[#This Row],[Quantity]]*(1-Table2[[#This Row],[Discount]])</f>
        <v>343.72799999999995</v>
      </c>
      <c r="K1242" t="s">
        <v>39</v>
      </c>
      <c r="L1242" t="s">
        <v>43</v>
      </c>
      <c r="M1242">
        <v>0</v>
      </c>
      <c r="N1242" t="s">
        <v>1286</v>
      </c>
      <c r="O1242" t="s">
        <v>2704</v>
      </c>
      <c r="P1242" s="7">
        <v>9.31</v>
      </c>
      <c r="Q1242" s="1">
        <v>45798</v>
      </c>
      <c r="R1242">
        <f>WEEKNUM(Table2[[#This Row],[OrderDate]])</f>
        <v>21</v>
      </c>
      <c r="S1242" s="1">
        <v>45800</v>
      </c>
      <c r="T1242" t="s">
        <v>2917</v>
      </c>
    </row>
    <row r="1243" spans="1:20" x14ac:dyDescent="0.35">
      <c r="A1243" s="1">
        <v>45798</v>
      </c>
      <c r="B1243" t="s">
        <v>2930</v>
      </c>
      <c r="C1243" t="s">
        <v>22</v>
      </c>
      <c r="D1243" s="9">
        <v>7</v>
      </c>
      <c r="E1243" s="7">
        <v>15.06</v>
      </c>
      <c r="F1243" t="s">
        <v>27</v>
      </c>
      <c r="G1243" t="s">
        <v>31</v>
      </c>
      <c r="H1243" s="12">
        <v>0</v>
      </c>
      <c r="I1243" t="s">
        <v>33</v>
      </c>
      <c r="J1243" s="7">
        <f>Table2[[#This Row],[UnitPrice]]*Table2[[#This Row],[Quantity]]*(1-Table2[[#This Row],[Discount]])</f>
        <v>105.42</v>
      </c>
      <c r="K1243" t="s">
        <v>42</v>
      </c>
      <c r="L1243" t="s">
        <v>2937</v>
      </c>
      <c r="M1243">
        <v>1</v>
      </c>
      <c r="N1243" t="s">
        <v>1287</v>
      </c>
      <c r="O1243" t="s">
        <v>2705</v>
      </c>
      <c r="P1243" s="7">
        <v>46.57</v>
      </c>
      <c r="Q1243" s="1">
        <v>45798</v>
      </c>
      <c r="R1243">
        <f>WEEKNUM(Table2[[#This Row],[OrderDate]])</f>
        <v>21</v>
      </c>
      <c r="S1243" s="1">
        <v>45803</v>
      </c>
      <c r="T1243" t="s">
        <v>2917</v>
      </c>
    </row>
    <row r="1244" spans="1:20" x14ac:dyDescent="0.35">
      <c r="A1244" s="1">
        <v>44990</v>
      </c>
      <c r="B1244" t="s">
        <v>2930</v>
      </c>
      <c r="C1244" t="s">
        <v>25</v>
      </c>
      <c r="D1244" s="9">
        <v>11</v>
      </c>
      <c r="E1244" s="7">
        <v>488.17</v>
      </c>
      <c r="F1244" t="s">
        <v>26</v>
      </c>
      <c r="G1244" t="s">
        <v>30</v>
      </c>
      <c r="H1244" s="12">
        <v>0.05</v>
      </c>
      <c r="I1244" t="s">
        <v>37</v>
      </c>
      <c r="J1244" s="7">
        <f>Table2[[#This Row],[UnitPrice]]*Table2[[#This Row],[Quantity]]*(1-Table2[[#This Row],[Discount]])</f>
        <v>5101.3764999999994</v>
      </c>
      <c r="K1244" t="s">
        <v>42</v>
      </c>
      <c r="L1244" t="s">
        <v>45</v>
      </c>
      <c r="M1244">
        <v>1</v>
      </c>
      <c r="N1244" t="s">
        <v>1288</v>
      </c>
      <c r="O1244" t="s">
        <v>2706</v>
      </c>
      <c r="P1244" s="7">
        <v>37.47</v>
      </c>
      <c r="Q1244" s="1">
        <v>44990</v>
      </c>
      <c r="R1244">
        <f>WEEKNUM(Table2[[#This Row],[OrderDate]])</f>
        <v>10</v>
      </c>
      <c r="S1244" s="1">
        <v>44996</v>
      </c>
      <c r="T1244" t="s">
        <v>2917</v>
      </c>
    </row>
    <row r="1245" spans="1:20" x14ac:dyDescent="0.35">
      <c r="A1245" s="1">
        <v>45592</v>
      </c>
      <c r="B1245" t="s">
        <v>2932</v>
      </c>
      <c r="C1245" t="s">
        <v>24</v>
      </c>
      <c r="D1245" s="9">
        <v>10</v>
      </c>
      <c r="E1245" s="7">
        <v>268.39</v>
      </c>
      <c r="F1245" t="s">
        <v>26</v>
      </c>
      <c r="G1245" t="s">
        <v>31</v>
      </c>
      <c r="H1245" s="12">
        <v>0.05</v>
      </c>
      <c r="I1245" t="s">
        <v>33</v>
      </c>
      <c r="J1245" s="7">
        <f>Table2[[#This Row],[UnitPrice]]*Table2[[#This Row],[Quantity]]*(1-Table2[[#This Row],[Discount]])</f>
        <v>2549.7049999999995</v>
      </c>
      <c r="K1245" t="s">
        <v>40</v>
      </c>
      <c r="L1245" t="s">
        <v>44</v>
      </c>
      <c r="M1245">
        <v>0</v>
      </c>
      <c r="N1245" t="s">
        <v>1289</v>
      </c>
      <c r="O1245" t="s">
        <v>2429</v>
      </c>
      <c r="P1245" s="7">
        <v>25.86</v>
      </c>
      <c r="Q1245" s="1">
        <v>45592</v>
      </c>
      <c r="R1245">
        <f>WEEKNUM(Table2[[#This Row],[OrderDate]])</f>
        <v>44</v>
      </c>
      <c r="S1245" s="1">
        <v>45598</v>
      </c>
      <c r="T1245" t="s">
        <v>2918</v>
      </c>
    </row>
    <row r="1246" spans="1:20" x14ac:dyDescent="0.35">
      <c r="A1246" s="1">
        <v>45740</v>
      </c>
      <c r="B1246" t="s">
        <v>2931</v>
      </c>
      <c r="C1246" t="s">
        <v>24</v>
      </c>
      <c r="D1246" s="9">
        <v>5</v>
      </c>
      <c r="E1246" s="7">
        <v>64.180000000000007</v>
      </c>
      <c r="F1246" t="s">
        <v>28</v>
      </c>
      <c r="G1246" t="s">
        <v>31</v>
      </c>
      <c r="H1246" s="12">
        <v>0.1</v>
      </c>
      <c r="I1246" t="s">
        <v>32</v>
      </c>
      <c r="J1246" s="7">
        <f>Table2[[#This Row],[UnitPrice]]*Table2[[#This Row],[Quantity]]*(1-Table2[[#This Row],[Discount]])</f>
        <v>288.81000000000006</v>
      </c>
      <c r="K1246" t="s">
        <v>39</v>
      </c>
      <c r="L1246" t="s">
        <v>44</v>
      </c>
      <c r="M1246">
        <v>0</v>
      </c>
      <c r="N1246" t="s">
        <v>1290</v>
      </c>
      <c r="O1246" t="s">
        <v>2707</v>
      </c>
      <c r="P1246" s="7">
        <v>21.17</v>
      </c>
      <c r="Q1246" s="1">
        <v>45740</v>
      </c>
      <c r="R1246">
        <f>WEEKNUM(Table2[[#This Row],[OrderDate]])</f>
        <v>13</v>
      </c>
      <c r="S1246" s="1">
        <v>45745</v>
      </c>
      <c r="T1246" t="s">
        <v>2919</v>
      </c>
    </row>
    <row r="1247" spans="1:20" x14ac:dyDescent="0.35">
      <c r="A1247" s="1">
        <v>45556</v>
      </c>
      <c r="B1247" t="s">
        <v>2933</v>
      </c>
      <c r="C1247" t="s">
        <v>20</v>
      </c>
      <c r="D1247" s="9">
        <v>15</v>
      </c>
      <c r="E1247" s="7">
        <v>466.55</v>
      </c>
      <c r="F1247" t="s">
        <v>27</v>
      </c>
      <c r="G1247" t="s">
        <v>31</v>
      </c>
      <c r="H1247" s="12">
        <v>0.05</v>
      </c>
      <c r="I1247" t="s">
        <v>33</v>
      </c>
      <c r="J1247" s="7">
        <f>Table2[[#This Row],[UnitPrice]]*Table2[[#This Row],[Quantity]]*(1-Table2[[#This Row],[Discount]])</f>
        <v>6648.3374999999996</v>
      </c>
      <c r="K1247" t="s">
        <v>42</v>
      </c>
      <c r="L1247" t="s">
        <v>44</v>
      </c>
      <c r="M1247">
        <v>1</v>
      </c>
      <c r="N1247" t="s">
        <v>1291</v>
      </c>
      <c r="O1247" t="s">
        <v>2708</v>
      </c>
      <c r="P1247" s="7">
        <v>36.68</v>
      </c>
      <c r="Q1247" s="1">
        <v>45556</v>
      </c>
      <c r="R1247">
        <f>WEEKNUM(Table2[[#This Row],[OrderDate]])</f>
        <v>38</v>
      </c>
      <c r="S1247" s="1">
        <v>45562</v>
      </c>
      <c r="T1247" t="s">
        <v>2921</v>
      </c>
    </row>
    <row r="1248" spans="1:20" x14ac:dyDescent="0.35">
      <c r="A1248" s="1">
        <v>45795</v>
      </c>
      <c r="B1248" t="s">
        <v>2931</v>
      </c>
      <c r="C1248" t="s">
        <v>21</v>
      </c>
      <c r="D1248" s="9">
        <v>8</v>
      </c>
      <c r="E1248" s="7">
        <v>505.34</v>
      </c>
      <c r="F1248" t="s">
        <v>26</v>
      </c>
      <c r="G1248" t="s">
        <v>31</v>
      </c>
      <c r="H1248" s="12">
        <v>0.05</v>
      </c>
      <c r="I1248" t="s">
        <v>37</v>
      </c>
      <c r="J1248" s="7">
        <f>Table2[[#This Row],[UnitPrice]]*Table2[[#This Row],[Quantity]]*(1-Table2[[#This Row],[Discount]])</f>
        <v>3840.5839999999998</v>
      </c>
      <c r="K1248" t="s">
        <v>41</v>
      </c>
      <c r="L1248" t="s">
        <v>2937</v>
      </c>
      <c r="M1248">
        <v>0</v>
      </c>
      <c r="N1248" t="s">
        <v>1292</v>
      </c>
      <c r="O1248" t="s">
        <v>2709</v>
      </c>
      <c r="P1248" s="7">
        <v>22.88</v>
      </c>
      <c r="Q1248" s="1">
        <v>45795</v>
      </c>
      <c r="R1248">
        <f>WEEKNUM(Table2[[#This Row],[OrderDate]])</f>
        <v>21</v>
      </c>
      <c r="S1248" s="1">
        <v>45804</v>
      </c>
      <c r="T1248" t="s">
        <v>2919</v>
      </c>
    </row>
    <row r="1249" spans="1:20" x14ac:dyDescent="0.35">
      <c r="A1249" s="1">
        <v>45484</v>
      </c>
      <c r="B1249" t="s">
        <v>2930</v>
      </c>
      <c r="C1249" t="s">
        <v>23</v>
      </c>
      <c r="D1249" s="9">
        <v>6</v>
      </c>
      <c r="E1249" s="7">
        <v>100.75</v>
      </c>
      <c r="F1249" t="s">
        <v>27</v>
      </c>
      <c r="G1249" t="s">
        <v>30</v>
      </c>
      <c r="H1249" s="12">
        <v>0.1</v>
      </c>
      <c r="I1249" t="s">
        <v>34</v>
      </c>
      <c r="J1249" s="7">
        <f>Table2[[#This Row],[UnitPrice]]*Table2[[#This Row],[Quantity]]*(1-Table2[[#This Row],[Discount]])</f>
        <v>544.05000000000007</v>
      </c>
      <c r="K1249" t="s">
        <v>40</v>
      </c>
      <c r="L1249" t="s">
        <v>43</v>
      </c>
      <c r="M1249">
        <v>0</v>
      </c>
      <c r="N1249" t="s">
        <v>1293</v>
      </c>
      <c r="O1249" t="s">
        <v>2710</v>
      </c>
      <c r="P1249" s="7">
        <v>12.98</v>
      </c>
      <c r="Q1249" s="1">
        <v>45484</v>
      </c>
      <c r="R1249">
        <f>WEEKNUM(Table2[[#This Row],[OrderDate]])</f>
        <v>28</v>
      </c>
      <c r="S1249" s="1">
        <v>45487</v>
      </c>
      <c r="T1249" t="s">
        <v>2917</v>
      </c>
    </row>
    <row r="1250" spans="1:20" x14ac:dyDescent="0.35">
      <c r="A1250" s="1">
        <v>45684</v>
      </c>
      <c r="B1250" t="s">
        <v>2931</v>
      </c>
      <c r="C1250" t="s">
        <v>24</v>
      </c>
      <c r="D1250" s="9">
        <v>8</v>
      </c>
      <c r="E1250" s="7">
        <v>352.72</v>
      </c>
      <c r="F1250" t="s">
        <v>28</v>
      </c>
      <c r="G1250" t="s">
        <v>31</v>
      </c>
      <c r="H1250" s="12">
        <v>0.05</v>
      </c>
      <c r="I1250" t="s">
        <v>35</v>
      </c>
      <c r="J1250" s="7">
        <f>Table2[[#This Row],[UnitPrice]]*Table2[[#This Row],[Quantity]]*(1-Table2[[#This Row],[Discount]])</f>
        <v>2680.672</v>
      </c>
      <c r="K1250" t="s">
        <v>42</v>
      </c>
      <c r="L1250" t="s">
        <v>2937</v>
      </c>
      <c r="M1250">
        <v>0</v>
      </c>
      <c r="N1250" t="s">
        <v>1294</v>
      </c>
      <c r="O1250" t="s">
        <v>2711</v>
      </c>
      <c r="P1250" s="7">
        <v>30.8</v>
      </c>
      <c r="Q1250" s="1">
        <v>45684</v>
      </c>
      <c r="R1250">
        <f>WEEKNUM(Table2[[#This Row],[OrderDate]])</f>
        <v>5</v>
      </c>
      <c r="S1250" s="1">
        <v>45692</v>
      </c>
      <c r="T1250" t="s">
        <v>2919</v>
      </c>
    </row>
    <row r="1251" spans="1:20" x14ac:dyDescent="0.35">
      <c r="A1251" s="1">
        <v>45256</v>
      </c>
      <c r="B1251" t="s">
        <v>2930</v>
      </c>
      <c r="C1251" t="s">
        <v>19</v>
      </c>
      <c r="D1251" s="9">
        <v>9</v>
      </c>
      <c r="E1251" s="7">
        <v>526.26</v>
      </c>
      <c r="F1251" t="s">
        <v>26</v>
      </c>
      <c r="G1251" t="s">
        <v>31</v>
      </c>
      <c r="H1251" s="12">
        <v>0</v>
      </c>
      <c r="I1251" t="s">
        <v>37</v>
      </c>
      <c r="J1251" s="7">
        <f>Table2[[#This Row],[UnitPrice]]*Table2[[#This Row],[Quantity]]*(1-Table2[[#This Row],[Discount]])</f>
        <v>4736.34</v>
      </c>
      <c r="K1251" t="s">
        <v>42</v>
      </c>
      <c r="L1251" t="s">
        <v>43</v>
      </c>
      <c r="M1251">
        <v>0</v>
      </c>
      <c r="N1251" t="s">
        <v>1295</v>
      </c>
      <c r="O1251" t="s">
        <v>2210</v>
      </c>
      <c r="P1251" s="7">
        <v>15.47</v>
      </c>
      <c r="Q1251" s="1">
        <v>45256</v>
      </c>
      <c r="R1251">
        <f>WEEKNUM(Table2[[#This Row],[OrderDate]])</f>
        <v>48</v>
      </c>
      <c r="S1251" s="1">
        <v>45266</v>
      </c>
      <c r="T1251" t="s">
        <v>2917</v>
      </c>
    </row>
    <row r="1252" spans="1:20" x14ac:dyDescent="0.35">
      <c r="A1252" s="1">
        <v>45445</v>
      </c>
      <c r="B1252" t="s">
        <v>2934</v>
      </c>
      <c r="C1252" t="s">
        <v>25</v>
      </c>
      <c r="D1252" s="9">
        <v>18</v>
      </c>
      <c r="E1252" s="7">
        <v>519.41999999999996</v>
      </c>
      <c r="F1252" t="s">
        <v>28</v>
      </c>
      <c r="G1252" t="s">
        <v>31</v>
      </c>
      <c r="H1252" s="12">
        <v>0.15</v>
      </c>
      <c r="I1252" t="s">
        <v>32</v>
      </c>
      <c r="J1252" s="7">
        <f>Table2[[#This Row],[UnitPrice]]*Table2[[#This Row],[Quantity]]*(1-Table2[[#This Row],[Discount]])</f>
        <v>7947.1259999999993</v>
      </c>
      <c r="K1252" t="s">
        <v>42</v>
      </c>
      <c r="L1252" t="s">
        <v>45</v>
      </c>
      <c r="M1252">
        <v>0</v>
      </c>
      <c r="N1252" t="s">
        <v>1296</v>
      </c>
      <c r="O1252" t="s">
        <v>2712</v>
      </c>
      <c r="P1252" s="7">
        <v>32.96</v>
      </c>
      <c r="Q1252" s="1">
        <v>45445</v>
      </c>
      <c r="R1252">
        <f>WEEKNUM(Table2[[#This Row],[OrderDate]])</f>
        <v>23</v>
      </c>
      <c r="S1252" s="1">
        <v>45447</v>
      </c>
      <c r="T1252" t="s">
        <v>2920</v>
      </c>
    </row>
    <row r="1253" spans="1:20" x14ac:dyDescent="0.35">
      <c r="A1253" s="1">
        <v>44943</v>
      </c>
      <c r="B1253" t="s">
        <v>2931</v>
      </c>
      <c r="C1253" t="s">
        <v>22</v>
      </c>
      <c r="D1253" s="9">
        <v>18</v>
      </c>
      <c r="E1253" s="7">
        <v>108.46</v>
      </c>
      <c r="F1253" t="s">
        <v>29</v>
      </c>
      <c r="G1253" t="s">
        <v>30</v>
      </c>
      <c r="H1253" s="12">
        <v>0.05</v>
      </c>
      <c r="I1253" t="s">
        <v>34</v>
      </c>
      <c r="J1253" s="7">
        <f>Table2[[#This Row],[UnitPrice]]*Table2[[#This Row],[Quantity]]*(1-Table2[[#This Row],[Discount]])</f>
        <v>1854.6659999999999</v>
      </c>
      <c r="K1253" t="s">
        <v>38</v>
      </c>
      <c r="L1253" t="s">
        <v>44</v>
      </c>
      <c r="M1253">
        <v>0</v>
      </c>
      <c r="N1253" t="s">
        <v>1297</v>
      </c>
      <c r="O1253" t="s">
        <v>2713</v>
      </c>
      <c r="P1253" s="7">
        <v>10.72</v>
      </c>
      <c r="Q1253" s="1">
        <v>44943</v>
      </c>
      <c r="R1253">
        <f>WEEKNUM(Table2[[#This Row],[OrderDate]])</f>
        <v>3</v>
      </c>
      <c r="S1253" s="1">
        <v>44950</v>
      </c>
      <c r="T1253" t="s">
        <v>2919</v>
      </c>
    </row>
    <row r="1254" spans="1:20" x14ac:dyDescent="0.35">
      <c r="A1254" s="1">
        <v>45780</v>
      </c>
      <c r="B1254" t="s">
        <v>2931</v>
      </c>
      <c r="C1254" t="s">
        <v>21</v>
      </c>
      <c r="D1254" s="9">
        <v>13</v>
      </c>
      <c r="E1254" s="7">
        <v>420.68</v>
      </c>
      <c r="F1254" t="s">
        <v>29</v>
      </c>
      <c r="G1254" t="s">
        <v>30</v>
      </c>
      <c r="H1254" s="12">
        <v>0.05</v>
      </c>
      <c r="I1254" t="s">
        <v>34</v>
      </c>
      <c r="J1254" s="7">
        <f>Table2[[#This Row],[UnitPrice]]*Table2[[#This Row],[Quantity]]*(1-Table2[[#This Row],[Discount]])</f>
        <v>5195.3980000000001</v>
      </c>
      <c r="K1254" t="s">
        <v>38</v>
      </c>
      <c r="L1254" t="s">
        <v>2937</v>
      </c>
      <c r="M1254">
        <v>0</v>
      </c>
      <c r="N1254" t="s">
        <v>1298</v>
      </c>
      <c r="O1254" t="s">
        <v>2714</v>
      </c>
      <c r="P1254" s="7">
        <v>24.51</v>
      </c>
      <c r="Q1254" s="1">
        <v>45780</v>
      </c>
      <c r="R1254">
        <f>WEEKNUM(Table2[[#This Row],[OrderDate]])</f>
        <v>18</v>
      </c>
      <c r="S1254" s="1">
        <v>45788</v>
      </c>
      <c r="T1254" t="s">
        <v>2919</v>
      </c>
    </row>
    <row r="1255" spans="1:20" x14ac:dyDescent="0.35">
      <c r="A1255" s="1">
        <v>45662</v>
      </c>
      <c r="B1255" t="s">
        <v>2931</v>
      </c>
      <c r="C1255" t="s">
        <v>25</v>
      </c>
      <c r="D1255" s="9">
        <v>17</v>
      </c>
      <c r="E1255" s="7">
        <v>5.91</v>
      </c>
      <c r="F1255" t="s">
        <v>27</v>
      </c>
      <c r="G1255" t="s">
        <v>30</v>
      </c>
      <c r="H1255" s="12">
        <v>0.15</v>
      </c>
      <c r="I1255" t="s">
        <v>32</v>
      </c>
      <c r="J1255" s="7">
        <f>Table2[[#This Row],[UnitPrice]]*Table2[[#This Row],[Quantity]]*(1-Table2[[#This Row],[Discount]])</f>
        <v>85.399500000000003</v>
      </c>
      <c r="K1255" t="s">
        <v>38</v>
      </c>
      <c r="L1255" t="s">
        <v>44</v>
      </c>
      <c r="M1255">
        <v>0</v>
      </c>
      <c r="N1255" t="s">
        <v>1299</v>
      </c>
      <c r="O1255" t="s">
        <v>2715</v>
      </c>
      <c r="P1255" s="7">
        <v>44.85</v>
      </c>
      <c r="Q1255" s="1">
        <v>45662</v>
      </c>
      <c r="R1255">
        <f>WEEKNUM(Table2[[#This Row],[OrderDate]])</f>
        <v>2</v>
      </c>
      <c r="S1255" s="1">
        <v>45670</v>
      </c>
      <c r="T1255" t="s">
        <v>2919</v>
      </c>
    </row>
    <row r="1256" spans="1:20" x14ac:dyDescent="0.35">
      <c r="A1256" s="1">
        <v>45342</v>
      </c>
      <c r="B1256" t="s">
        <v>2930</v>
      </c>
      <c r="C1256" t="s">
        <v>20</v>
      </c>
      <c r="D1256" s="9">
        <v>4</v>
      </c>
      <c r="E1256" s="7">
        <v>452.77</v>
      </c>
      <c r="F1256" t="s">
        <v>26</v>
      </c>
      <c r="G1256" t="s">
        <v>31</v>
      </c>
      <c r="H1256" s="12">
        <v>0</v>
      </c>
      <c r="I1256" t="s">
        <v>36</v>
      </c>
      <c r="J1256" s="7">
        <f>Table2[[#This Row],[UnitPrice]]*Table2[[#This Row],[Quantity]]*(1-Table2[[#This Row],[Discount]])</f>
        <v>1811.08</v>
      </c>
      <c r="K1256" t="s">
        <v>41</v>
      </c>
      <c r="L1256" t="s">
        <v>44</v>
      </c>
      <c r="M1256">
        <v>0</v>
      </c>
      <c r="N1256" t="s">
        <v>1300</v>
      </c>
      <c r="O1256" t="s">
        <v>2716</v>
      </c>
      <c r="P1256" s="7">
        <v>32.01</v>
      </c>
      <c r="Q1256" s="1">
        <v>45342</v>
      </c>
      <c r="R1256">
        <f>WEEKNUM(Table2[[#This Row],[OrderDate]])</f>
        <v>8</v>
      </c>
      <c r="S1256" s="1">
        <v>45352</v>
      </c>
      <c r="T1256" t="s">
        <v>2917</v>
      </c>
    </row>
    <row r="1257" spans="1:20" x14ac:dyDescent="0.35">
      <c r="A1257" s="1">
        <v>45286</v>
      </c>
      <c r="B1257" t="s">
        <v>2931</v>
      </c>
      <c r="C1257" t="s">
        <v>23</v>
      </c>
      <c r="D1257" s="9">
        <v>7</v>
      </c>
      <c r="E1257" s="7">
        <v>157</v>
      </c>
      <c r="F1257" t="s">
        <v>27</v>
      </c>
      <c r="G1257" t="s">
        <v>30</v>
      </c>
      <c r="H1257" s="12">
        <v>0.15</v>
      </c>
      <c r="I1257" t="s">
        <v>33</v>
      </c>
      <c r="J1257" s="7">
        <f>Table2[[#This Row],[UnitPrice]]*Table2[[#This Row],[Quantity]]*(1-Table2[[#This Row],[Discount]])</f>
        <v>934.15</v>
      </c>
      <c r="K1257" t="s">
        <v>38</v>
      </c>
      <c r="L1257" t="s">
        <v>44</v>
      </c>
      <c r="M1257">
        <v>1</v>
      </c>
      <c r="N1257" t="s">
        <v>1301</v>
      </c>
      <c r="O1257" t="s">
        <v>1947</v>
      </c>
      <c r="P1257" s="7">
        <v>39.72</v>
      </c>
      <c r="Q1257" s="1">
        <v>45286</v>
      </c>
      <c r="R1257">
        <f>WEEKNUM(Table2[[#This Row],[OrderDate]])</f>
        <v>52</v>
      </c>
      <c r="S1257" s="1">
        <v>45295</v>
      </c>
      <c r="T1257" t="s">
        <v>2919</v>
      </c>
    </row>
    <row r="1258" spans="1:20" x14ac:dyDescent="0.35">
      <c r="A1258" s="1">
        <v>44992</v>
      </c>
      <c r="B1258" t="s">
        <v>2931</v>
      </c>
      <c r="C1258" t="s">
        <v>25</v>
      </c>
      <c r="D1258" s="9">
        <v>11</v>
      </c>
      <c r="E1258" s="7">
        <v>550.86</v>
      </c>
      <c r="F1258" t="s">
        <v>28</v>
      </c>
      <c r="G1258" t="s">
        <v>31</v>
      </c>
      <c r="H1258" s="12">
        <v>0.1</v>
      </c>
      <c r="I1258" t="s">
        <v>37</v>
      </c>
      <c r="J1258" s="7">
        <f>Table2[[#This Row],[UnitPrice]]*Table2[[#This Row],[Quantity]]*(1-Table2[[#This Row],[Discount]])</f>
        <v>5453.5140000000001</v>
      </c>
      <c r="K1258" t="s">
        <v>38</v>
      </c>
      <c r="L1258" t="s">
        <v>43</v>
      </c>
      <c r="M1258">
        <v>0</v>
      </c>
      <c r="N1258" t="s">
        <v>1302</v>
      </c>
      <c r="O1258" t="s">
        <v>2717</v>
      </c>
      <c r="P1258" s="7">
        <v>21.82</v>
      </c>
      <c r="Q1258" s="1">
        <v>44992</v>
      </c>
      <c r="R1258">
        <f>WEEKNUM(Table2[[#This Row],[OrderDate]])</f>
        <v>10</v>
      </c>
      <c r="S1258" s="1">
        <v>44997</v>
      </c>
      <c r="T1258" t="s">
        <v>2919</v>
      </c>
    </row>
    <row r="1259" spans="1:20" x14ac:dyDescent="0.35">
      <c r="A1259" s="1">
        <v>45548</v>
      </c>
      <c r="B1259" t="s">
        <v>2931</v>
      </c>
      <c r="C1259" t="s">
        <v>22</v>
      </c>
      <c r="D1259" s="9">
        <v>5</v>
      </c>
      <c r="E1259" s="7">
        <v>172.65</v>
      </c>
      <c r="F1259" t="s">
        <v>28</v>
      </c>
      <c r="G1259" t="s">
        <v>30</v>
      </c>
      <c r="H1259" s="12">
        <v>0.15</v>
      </c>
      <c r="I1259" t="s">
        <v>33</v>
      </c>
      <c r="J1259" s="7">
        <f>Table2[[#This Row],[UnitPrice]]*Table2[[#This Row],[Quantity]]*(1-Table2[[#This Row],[Discount]])</f>
        <v>733.76249999999993</v>
      </c>
      <c r="K1259" t="s">
        <v>42</v>
      </c>
      <c r="L1259" t="s">
        <v>44</v>
      </c>
      <c r="M1259">
        <v>0</v>
      </c>
      <c r="N1259" t="s">
        <v>1303</v>
      </c>
      <c r="O1259" t="s">
        <v>2718</v>
      </c>
      <c r="P1259" s="7">
        <v>28.3</v>
      </c>
      <c r="Q1259" s="1">
        <v>45548</v>
      </c>
      <c r="R1259">
        <f>WEEKNUM(Table2[[#This Row],[OrderDate]])</f>
        <v>37</v>
      </c>
      <c r="S1259" s="1">
        <v>45557</v>
      </c>
      <c r="T1259" t="s">
        <v>2919</v>
      </c>
    </row>
    <row r="1260" spans="1:20" x14ac:dyDescent="0.35">
      <c r="A1260" s="1">
        <v>45293</v>
      </c>
      <c r="B1260" t="s">
        <v>2930</v>
      </c>
      <c r="C1260" t="s">
        <v>24</v>
      </c>
      <c r="D1260" s="9">
        <v>16</v>
      </c>
      <c r="E1260" s="7">
        <v>145.30000000000001</v>
      </c>
      <c r="F1260" t="s">
        <v>26</v>
      </c>
      <c r="G1260" t="s">
        <v>30</v>
      </c>
      <c r="H1260" s="12">
        <v>0</v>
      </c>
      <c r="I1260" t="s">
        <v>32</v>
      </c>
      <c r="J1260" s="7">
        <f>Table2[[#This Row],[UnitPrice]]*Table2[[#This Row],[Quantity]]*(1-Table2[[#This Row],[Discount]])</f>
        <v>2324.8000000000002</v>
      </c>
      <c r="K1260" t="s">
        <v>40</v>
      </c>
      <c r="L1260" t="s">
        <v>43</v>
      </c>
      <c r="M1260">
        <v>1</v>
      </c>
      <c r="N1260" t="s">
        <v>1304</v>
      </c>
      <c r="O1260" t="s">
        <v>2719</v>
      </c>
      <c r="P1260" s="7">
        <v>29.64</v>
      </c>
      <c r="Q1260" s="1">
        <v>45293</v>
      </c>
      <c r="R1260">
        <f>WEEKNUM(Table2[[#This Row],[OrderDate]])</f>
        <v>1</v>
      </c>
      <c r="S1260" s="1">
        <v>45303</v>
      </c>
      <c r="T1260" t="s">
        <v>2917</v>
      </c>
    </row>
    <row r="1261" spans="1:20" x14ac:dyDescent="0.35">
      <c r="A1261" s="1">
        <v>45696</v>
      </c>
      <c r="B1261" t="s">
        <v>2932</v>
      </c>
      <c r="C1261" t="s">
        <v>25</v>
      </c>
      <c r="D1261" s="9">
        <v>10</v>
      </c>
      <c r="E1261" s="7">
        <v>67.38</v>
      </c>
      <c r="F1261" t="s">
        <v>28</v>
      </c>
      <c r="G1261" t="s">
        <v>31</v>
      </c>
      <c r="H1261" s="12">
        <v>0.1</v>
      </c>
      <c r="I1261" t="s">
        <v>36</v>
      </c>
      <c r="J1261" s="7">
        <f>Table2[[#This Row],[UnitPrice]]*Table2[[#This Row],[Quantity]]*(1-Table2[[#This Row],[Discount]])</f>
        <v>606.41999999999996</v>
      </c>
      <c r="K1261" t="s">
        <v>39</v>
      </c>
      <c r="L1261" t="s">
        <v>43</v>
      </c>
      <c r="M1261">
        <v>1</v>
      </c>
      <c r="N1261" t="s">
        <v>1305</v>
      </c>
      <c r="O1261" t="s">
        <v>1586</v>
      </c>
      <c r="P1261" s="7">
        <v>20.58</v>
      </c>
      <c r="Q1261" s="1">
        <v>45696</v>
      </c>
      <c r="R1261">
        <f>WEEKNUM(Table2[[#This Row],[OrderDate]])</f>
        <v>6</v>
      </c>
      <c r="S1261" s="1">
        <v>45706</v>
      </c>
      <c r="T1261" t="s">
        <v>2918</v>
      </c>
    </row>
    <row r="1262" spans="1:20" x14ac:dyDescent="0.35">
      <c r="A1262" s="1">
        <v>45720</v>
      </c>
      <c r="B1262" t="s">
        <v>2932</v>
      </c>
      <c r="C1262" t="s">
        <v>25</v>
      </c>
      <c r="D1262" s="9">
        <v>15</v>
      </c>
      <c r="E1262" s="7">
        <v>141.13</v>
      </c>
      <c r="F1262" t="s">
        <v>29</v>
      </c>
      <c r="G1262" t="s">
        <v>30</v>
      </c>
      <c r="H1262" s="12">
        <v>0</v>
      </c>
      <c r="I1262" t="s">
        <v>35</v>
      </c>
      <c r="J1262" s="7">
        <f>Table2[[#This Row],[UnitPrice]]*Table2[[#This Row],[Quantity]]*(1-Table2[[#This Row],[Discount]])</f>
        <v>2116.9499999999998</v>
      </c>
      <c r="K1262" t="s">
        <v>42</v>
      </c>
      <c r="L1262" t="s">
        <v>44</v>
      </c>
      <c r="M1262">
        <v>0</v>
      </c>
      <c r="N1262" t="s">
        <v>1306</v>
      </c>
      <c r="O1262" t="s">
        <v>2720</v>
      </c>
      <c r="P1262" s="7">
        <v>19.63</v>
      </c>
      <c r="Q1262" s="1">
        <v>45720</v>
      </c>
      <c r="R1262">
        <f>WEEKNUM(Table2[[#This Row],[OrderDate]])</f>
        <v>10</v>
      </c>
      <c r="S1262" s="1">
        <v>45728</v>
      </c>
      <c r="T1262" t="s">
        <v>2918</v>
      </c>
    </row>
    <row r="1263" spans="1:20" x14ac:dyDescent="0.35">
      <c r="A1263" s="1">
        <v>45363</v>
      </c>
      <c r="B1263" t="s">
        <v>2934</v>
      </c>
      <c r="C1263" t="s">
        <v>24</v>
      </c>
      <c r="D1263" s="9">
        <v>1</v>
      </c>
      <c r="E1263" s="7">
        <v>534.61</v>
      </c>
      <c r="F1263" t="s">
        <v>29</v>
      </c>
      <c r="G1263" t="s">
        <v>31</v>
      </c>
      <c r="H1263" s="12">
        <v>0.05</v>
      </c>
      <c r="I1263" t="s">
        <v>34</v>
      </c>
      <c r="J1263" s="7">
        <f>Table2[[#This Row],[UnitPrice]]*Table2[[#This Row],[Quantity]]*(1-Table2[[#This Row],[Discount]])</f>
        <v>507.87950000000001</v>
      </c>
      <c r="K1263" t="s">
        <v>38</v>
      </c>
      <c r="L1263" t="s">
        <v>44</v>
      </c>
      <c r="M1263">
        <v>0</v>
      </c>
      <c r="N1263" t="s">
        <v>1307</v>
      </c>
      <c r="O1263" t="s">
        <v>2721</v>
      </c>
      <c r="P1263" s="7">
        <v>22.68</v>
      </c>
      <c r="Q1263" s="1">
        <v>45363</v>
      </c>
      <c r="R1263">
        <f>WEEKNUM(Table2[[#This Row],[OrderDate]])</f>
        <v>11</v>
      </c>
      <c r="S1263" s="1">
        <v>45372</v>
      </c>
      <c r="T1263" t="s">
        <v>2920</v>
      </c>
    </row>
    <row r="1264" spans="1:20" x14ac:dyDescent="0.35">
      <c r="A1264" s="1">
        <v>45476</v>
      </c>
      <c r="B1264" t="s">
        <v>2930</v>
      </c>
      <c r="C1264" t="s">
        <v>20</v>
      </c>
      <c r="D1264" s="9">
        <v>9</v>
      </c>
      <c r="E1264" s="7">
        <v>560.04</v>
      </c>
      <c r="F1264" t="s">
        <v>29</v>
      </c>
      <c r="G1264" t="s">
        <v>31</v>
      </c>
      <c r="H1264" s="12">
        <v>0.05</v>
      </c>
      <c r="I1264" t="s">
        <v>35</v>
      </c>
      <c r="J1264" s="7">
        <f>Table2[[#This Row],[UnitPrice]]*Table2[[#This Row],[Quantity]]*(1-Table2[[#This Row],[Discount]])</f>
        <v>4788.3419999999996</v>
      </c>
      <c r="K1264" t="s">
        <v>39</v>
      </c>
      <c r="L1264" t="s">
        <v>45</v>
      </c>
      <c r="M1264">
        <v>0</v>
      </c>
      <c r="N1264" t="s">
        <v>1308</v>
      </c>
      <c r="O1264" t="s">
        <v>2722</v>
      </c>
      <c r="P1264" s="7">
        <v>22.81</v>
      </c>
      <c r="Q1264" s="1">
        <v>45476</v>
      </c>
      <c r="R1264">
        <f>WEEKNUM(Table2[[#This Row],[OrderDate]])</f>
        <v>27</v>
      </c>
      <c r="S1264" s="1">
        <v>45480</v>
      </c>
      <c r="T1264" t="s">
        <v>2917</v>
      </c>
    </row>
    <row r="1265" spans="1:20" x14ac:dyDescent="0.35">
      <c r="A1265" s="1">
        <v>45662</v>
      </c>
      <c r="B1265" t="s">
        <v>2931</v>
      </c>
      <c r="C1265" t="s">
        <v>19</v>
      </c>
      <c r="D1265" s="9">
        <v>8</v>
      </c>
      <c r="E1265" s="7">
        <v>275.32</v>
      </c>
      <c r="F1265" t="s">
        <v>29</v>
      </c>
      <c r="G1265" t="s">
        <v>31</v>
      </c>
      <c r="H1265" s="12">
        <v>0.1</v>
      </c>
      <c r="I1265" t="s">
        <v>36</v>
      </c>
      <c r="J1265" s="7">
        <f>Table2[[#This Row],[UnitPrice]]*Table2[[#This Row],[Quantity]]*(1-Table2[[#This Row],[Discount]])</f>
        <v>1982.3040000000001</v>
      </c>
      <c r="K1265" t="s">
        <v>42</v>
      </c>
      <c r="L1265" t="s">
        <v>44</v>
      </c>
      <c r="M1265">
        <v>0</v>
      </c>
      <c r="N1265" t="s">
        <v>1309</v>
      </c>
      <c r="O1265" t="s">
        <v>2723</v>
      </c>
      <c r="P1265" s="7">
        <v>18.260000000000002</v>
      </c>
      <c r="Q1265" s="1">
        <v>45662</v>
      </c>
      <c r="R1265">
        <f>WEEKNUM(Table2[[#This Row],[OrderDate]])</f>
        <v>2</v>
      </c>
      <c r="S1265" s="1">
        <v>45670</v>
      </c>
      <c r="T1265" t="s">
        <v>2919</v>
      </c>
    </row>
    <row r="1266" spans="1:20" x14ac:dyDescent="0.35">
      <c r="A1266" s="1">
        <v>45372</v>
      </c>
      <c r="B1266" t="s">
        <v>2930</v>
      </c>
      <c r="C1266" t="s">
        <v>20</v>
      </c>
      <c r="D1266" s="9">
        <v>3</v>
      </c>
      <c r="E1266" s="7">
        <v>105.73</v>
      </c>
      <c r="F1266" t="s">
        <v>29</v>
      </c>
      <c r="G1266" t="s">
        <v>31</v>
      </c>
      <c r="H1266" s="12">
        <v>0.05</v>
      </c>
      <c r="I1266" t="s">
        <v>37</v>
      </c>
      <c r="J1266" s="7">
        <f>Table2[[#This Row],[UnitPrice]]*Table2[[#This Row],[Quantity]]*(1-Table2[[#This Row],[Discount]])</f>
        <v>301.33049999999997</v>
      </c>
      <c r="K1266" t="s">
        <v>41</v>
      </c>
      <c r="L1266" t="s">
        <v>43</v>
      </c>
      <c r="M1266">
        <v>1</v>
      </c>
      <c r="N1266" t="s">
        <v>1310</v>
      </c>
      <c r="O1266" t="s">
        <v>2724</v>
      </c>
      <c r="P1266" s="7">
        <v>12.12</v>
      </c>
      <c r="Q1266" s="1">
        <v>45372</v>
      </c>
      <c r="R1266">
        <f>WEEKNUM(Table2[[#This Row],[OrderDate]])</f>
        <v>12</v>
      </c>
      <c r="S1266" s="1">
        <v>45379</v>
      </c>
      <c r="T1266" t="s">
        <v>2917</v>
      </c>
    </row>
    <row r="1267" spans="1:20" x14ac:dyDescent="0.35">
      <c r="A1267" s="1">
        <v>45744</v>
      </c>
      <c r="B1267" t="s">
        <v>2934</v>
      </c>
      <c r="C1267" t="s">
        <v>23</v>
      </c>
      <c r="D1267" s="9">
        <v>15</v>
      </c>
      <c r="E1267" s="7">
        <v>568.80999999999995</v>
      </c>
      <c r="F1267" t="s">
        <v>29</v>
      </c>
      <c r="G1267" t="s">
        <v>31</v>
      </c>
      <c r="H1267" s="12">
        <v>0.1</v>
      </c>
      <c r="I1267" t="s">
        <v>34</v>
      </c>
      <c r="J1267" s="7">
        <f>Table2[[#This Row],[UnitPrice]]*Table2[[#This Row],[Quantity]]*(1-Table2[[#This Row],[Discount]])</f>
        <v>7678.9349999999995</v>
      </c>
      <c r="K1267" t="s">
        <v>39</v>
      </c>
      <c r="L1267" t="s">
        <v>2937</v>
      </c>
      <c r="M1267">
        <v>0</v>
      </c>
      <c r="N1267" t="s">
        <v>1311</v>
      </c>
      <c r="O1267" t="s">
        <v>2725</v>
      </c>
      <c r="P1267" s="7">
        <v>8.5399999999999991</v>
      </c>
      <c r="Q1267" s="1">
        <v>45744</v>
      </c>
      <c r="R1267">
        <f>WEEKNUM(Table2[[#This Row],[OrderDate]])</f>
        <v>13</v>
      </c>
      <c r="S1267" s="1">
        <v>45750</v>
      </c>
      <c r="T1267" t="s">
        <v>2920</v>
      </c>
    </row>
    <row r="1268" spans="1:20" x14ac:dyDescent="0.35">
      <c r="A1268" s="1">
        <v>45760</v>
      </c>
      <c r="B1268" t="s">
        <v>2934</v>
      </c>
      <c r="C1268" t="s">
        <v>19</v>
      </c>
      <c r="D1268" s="9">
        <v>20</v>
      </c>
      <c r="E1268" s="7">
        <v>190.39</v>
      </c>
      <c r="F1268" t="s">
        <v>26</v>
      </c>
      <c r="G1268" t="s">
        <v>31</v>
      </c>
      <c r="H1268" s="12">
        <v>0.1</v>
      </c>
      <c r="I1268" t="s">
        <v>37</v>
      </c>
      <c r="J1268" s="7">
        <f>Table2[[#This Row],[UnitPrice]]*Table2[[#This Row],[Quantity]]*(1-Table2[[#This Row],[Discount]])</f>
        <v>3427.02</v>
      </c>
      <c r="K1268" t="s">
        <v>39</v>
      </c>
      <c r="L1268" t="s">
        <v>44</v>
      </c>
      <c r="M1268">
        <v>0</v>
      </c>
      <c r="N1268" t="s">
        <v>1312</v>
      </c>
      <c r="O1268" t="s">
        <v>2726</v>
      </c>
      <c r="P1268" s="7">
        <v>49.93</v>
      </c>
      <c r="Q1268" s="1">
        <v>45760</v>
      </c>
      <c r="R1268">
        <f>WEEKNUM(Table2[[#This Row],[OrderDate]])</f>
        <v>16</v>
      </c>
      <c r="S1268" s="1">
        <v>45765</v>
      </c>
      <c r="T1268" t="s">
        <v>2920</v>
      </c>
    </row>
    <row r="1269" spans="1:20" x14ac:dyDescent="0.35">
      <c r="A1269" s="1">
        <v>45412</v>
      </c>
      <c r="B1269" t="s">
        <v>2933</v>
      </c>
      <c r="C1269" t="s">
        <v>22</v>
      </c>
      <c r="D1269" s="9">
        <v>19</v>
      </c>
      <c r="E1269" s="7">
        <v>433.39</v>
      </c>
      <c r="F1269" t="s">
        <v>28</v>
      </c>
      <c r="G1269" t="s">
        <v>31</v>
      </c>
      <c r="H1269" s="12">
        <v>0.05</v>
      </c>
      <c r="I1269" t="s">
        <v>37</v>
      </c>
      <c r="J1269" s="7">
        <f>Table2[[#This Row],[UnitPrice]]*Table2[[#This Row],[Quantity]]*(1-Table2[[#This Row],[Discount]])</f>
        <v>7822.6894999999995</v>
      </c>
      <c r="K1269" t="s">
        <v>38</v>
      </c>
      <c r="L1269" t="s">
        <v>45</v>
      </c>
      <c r="M1269">
        <v>0</v>
      </c>
      <c r="N1269" t="s">
        <v>1313</v>
      </c>
      <c r="O1269" t="s">
        <v>2727</v>
      </c>
      <c r="P1269" s="7">
        <v>7.59</v>
      </c>
      <c r="Q1269" s="1">
        <v>45412</v>
      </c>
      <c r="R1269">
        <f>WEEKNUM(Table2[[#This Row],[OrderDate]])</f>
        <v>18</v>
      </c>
      <c r="S1269" s="1">
        <v>45421</v>
      </c>
      <c r="T1269" t="s">
        <v>2921</v>
      </c>
    </row>
    <row r="1270" spans="1:20" x14ac:dyDescent="0.35">
      <c r="A1270" s="1">
        <v>45703</v>
      </c>
      <c r="B1270" t="s">
        <v>2932</v>
      </c>
      <c r="C1270" t="s">
        <v>20</v>
      </c>
      <c r="D1270" s="9">
        <v>1</v>
      </c>
      <c r="E1270" s="7">
        <v>92.72</v>
      </c>
      <c r="F1270" t="s">
        <v>28</v>
      </c>
      <c r="G1270" t="s">
        <v>30</v>
      </c>
      <c r="H1270" s="12">
        <v>0.15</v>
      </c>
      <c r="I1270" t="s">
        <v>32</v>
      </c>
      <c r="J1270" s="7">
        <f>Table2[[#This Row],[UnitPrice]]*Table2[[#This Row],[Quantity]]*(1-Table2[[#This Row],[Discount]])</f>
        <v>78.811999999999998</v>
      </c>
      <c r="K1270" t="s">
        <v>41</v>
      </c>
      <c r="L1270" t="s">
        <v>45</v>
      </c>
      <c r="M1270">
        <v>0</v>
      </c>
      <c r="N1270" t="s">
        <v>1314</v>
      </c>
      <c r="O1270" t="s">
        <v>2728</v>
      </c>
      <c r="P1270" s="7">
        <v>48.46</v>
      </c>
      <c r="Q1270" s="1">
        <v>45703</v>
      </c>
      <c r="R1270">
        <f>WEEKNUM(Table2[[#This Row],[OrderDate]])</f>
        <v>7</v>
      </c>
      <c r="S1270" s="1">
        <v>45707</v>
      </c>
      <c r="T1270" t="s">
        <v>2918</v>
      </c>
    </row>
    <row r="1271" spans="1:20" x14ac:dyDescent="0.35">
      <c r="A1271" s="1">
        <v>45706</v>
      </c>
      <c r="B1271" t="s">
        <v>2933</v>
      </c>
      <c r="C1271" t="s">
        <v>19</v>
      </c>
      <c r="D1271" s="9">
        <v>1</v>
      </c>
      <c r="E1271" s="7">
        <v>263.27999999999997</v>
      </c>
      <c r="F1271" t="s">
        <v>29</v>
      </c>
      <c r="G1271" t="s">
        <v>30</v>
      </c>
      <c r="H1271" s="12">
        <v>0.1</v>
      </c>
      <c r="I1271" t="s">
        <v>32</v>
      </c>
      <c r="J1271" s="7">
        <f>Table2[[#This Row],[UnitPrice]]*Table2[[#This Row],[Quantity]]*(1-Table2[[#This Row],[Discount]])</f>
        <v>236.95199999999997</v>
      </c>
      <c r="K1271" t="s">
        <v>40</v>
      </c>
      <c r="L1271" t="s">
        <v>44</v>
      </c>
      <c r="M1271">
        <v>0</v>
      </c>
      <c r="N1271" t="s">
        <v>1315</v>
      </c>
      <c r="O1271" t="s">
        <v>2729</v>
      </c>
      <c r="P1271" s="7">
        <v>36.28</v>
      </c>
      <c r="Q1271" s="1">
        <v>45706</v>
      </c>
      <c r="R1271">
        <f>WEEKNUM(Table2[[#This Row],[OrderDate]])</f>
        <v>8</v>
      </c>
      <c r="S1271" s="1">
        <v>45711</v>
      </c>
      <c r="T1271" t="s">
        <v>2921</v>
      </c>
    </row>
    <row r="1272" spans="1:20" x14ac:dyDescent="0.35">
      <c r="A1272" s="1">
        <v>45177</v>
      </c>
      <c r="B1272" t="s">
        <v>2933</v>
      </c>
      <c r="C1272" t="s">
        <v>20</v>
      </c>
      <c r="D1272" s="9">
        <v>11</v>
      </c>
      <c r="E1272" s="7">
        <v>358.59</v>
      </c>
      <c r="F1272" t="s">
        <v>26</v>
      </c>
      <c r="G1272" t="s">
        <v>30</v>
      </c>
      <c r="H1272" s="12">
        <v>0</v>
      </c>
      <c r="I1272" t="s">
        <v>34</v>
      </c>
      <c r="J1272" s="7">
        <f>Table2[[#This Row],[UnitPrice]]*Table2[[#This Row],[Quantity]]*(1-Table2[[#This Row],[Discount]])</f>
        <v>3944.49</v>
      </c>
      <c r="K1272" t="s">
        <v>40</v>
      </c>
      <c r="L1272" t="s">
        <v>2937</v>
      </c>
      <c r="M1272">
        <v>0</v>
      </c>
      <c r="N1272" t="s">
        <v>1316</v>
      </c>
      <c r="O1272" t="s">
        <v>2730</v>
      </c>
      <c r="P1272" s="7">
        <v>29.19</v>
      </c>
      <c r="Q1272" s="1">
        <v>45177</v>
      </c>
      <c r="R1272">
        <f>WEEKNUM(Table2[[#This Row],[OrderDate]])</f>
        <v>36</v>
      </c>
      <c r="S1272" s="1">
        <v>45179</v>
      </c>
      <c r="T1272" t="s">
        <v>2921</v>
      </c>
    </row>
    <row r="1273" spans="1:20" x14ac:dyDescent="0.35">
      <c r="A1273" s="1">
        <v>45326</v>
      </c>
      <c r="B1273" t="s">
        <v>2934</v>
      </c>
      <c r="C1273" t="s">
        <v>24</v>
      </c>
      <c r="D1273" s="9">
        <v>18</v>
      </c>
      <c r="E1273" s="7">
        <v>595.53</v>
      </c>
      <c r="F1273" t="s">
        <v>26</v>
      </c>
      <c r="G1273" t="s">
        <v>31</v>
      </c>
      <c r="H1273" s="12">
        <v>0</v>
      </c>
      <c r="I1273" t="s">
        <v>34</v>
      </c>
      <c r="J1273" s="7">
        <f>Table2[[#This Row],[UnitPrice]]*Table2[[#This Row],[Quantity]]*(1-Table2[[#This Row],[Discount]])</f>
        <v>10719.539999999999</v>
      </c>
      <c r="K1273" t="s">
        <v>42</v>
      </c>
      <c r="L1273" t="s">
        <v>45</v>
      </c>
      <c r="M1273">
        <v>0</v>
      </c>
      <c r="N1273" t="s">
        <v>1317</v>
      </c>
      <c r="O1273" t="s">
        <v>2731</v>
      </c>
      <c r="P1273" s="7">
        <v>42.91</v>
      </c>
      <c r="Q1273" s="1">
        <v>45326</v>
      </c>
      <c r="R1273">
        <f>WEEKNUM(Table2[[#This Row],[OrderDate]])</f>
        <v>6</v>
      </c>
      <c r="S1273" s="1">
        <v>45328</v>
      </c>
      <c r="T1273" t="s">
        <v>2920</v>
      </c>
    </row>
    <row r="1274" spans="1:20" x14ac:dyDescent="0.35">
      <c r="A1274" s="1">
        <v>45621</v>
      </c>
      <c r="B1274" t="s">
        <v>2931</v>
      </c>
      <c r="C1274" t="s">
        <v>23</v>
      </c>
      <c r="D1274" s="9">
        <v>14</v>
      </c>
      <c r="E1274" s="7">
        <v>574.32000000000005</v>
      </c>
      <c r="F1274" t="s">
        <v>29</v>
      </c>
      <c r="G1274" t="s">
        <v>30</v>
      </c>
      <c r="H1274" s="12">
        <v>0.15</v>
      </c>
      <c r="I1274" t="s">
        <v>36</v>
      </c>
      <c r="J1274" s="7">
        <f>Table2[[#This Row],[UnitPrice]]*Table2[[#This Row],[Quantity]]*(1-Table2[[#This Row],[Discount]])</f>
        <v>6834.4080000000004</v>
      </c>
      <c r="K1274" t="s">
        <v>40</v>
      </c>
      <c r="L1274" t="s">
        <v>44</v>
      </c>
      <c r="M1274">
        <v>0</v>
      </c>
      <c r="N1274" t="s">
        <v>1318</v>
      </c>
      <c r="O1274" t="s">
        <v>2732</v>
      </c>
      <c r="P1274" s="7">
        <v>12.07</v>
      </c>
      <c r="Q1274" s="1">
        <v>45621</v>
      </c>
      <c r="R1274">
        <f>WEEKNUM(Table2[[#This Row],[OrderDate]])</f>
        <v>48</v>
      </c>
      <c r="S1274" s="1">
        <v>45631</v>
      </c>
      <c r="T1274" t="s">
        <v>2919</v>
      </c>
    </row>
    <row r="1275" spans="1:20" x14ac:dyDescent="0.35">
      <c r="A1275" s="1">
        <v>45656</v>
      </c>
      <c r="B1275" t="s">
        <v>2931</v>
      </c>
      <c r="C1275" t="s">
        <v>19</v>
      </c>
      <c r="D1275" s="9">
        <v>18</v>
      </c>
      <c r="E1275" s="7">
        <v>444.13</v>
      </c>
      <c r="F1275" t="s">
        <v>29</v>
      </c>
      <c r="G1275" t="s">
        <v>31</v>
      </c>
      <c r="H1275" s="12">
        <v>0</v>
      </c>
      <c r="I1275" t="s">
        <v>34</v>
      </c>
      <c r="J1275" s="7">
        <f>Table2[[#This Row],[UnitPrice]]*Table2[[#This Row],[Quantity]]*(1-Table2[[#This Row],[Discount]])</f>
        <v>7994.34</v>
      </c>
      <c r="K1275" t="s">
        <v>42</v>
      </c>
      <c r="L1275" t="s">
        <v>44</v>
      </c>
      <c r="M1275">
        <v>0</v>
      </c>
      <c r="N1275" t="s">
        <v>1319</v>
      </c>
      <c r="O1275" t="s">
        <v>2733</v>
      </c>
      <c r="P1275" s="7">
        <v>5.41</v>
      </c>
      <c r="Q1275" s="1">
        <v>45656</v>
      </c>
      <c r="R1275">
        <f>WEEKNUM(Table2[[#This Row],[OrderDate]])</f>
        <v>53</v>
      </c>
      <c r="S1275" s="1">
        <v>45659</v>
      </c>
      <c r="T1275" t="s">
        <v>2919</v>
      </c>
    </row>
    <row r="1276" spans="1:20" x14ac:dyDescent="0.35">
      <c r="A1276" s="1">
        <v>45174</v>
      </c>
      <c r="B1276" t="s">
        <v>2933</v>
      </c>
      <c r="C1276" t="s">
        <v>24</v>
      </c>
      <c r="D1276" s="9">
        <v>19</v>
      </c>
      <c r="E1276" s="7">
        <v>431.47</v>
      </c>
      <c r="F1276" t="s">
        <v>27</v>
      </c>
      <c r="G1276" t="s">
        <v>31</v>
      </c>
      <c r="H1276" s="12">
        <v>0.1</v>
      </c>
      <c r="I1276" t="s">
        <v>32</v>
      </c>
      <c r="J1276" s="7">
        <f>Table2[[#This Row],[UnitPrice]]*Table2[[#This Row],[Quantity]]*(1-Table2[[#This Row],[Discount]])</f>
        <v>7378.1370000000006</v>
      </c>
      <c r="K1276" t="s">
        <v>39</v>
      </c>
      <c r="L1276" t="s">
        <v>45</v>
      </c>
      <c r="M1276">
        <v>0</v>
      </c>
      <c r="N1276" t="s">
        <v>1320</v>
      </c>
      <c r="O1276" t="s">
        <v>2734</v>
      </c>
      <c r="P1276" s="7">
        <v>49.23</v>
      </c>
      <c r="Q1276" s="1">
        <v>45174</v>
      </c>
      <c r="R1276">
        <f>WEEKNUM(Table2[[#This Row],[OrderDate]])</f>
        <v>36</v>
      </c>
      <c r="S1276" s="1">
        <v>45179</v>
      </c>
      <c r="T1276" t="s">
        <v>2921</v>
      </c>
    </row>
    <row r="1277" spans="1:20" x14ac:dyDescent="0.35">
      <c r="A1277" s="1">
        <v>45139</v>
      </c>
      <c r="B1277" t="s">
        <v>2933</v>
      </c>
      <c r="C1277" t="s">
        <v>25</v>
      </c>
      <c r="D1277" s="9">
        <v>19</v>
      </c>
      <c r="E1277" s="7">
        <v>67.489999999999995</v>
      </c>
      <c r="F1277" t="s">
        <v>28</v>
      </c>
      <c r="G1277" t="s">
        <v>31</v>
      </c>
      <c r="H1277" s="12">
        <v>0</v>
      </c>
      <c r="I1277" t="s">
        <v>34</v>
      </c>
      <c r="J1277" s="7">
        <f>Table2[[#This Row],[UnitPrice]]*Table2[[#This Row],[Quantity]]*(1-Table2[[#This Row],[Discount]])</f>
        <v>1282.31</v>
      </c>
      <c r="K1277" t="s">
        <v>41</v>
      </c>
      <c r="L1277" t="s">
        <v>44</v>
      </c>
      <c r="M1277">
        <v>0</v>
      </c>
      <c r="N1277" t="s">
        <v>1321</v>
      </c>
      <c r="O1277" t="s">
        <v>2735</v>
      </c>
      <c r="P1277" s="7">
        <v>32.04</v>
      </c>
      <c r="Q1277" s="1">
        <v>45139</v>
      </c>
      <c r="R1277">
        <f>WEEKNUM(Table2[[#This Row],[OrderDate]])</f>
        <v>31</v>
      </c>
      <c r="S1277" s="1">
        <v>45149</v>
      </c>
      <c r="T1277" t="s">
        <v>2921</v>
      </c>
    </row>
    <row r="1278" spans="1:20" x14ac:dyDescent="0.35">
      <c r="A1278" s="1">
        <v>44932</v>
      </c>
      <c r="B1278" t="s">
        <v>2934</v>
      </c>
      <c r="C1278" t="s">
        <v>24</v>
      </c>
      <c r="D1278" s="9">
        <v>11</v>
      </c>
      <c r="E1278" s="7">
        <v>25.67</v>
      </c>
      <c r="F1278" t="s">
        <v>28</v>
      </c>
      <c r="G1278" t="s">
        <v>31</v>
      </c>
      <c r="H1278" s="12">
        <v>0.15</v>
      </c>
      <c r="I1278" t="s">
        <v>35</v>
      </c>
      <c r="J1278" s="7">
        <f>Table2[[#This Row],[UnitPrice]]*Table2[[#This Row],[Quantity]]*(1-Table2[[#This Row],[Discount]])</f>
        <v>240.0145</v>
      </c>
      <c r="K1278" t="s">
        <v>40</v>
      </c>
      <c r="L1278" t="s">
        <v>44</v>
      </c>
      <c r="M1278">
        <v>0</v>
      </c>
      <c r="N1278" t="s">
        <v>1322</v>
      </c>
      <c r="O1278" t="s">
        <v>2736</v>
      </c>
      <c r="P1278" s="7">
        <v>30.12</v>
      </c>
      <c r="Q1278" s="1">
        <v>44932</v>
      </c>
      <c r="R1278">
        <f>WEEKNUM(Table2[[#This Row],[OrderDate]])</f>
        <v>1</v>
      </c>
      <c r="S1278" s="1">
        <v>44934</v>
      </c>
      <c r="T1278" t="s">
        <v>2920</v>
      </c>
    </row>
    <row r="1279" spans="1:20" x14ac:dyDescent="0.35">
      <c r="A1279" s="1">
        <v>45779</v>
      </c>
      <c r="B1279" t="s">
        <v>2934</v>
      </c>
      <c r="C1279" t="s">
        <v>20</v>
      </c>
      <c r="D1279" s="9">
        <v>4</v>
      </c>
      <c r="E1279" s="7">
        <v>368.69</v>
      </c>
      <c r="F1279" t="s">
        <v>29</v>
      </c>
      <c r="G1279" t="s">
        <v>30</v>
      </c>
      <c r="H1279" s="12">
        <v>0</v>
      </c>
      <c r="I1279" t="s">
        <v>36</v>
      </c>
      <c r="J1279" s="7">
        <f>Table2[[#This Row],[UnitPrice]]*Table2[[#This Row],[Quantity]]*(1-Table2[[#This Row],[Discount]])</f>
        <v>1474.76</v>
      </c>
      <c r="K1279" t="s">
        <v>39</v>
      </c>
      <c r="L1279" t="s">
        <v>45</v>
      </c>
      <c r="M1279">
        <v>0</v>
      </c>
      <c r="N1279" t="s">
        <v>1323</v>
      </c>
      <c r="O1279" t="s">
        <v>2737</v>
      </c>
      <c r="P1279" s="7">
        <v>48.57</v>
      </c>
      <c r="Q1279" s="1">
        <v>45779</v>
      </c>
      <c r="R1279">
        <f>WEEKNUM(Table2[[#This Row],[OrderDate]])</f>
        <v>18</v>
      </c>
      <c r="S1279" s="1">
        <v>45783</v>
      </c>
      <c r="T1279" t="s">
        <v>2920</v>
      </c>
    </row>
    <row r="1280" spans="1:20" x14ac:dyDescent="0.35">
      <c r="A1280" s="1">
        <v>45281</v>
      </c>
      <c r="B1280" t="s">
        <v>2933</v>
      </c>
      <c r="C1280" t="s">
        <v>23</v>
      </c>
      <c r="D1280" s="9">
        <v>7</v>
      </c>
      <c r="E1280" s="7">
        <v>257.01</v>
      </c>
      <c r="F1280" t="s">
        <v>29</v>
      </c>
      <c r="G1280" t="s">
        <v>31</v>
      </c>
      <c r="H1280" s="12">
        <v>0.05</v>
      </c>
      <c r="I1280" t="s">
        <v>32</v>
      </c>
      <c r="J1280" s="7">
        <f>Table2[[#This Row],[UnitPrice]]*Table2[[#This Row],[Quantity]]*(1-Table2[[#This Row],[Discount]])</f>
        <v>1709.1164999999999</v>
      </c>
      <c r="K1280" t="s">
        <v>40</v>
      </c>
      <c r="L1280" t="s">
        <v>2937</v>
      </c>
      <c r="M1280">
        <v>0</v>
      </c>
      <c r="N1280" t="s">
        <v>1324</v>
      </c>
      <c r="O1280" t="s">
        <v>2738</v>
      </c>
      <c r="P1280" s="7">
        <v>35.520000000000003</v>
      </c>
      <c r="Q1280" s="1">
        <v>45281</v>
      </c>
      <c r="R1280">
        <f>WEEKNUM(Table2[[#This Row],[OrderDate]])</f>
        <v>51</v>
      </c>
      <c r="S1280" s="1">
        <v>45288</v>
      </c>
      <c r="T1280" t="s">
        <v>2921</v>
      </c>
    </row>
    <row r="1281" spans="1:20" x14ac:dyDescent="0.35">
      <c r="A1281" s="1">
        <v>45545</v>
      </c>
      <c r="B1281" t="s">
        <v>2930</v>
      </c>
      <c r="C1281" t="s">
        <v>19</v>
      </c>
      <c r="D1281" s="9">
        <v>14</v>
      </c>
      <c r="E1281" s="7">
        <v>85.54</v>
      </c>
      <c r="F1281" t="s">
        <v>26</v>
      </c>
      <c r="G1281" t="s">
        <v>30</v>
      </c>
      <c r="H1281" s="12">
        <v>0</v>
      </c>
      <c r="I1281" t="s">
        <v>34</v>
      </c>
      <c r="J1281" s="7">
        <f>Table2[[#This Row],[UnitPrice]]*Table2[[#This Row],[Quantity]]*(1-Table2[[#This Row],[Discount]])</f>
        <v>1197.5600000000002</v>
      </c>
      <c r="K1281" t="s">
        <v>39</v>
      </c>
      <c r="L1281" t="s">
        <v>43</v>
      </c>
      <c r="M1281">
        <v>0</v>
      </c>
      <c r="N1281" t="s">
        <v>1325</v>
      </c>
      <c r="O1281" t="s">
        <v>2739</v>
      </c>
      <c r="P1281" s="7">
        <v>16.079999999999998</v>
      </c>
      <c r="Q1281" s="1">
        <v>45545</v>
      </c>
      <c r="R1281">
        <f>WEEKNUM(Table2[[#This Row],[OrderDate]])</f>
        <v>37</v>
      </c>
      <c r="S1281" s="1">
        <v>45549</v>
      </c>
      <c r="T1281" t="s">
        <v>2917</v>
      </c>
    </row>
    <row r="1282" spans="1:20" x14ac:dyDescent="0.35">
      <c r="A1282" s="1">
        <v>45387</v>
      </c>
      <c r="B1282" t="s">
        <v>2934</v>
      </c>
      <c r="C1282" t="s">
        <v>22</v>
      </c>
      <c r="D1282" s="9">
        <v>9</v>
      </c>
      <c r="E1282" s="7">
        <v>267.60000000000002</v>
      </c>
      <c r="F1282" t="s">
        <v>29</v>
      </c>
      <c r="G1282" t="s">
        <v>31</v>
      </c>
      <c r="H1282" s="12">
        <v>0.15</v>
      </c>
      <c r="I1282" t="s">
        <v>32</v>
      </c>
      <c r="J1282" s="7">
        <f>Table2[[#This Row],[UnitPrice]]*Table2[[#This Row],[Quantity]]*(1-Table2[[#This Row],[Discount]])</f>
        <v>2047.14</v>
      </c>
      <c r="K1282" t="s">
        <v>40</v>
      </c>
      <c r="L1282" t="s">
        <v>43</v>
      </c>
      <c r="M1282">
        <v>0</v>
      </c>
      <c r="N1282" t="s">
        <v>1326</v>
      </c>
      <c r="O1282" t="s">
        <v>2740</v>
      </c>
      <c r="P1282" s="7">
        <v>8.48</v>
      </c>
      <c r="Q1282" s="1">
        <v>45387</v>
      </c>
      <c r="R1282">
        <f>WEEKNUM(Table2[[#This Row],[OrderDate]])</f>
        <v>14</v>
      </c>
      <c r="S1282" s="1">
        <v>45392</v>
      </c>
      <c r="T1282" t="s">
        <v>2920</v>
      </c>
    </row>
    <row r="1283" spans="1:20" x14ac:dyDescent="0.35">
      <c r="A1283" s="1">
        <v>45133</v>
      </c>
      <c r="B1283" t="s">
        <v>2930</v>
      </c>
      <c r="C1283" t="s">
        <v>21</v>
      </c>
      <c r="D1283" s="9">
        <v>15</v>
      </c>
      <c r="E1283" s="7">
        <v>261.85000000000002</v>
      </c>
      <c r="F1283" t="s">
        <v>29</v>
      </c>
      <c r="G1283" t="s">
        <v>30</v>
      </c>
      <c r="H1283" s="12">
        <v>0.15</v>
      </c>
      <c r="I1283" t="s">
        <v>36</v>
      </c>
      <c r="J1283" s="7">
        <f>Table2[[#This Row],[UnitPrice]]*Table2[[#This Row],[Quantity]]*(1-Table2[[#This Row],[Discount]])</f>
        <v>3338.5875000000001</v>
      </c>
      <c r="K1283" t="s">
        <v>38</v>
      </c>
      <c r="L1283" t="s">
        <v>44</v>
      </c>
      <c r="M1283">
        <v>0</v>
      </c>
      <c r="N1283" t="s">
        <v>1327</v>
      </c>
      <c r="O1283" t="s">
        <v>2741</v>
      </c>
      <c r="P1283" s="7">
        <v>40.68</v>
      </c>
      <c r="Q1283" s="1">
        <v>45133</v>
      </c>
      <c r="R1283">
        <f>WEEKNUM(Table2[[#This Row],[OrderDate]])</f>
        <v>30</v>
      </c>
      <c r="S1283" s="1">
        <v>45138</v>
      </c>
      <c r="T1283" t="s">
        <v>2917</v>
      </c>
    </row>
    <row r="1284" spans="1:20" x14ac:dyDescent="0.35">
      <c r="A1284" s="1">
        <v>45242</v>
      </c>
      <c r="B1284" t="s">
        <v>2930</v>
      </c>
      <c r="C1284" t="s">
        <v>25</v>
      </c>
      <c r="D1284" s="9">
        <v>11</v>
      </c>
      <c r="E1284" s="7">
        <v>199.57</v>
      </c>
      <c r="F1284" t="s">
        <v>27</v>
      </c>
      <c r="G1284" t="s">
        <v>31</v>
      </c>
      <c r="H1284" s="12">
        <v>0.05</v>
      </c>
      <c r="I1284" t="s">
        <v>37</v>
      </c>
      <c r="J1284" s="7">
        <f>Table2[[#This Row],[UnitPrice]]*Table2[[#This Row],[Quantity]]*(1-Table2[[#This Row],[Discount]])</f>
        <v>2085.5065</v>
      </c>
      <c r="K1284" t="s">
        <v>41</v>
      </c>
      <c r="L1284" t="s">
        <v>44</v>
      </c>
      <c r="M1284">
        <v>0</v>
      </c>
      <c r="N1284" t="s">
        <v>1328</v>
      </c>
      <c r="O1284" t="s">
        <v>2720</v>
      </c>
      <c r="P1284" s="7">
        <v>48.94</v>
      </c>
      <c r="Q1284" s="1">
        <v>45242</v>
      </c>
      <c r="R1284">
        <f>WEEKNUM(Table2[[#This Row],[OrderDate]])</f>
        <v>46</v>
      </c>
      <c r="S1284" s="1">
        <v>45244</v>
      </c>
      <c r="T1284" t="s">
        <v>2917</v>
      </c>
    </row>
    <row r="1285" spans="1:20" x14ac:dyDescent="0.35">
      <c r="A1285" s="1">
        <v>45765</v>
      </c>
      <c r="B1285" t="s">
        <v>2934</v>
      </c>
      <c r="C1285" t="s">
        <v>20</v>
      </c>
      <c r="D1285" s="9">
        <v>5</v>
      </c>
      <c r="E1285" s="7">
        <v>504.96</v>
      </c>
      <c r="F1285" t="s">
        <v>28</v>
      </c>
      <c r="G1285" t="s">
        <v>31</v>
      </c>
      <c r="H1285" s="12">
        <v>0.05</v>
      </c>
      <c r="I1285" t="s">
        <v>36</v>
      </c>
      <c r="J1285" s="7">
        <f>Table2[[#This Row],[UnitPrice]]*Table2[[#This Row],[Quantity]]*(1-Table2[[#This Row],[Discount]])</f>
        <v>2398.5599999999995</v>
      </c>
      <c r="K1285" t="s">
        <v>39</v>
      </c>
      <c r="L1285" t="s">
        <v>43</v>
      </c>
      <c r="M1285">
        <v>0</v>
      </c>
      <c r="N1285" t="s">
        <v>1329</v>
      </c>
      <c r="O1285" t="s">
        <v>2742</v>
      </c>
      <c r="P1285" s="7">
        <v>22.12</v>
      </c>
      <c r="Q1285" s="1">
        <v>45765</v>
      </c>
      <c r="R1285">
        <f>WEEKNUM(Table2[[#This Row],[OrderDate]])</f>
        <v>16</v>
      </c>
      <c r="S1285" s="1">
        <v>45767</v>
      </c>
      <c r="T1285" t="s">
        <v>2920</v>
      </c>
    </row>
    <row r="1286" spans="1:20" x14ac:dyDescent="0.35">
      <c r="A1286" s="1">
        <v>45150</v>
      </c>
      <c r="B1286" t="s">
        <v>2932</v>
      </c>
      <c r="C1286" t="s">
        <v>22</v>
      </c>
      <c r="D1286" s="9">
        <v>8</v>
      </c>
      <c r="E1286" s="7">
        <v>28.34</v>
      </c>
      <c r="F1286" t="s">
        <v>28</v>
      </c>
      <c r="G1286" t="s">
        <v>30</v>
      </c>
      <c r="H1286" s="12">
        <v>0.05</v>
      </c>
      <c r="I1286" t="s">
        <v>33</v>
      </c>
      <c r="J1286" s="7">
        <f>Table2[[#This Row],[UnitPrice]]*Table2[[#This Row],[Quantity]]*(1-Table2[[#This Row],[Discount]])</f>
        <v>215.38399999999999</v>
      </c>
      <c r="K1286" t="s">
        <v>42</v>
      </c>
      <c r="L1286" t="s">
        <v>2937</v>
      </c>
      <c r="M1286">
        <v>1</v>
      </c>
      <c r="N1286" t="s">
        <v>1330</v>
      </c>
      <c r="O1286" t="s">
        <v>2743</v>
      </c>
      <c r="P1286" s="7">
        <v>23.19</v>
      </c>
      <c r="Q1286" s="1">
        <v>45150</v>
      </c>
      <c r="R1286">
        <f>WEEKNUM(Table2[[#This Row],[OrderDate]])</f>
        <v>32</v>
      </c>
      <c r="S1286" s="1">
        <v>45157</v>
      </c>
      <c r="T1286" t="s">
        <v>2918</v>
      </c>
    </row>
    <row r="1287" spans="1:20" x14ac:dyDescent="0.35">
      <c r="A1287" s="1">
        <v>45638</v>
      </c>
      <c r="B1287" t="s">
        <v>2933</v>
      </c>
      <c r="C1287" t="s">
        <v>25</v>
      </c>
      <c r="D1287" s="9">
        <v>17</v>
      </c>
      <c r="E1287" s="7">
        <v>495.13</v>
      </c>
      <c r="F1287" t="s">
        <v>29</v>
      </c>
      <c r="G1287" t="s">
        <v>30</v>
      </c>
      <c r="H1287" s="12">
        <v>0.1</v>
      </c>
      <c r="I1287" t="s">
        <v>33</v>
      </c>
      <c r="J1287" s="7">
        <f>Table2[[#This Row],[UnitPrice]]*Table2[[#This Row],[Quantity]]*(1-Table2[[#This Row],[Discount]])</f>
        <v>7575.4889999999996</v>
      </c>
      <c r="K1287" t="s">
        <v>38</v>
      </c>
      <c r="L1287" t="s">
        <v>43</v>
      </c>
      <c r="M1287">
        <v>1</v>
      </c>
      <c r="N1287" t="s">
        <v>1331</v>
      </c>
      <c r="O1287" t="s">
        <v>2744</v>
      </c>
      <c r="P1287" s="7">
        <v>26.37</v>
      </c>
      <c r="Q1287" s="1">
        <v>45638</v>
      </c>
      <c r="R1287">
        <f>WEEKNUM(Table2[[#This Row],[OrderDate]])</f>
        <v>50</v>
      </c>
      <c r="S1287" s="1">
        <v>45647</v>
      </c>
      <c r="T1287" t="s">
        <v>2921</v>
      </c>
    </row>
    <row r="1288" spans="1:20" x14ac:dyDescent="0.35">
      <c r="A1288" s="1">
        <v>45784</v>
      </c>
      <c r="B1288" t="s">
        <v>2933</v>
      </c>
      <c r="C1288" t="s">
        <v>20</v>
      </c>
      <c r="D1288" s="9">
        <v>14</v>
      </c>
      <c r="E1288" s="7">
        <v>142.05000000000001</v>
      </c>
      <c r="F1288" t="s">
        <v>29</v>
      </c>
      <c r="G1288" t="s">
        <v>31</v>
      </c>
      <c r="H1288" s="12">
        <v>0.05</v>
      </c>
      <c r="I1288" t="s">
        <v>34</v>
      </c>
      <c r="J1288" s="7">
        <f>Table2[[#This Row],[UnitPrice]]*Table2[[#This Row],[Quantity]]*(1-Table2[[#This Row],[Discount]])</f>
        <v>1889.2650000000001</v>
      </c>
      <c r="K1288" t="s">
        <v>39</v>
      </c>
      <c r="L1288" t="s">
        <v>44</v>
      </c>
      <c r="M1288">
        <v>0</v>
      </c>
      <c r="N1288" t="s">
        <v>1332</v>
      </c>
      <c r="O1288" t="s">
        <v>2745</v>
      </c>
      <c r="P1288" s="7">
        <v>33.65</v>
      </c>
      <c r="Q1288" s="1">
        <v>45784</v>
      </c>
      <c r="R1288">
        <f>WEEKNUM(Table2[[#This Row],[OrderDate]])</f>
        <v>19</v>
      </c>
      <c r="S1288" s="1">
        <v>45790</v>
      </c>
      <c r="T1288" t="s">
        <v>2921</v>
      </c>
    </row>
    <row r="1289" spans="1:20" x14ac:dyDescent="0.35">
      <c r="A1289" s="1">
        <v>45726</v>
      </c>
      <c r="B1289" t="s">
        <v>2930</v>
      </c>
      <c r="C1289" t="s">
        <v>22</v>
      </c>
      <c r="D1289" s="9">
        <v>16</v>
      </c>
      <c r="E1289" s="7">
        <v>504.36</v>
      </c>
      <c r="F1289" t="s">
        <v>29</v>
      </c>
      <c r="G1289" t="s">
        <v>30</v>
      </c>
      <c r="H1289" s="12">
        <v>0</v>
      </c>
      <c r="I1289" t="s">
        <v>37</v>
      </c>
      <c r="J1289" s="7">
        <f>Table2[[#This Row],[UnitPrice]]*Table2[[#This Row],[Quantity]]*(1-Table2[[#This Row],[Discount]])</f>
        <v>8069.76</v>
      </c>
      <c r="K1289" t="s">
        <v>41</v>
      </c>
      <c r="L1289" t="s">
        <v>2937</v>
      </c>
      <c r="M1289">
        <v>1</v>
      </c>
      <c r="N1289" t="s">
        <v>1333</v>
      </c>
      <c r="O1289" t="s">
        <v>1796</v>
      </c>
      <c r="P1289" s="7">
        <v>11.67</v>
      </c>
      <c r="Q1289" s="1">
        <v>45726</v>
      </c>
      <c r="R1289">
        <f>WEEKNUM(Table2[[#This Row],[OrderDate]])</f>
        <v>11</v>
      </c>
      <c r="S1289" s="1">
        <v>45729</v>
      </c>
      <c r="T1289" t="s">
        <v>2917</v>
      </c>
    </row>
    <row r="1290" spans="1:20" x14ac:dyDescent="0.35">
      <c r="A1290" s="1">
        <v>45809</v>
      </c>
      <c r="B1290" t="s">
        <v>2930</v>
      </c>
      <c r="C1290" t="s">
        <v>21</v>
      </c>
      <c r="D1290" s="9">
        <v>7</v>
      </c>
      <c r="E1290" s="7">
        <v>122.2</v>
      </c>
      <c r="F1290" t="s">
        <v>26</v>
      </c>
      <c r="G1290" t="s">
        <v>31</v>
      </c>
      <c r="H1290" s="12">
        <v>0</v>
      </c>
      <c r="I1290" t="s">
        <v>35</v>
      </c>
      <c r="J1290" s="7">
        <f>Table2[[#This Row],[UnitPrice]]*Table2[[#This Row],[Quantity]]*(1-Table2[[#This Row],[Discount]])</f>
        <v>855.4</v>
      </c>
      <c r="K1290" t="s">
        <v>40</v>
      </c>
      <c r="L1290" t="s">
        <v>2937</v>
      </c>
      <c r="M1290">
        <v>0</v>
      </c>
      <c r="N1290" t="s">
        <v>1334</v>
      </c>
      <c r="O1290" t="s">
        <v>2746</v>
      </c>
      <c r="P1290" s="7">
        <v>30.21</v>
      </c>
      <c r="Q1290" s="1">
        <v>45809</v>
      </c>
      <c r="R1290">
        <f>WEEKNUM(Table2[[#This Row],[OrderDate]])</f>
        <v>23</v>
      </c>
      <c r="S1290" s="1">
        <v>45818</v>
      </c>
      <c r="T1290" t="s">
        <v>2917</v>
      </c>
    </row>
    <row r="1291" spans="1:20" x14ac:dyDescent="0.35">
      <c r="A1291" s="1">
        <v>45796</v>
      </c>
      <c r="B1291" t="s">
        <v>2933</v>
      </c>
      <c r="C1291" t="s">
        <v>22</v>
      </c>
      <c r="D1291" s="9">
        <v>7</v>
      </c>
      <c r="E1291" s="7">
        <v>338.42</v>
      </c>
      <c r="F1291" t="s">
        <v>26</v>
      </c>
      <c r="G1291" t="s">
        <v>31</v>
      </c>
      <c r="H1291" s="12">
        <v>0.15</v>
      </c>
      <c r="I1291" t="s">
        <v>33</v>
      </c>
      <c r="J1291" s="7">
        <f>Table2[[#This Row],[UnitPrice]]*Table2[[#This Row],[Quantity]]*(1-Table2[[#This Row],[Discount]])</f>
        <v>2013.5989999999999</v>
      </c>
      <c r="K1291" t="s">
        <v>38</v>
      </c>
      <c r="L1291" t="s">
        <v>43</v>
      </c>
      <c r="M1291">
        <v>0</v>
      </c>
      <c r="N1291" t="s">
        <v>1335</v>
      </c>
      <c r="O1291" t="s">
        <v>2747</v>
      </c>
      <c r="P1291" s="7">
        <v>5.82</v>
      </c>
      <c r="Q1291" s="1">
        <v>45796</v>
      </c>
      <c r="R1291">
        <f>WEEKNUM(Table2[[#This Row],[OrderDate]])</f>
        <v>21</v>
      </c>
      <c r="S1291" s="1">
        <v>45798</v>
      </c>
      <c r="T1291" t="s">
        <v>2921</v>
      </c>
    </row>
    <row r="1292" spans="1:20" x14ac:dyDescent="0.35">
      <c r="A1292" s="1">
        <v>44965</v>
      </c>
      <c r="B1292" t="s">
        <v>2930</v>
      </c>
      <c r="C1292" t="s">
        <v>24</v>
      </c>
      <c r="D1292" s="9">
        <v>4</v>
      </c>
      <c r="E1292" s="7">
        <v>224.75</v>
      </c>
      <c r="F1292" t="s">
        <v>29</v>
      </c>
      <c r="G1292" t="s">
        <v>30</v>
      </c>
      <c r="H1292" s="12">
        <v>0</v>
      </c>
      <c r="I1292" t="s">
        <v>34</v>
      </c>
      <c r="J1292" s="7">
        <f>Table2[[#This Row],[UnitPrice]]*Table2[[#This Row],[Quantity]]*(1-Table2[[#This Row],[Discount]])</f>
        <v>899</v>
      </c>
      <c r="K1292" t="s">
        <v>41</v>
      </c>
      <c r="L1292" t="s">
        <v>2937</v>
      </c>
      <c r="M1292">
        <v>0</v>
      </c>
      <c r="N1292" t="s">
        <v>1336</v>
      </c>
      <c r="O1292" t="s">
        <v>2748</v>
      </c>
      <c r="P1292" s="7">
        <v>43.86</v>
      </c>
      <c r="Q1292" s="1">
        <v>44965</v>
      </c>
      <c r="R1292">
        <f>WEEKNUM(Table2[[#This Row],[OrderDate]])</f>
        <v>6</v>
      </c>
      <c r="S1292" s="1">
        <v>44973</v>
      </c>
      <c r="T1292" t="s">
        <v>2917</v>
      </c>
    </row>
    <row r="1293" spans="1:20" x14ac:dyDescent="0.35">
      <c r="A1293" s="1">
        <v>45771</v>
      </c>
      <c r="B1293" t="s">
        <v>2934</v>
      </c>
      <c r="C1293" t="s">
        <v>21</v>
      </c>
      <c r="D1293" s="9">
        <v>16</v>
      </c>
      <c r="E1293" s="7">
        <v>509.71</v>
      </c>
      <c r="F1293" t="s">
        <v>28</v>
      </c>
      <c r="G1293" t="s">
        <v>30</v>
      </c>
      <c r="H1293" s="12">
        <v>0.1</v>
      </c>
      <c r="I1293" t="s">
        <v>35</v>
      </c>
      <c r="J1293" s="7">
        <f>Table2[[#This Row],[UnitPrice]]*Table2[[#This Row],[Quantity]]*(1-Table2[[#This Row],[Discount]])</f>
        <v>7339.8239999999996</v>
      </c>
      <c r="K1293" t="s">
        <v>42</v>
      </c>
      <c r="L1293" t="s">
        <v>2937</v>
      </c>
      <c r="M1293">
        <v>0</v>
      </c>
      <c r="N1293" t="s">
        <v>1337</v>
      </c>
      <c r="O1293" t="s">
        <v>2749</v>
      </c>
      <c r="P1293" s="7">
        <v>41.78</v>
      </c>
      <c r="Q1293" s="1">
        <v>45771</v>
      </c>
      <c r="R1293">
        <f>WEEKNUM(Table2[[#This Row],[OrderDate]])</f>
        <v>17</v>
      </c>
      <c r="S1293" s="1">
        <v>45780</v>
      </c>
      <c r="T1293" t="s">
        <v>2920</v>
      </c>
    </row>
    <row r="1294" spans="1:20" x14ac:dyDescent="0.35">
      <c r="A1294" s="1">
        <v>45536</v>
      </c>
      <c r="B1294" t="s">
        <v>2931</v>
      </c>
      <c r="C1294" t="s">
        <v>24</v>
      </c>
      <c r="D1294" s="9">
        <v>14</v>
      </c>
      <c r="E1294" s="7">
        <v>297.56</v>
      </c>
      <c r="F1294" t="s">
        <v>26</v>
      </c>
      <c r="G1294" t="s">
        <v>30</v>
      </c>
      <c r="H1294" s="12">
        <v>0.1</v>
      </c>
      <c r="I1294" t="s">
        <v>36</v>
      </c>
      <c r="J1294" s="7">
        <f>Table2[[#This Row],[UnitPrice]]*Table2[[#This Row],[Quantity]]*(1-Table2[[#This Row],[Discount]])</f>
        <v>3749.2560000000003</v>
      </c>
      <c r="K1294" t="s">
        <v>41</v>
      </c>
      <c r="L1294" t="s">
        <v>43</v>
      </c>
      <c r="M1294">
        <v>0</v>
      </c>
      <c r="N1294" t="s">
        <v>1338</v>
      </c>
      <c r="O1294" t="s">
        <v>2750</v>
      </c>
      <c r="P1294" s="7">
        <v>31.44</v>
      </c>
      <c r="Q1294" s="1">
        <v>45536</v>
      </c>
      <c r="R1294">
        <f>WEEKNUM(Table2[[#This Row],[OrderDate]])</f>
        <v>36</v>
      </c>
      <c r="S1294" s="1">
        <v>45543</v>
      </c>
      <c r="T1294" t="s">
        <v>2919</v>
      </c>
    </row>
    <row r="1295" spans="1:20" x14ac:dyDescent="0.35">
      <c r="A1295" s="1">
        <v>45603</v>
      </c>
      <c r="B1295" t="s">
        <v>2934</v>
      </c>
      <c r="C1295" t="s">
        <v>25</v>
      </c>
      <c r="D1295" s="9">
        <v>13</v>
      </c>
      <c r="E1295" s="7">
        <v>365.11</v>
      </c>
      <c r="F1295" t="s">
        <v>28</v>
      </c>
      <c r="G1295" t="s">
        <v>31</v>
      </c>
      <c r="H1295" s="12">
        <v>0.05</v>
      </c>
      <c r="I1295" t="s">
        <v>36</v>
      </c>
      <c r="J1295" s="7">
        <f>Table2[[#This Row],[UnitPrice]]*Table2[[#This Row],[Quantity]]*(1-Table2[[#This Row],[Discount]])</f>
        <v>4509.1085000000003</v>
      </c>
      <c r="K1295" t="s">
        <v>38</v>
      </c>
      <c r="L1295" t="s">
        <v>2937</v>
      </c>
      <c r="M1295">
        <v>0</v>
      </c>
      <c r="N1295" t="s">
        <v>1339</v>
      </c>
      <c r="O1295" t="s">
        <v>2751</v>
      </c>
      <c r="P1295" s="7">
        <v>13.97</v>
      </c>
      <c r="Q1295" s="1">
        <v>45603</v>
      </c>
      <c r="R1295">
        <f>WEEKNUM(Table2[[#This Row],[OrderDate]])</f>
        <v>45</v>
      </c>
      <c r="S1295" s="1">
        <v>45609</v>
      </c>
      <c r="T1295" t="s">
        <v>2920</v>
      </c>
    </row>
    <row r="1296" spans="1:20" x14ac:dyDescent="0.35">
      <c r="A1296" s="1">
        <v>45625</v>
      </c>
      <c r="B1296" t="s">
        <v>2930</v>
      </c>
      <c r="C1296" t="s">
        <v>22</v>
      </c>
      <c r="D1296" s="9">
        <v>1</v>
      </c>
      <c r="E1296" s="7">
        <v>139.13</v>
      </c>
      <c r="F1296" t="s">
        <v>28</v>
      </c>
      <c r="G1296" t="s">
        <v>30</v>
      </c>
      <c r="H1296" s="12">
        <v>0</v>
      </c>
      <c r="I1296" t="s">
        <v>35</v>
      </c>
      <c r="J1296" s="7">
        <f>Table2[[#This Row],[UnitPrice]]*Table2[[#This Row],[Quantity]]*(1-Table2[[#This Row],[Discount]])</f>
        <v>139.13</v>
      </c>
      <c r="K1296" t="s">
        <v>42</v>
      </c>
      <c r="L1296" t="s">
        <v>2937</v>
      </c>
      <c r="M1296">
        <v>1</v>
      </c>
      <c r="N1296" t="s">
        <v>1340</v>
      </c>
      <c r="O1296" t="s">
        <v>2752</v>
      </c>
      <c r="P1296" s="7">
        <v>35.92</v>
      </c>
      <c r="Q1296" s="1">
        <v>45625</v>
      </c>
      <c r="R1296">
        <f>WEEKNUM(Table2[[#This Row],[OrderDate]])</f>
        <v>48</v>
      </c>
      <c r="S1296" s="1">
        <v>45628</v>
      </c>
      <c r="T1296" t="s">
        <v>2917</v>
      </c>
    </row>
    <row r="1297" spans="1:20" x14ac:dyDescent="0.35">
      <c r="A1297" s="1">
        <v>45026</v>
      </c>
      <c r="B1297" t="s">
        <v>2933</v>
      </c>
      <c r="C1297" t="s">
        <v>22</v>
      </c>
      <c r="D1297" s="9">
        <v>6</v>
      </c>
      <c r="E1297" s="7">
        <v>543.89</v>
      </c>
      <c r="F1297" t="s">
        <v>28</v>
      </c>
      <c r="G1297" t="s">
        <v>31</v>
      </c>
      <c r="H1297" s="12">
        <v>0</v>
      </c>
      <c r="I1297" t="s">
        <v>37</v>
      </c>
      <c r="J1297" s="7">
        <f>Table2[[#This Row],[UnitPrice]]*Table2[[#This Row],[Quantity]]*(1-Table2[[#This Row],[Discount]])</f>
        <v>3263.34</v>
      </c>
      <c r="K1297" t="s">
        <v>42</v>
      </c>
      <c r="L1297" t="s">
        <v>2937</v>
      </c>
      <c r="M1297">
        <v>1</v>
      </c>
      <c r="N1297" t="s">
        <v>1341</v>
      </c>
      <c r="O1297" t="s">
        <v>2753</v>
      </c>
      <c r="P1297" s="7">
        <v>13.19</v>
      </c>
      <c r="Q1297" s="1">
        <v>45026</v>
      </c>
      <c r="R1297">
        <f>WEEKNUM(Table2[[#This Row],[OrderDate]])</f>
        <v>15</v>
      </c>
      <c r="S1297" s="1">
        <v>45036</v>
      </c>
      <c r="T1297" t="s">
        <v>2921</v>
      </c>
    </row>
    <row r="1298" spans="1:20" x14ac:dyDescent="0.35">
      <c r="A1298" s="1">
        <v>45301</v>
      </c>
      <c r="B1298" t="s">
        <v>2931</v>
      </c>
      <c r="C1298" t="s">
        <v>25</v>
      </c>
      <c r="D1298" s="9">
        <v>19</v>
      </c>
      <c r="E1298" s="7">
        <v>219.7</v>
      </c>
      <c r="F1298" t="s">
        <v>27</v>
      </c>
      <c r="G1298" t="s">
        <v>31</v>
      </c>
      <c r="H1298" s="12">
        <v>0</v>
      </c>
      <c r="I1298" t="s">
        <v>33</v>
      </c>
      <c r="J1298" s="7">
        <f>Table2[[#This Row],[UnitPrice]]*Table2[[#This Row],[Quantity]]*(1-Table2[[#This Row],[Discount]])</f>
        <v>4174.3</v>
      </c>
      <c r="K1298" t="s">
        <v>42</v>
      </c>
      <c r="L1298" t="s">
        <v>43</v>
      </c>
      <c r="M1298">
        <v>0</v>
      </c>
      <c r="N1298" t="s">
        <v>1342</v>
      </c>
      <c r="O1298" t="s">
        <v>2754</v>
      </c>
      <c r="P1298" s="7">
        <v>15.38</v>
      </c>
      <c r="Q1298" s="1">
        <v>45301</v>
      </c>
      <c r="R1298">
        <f>WEEKNUM(Table2[[#This Row],[OrderDate]])</f>
        <v>2</v>
      </c>
      <c r="S1298" s="1">
        <v>45307</v>
      </c>
      <c r="T1298" t="s">
        <v>2919</v>
      </c>
    </row>
    <row r="1299" spans="1:20" x14ac:dyDescent="0.35">
      <c r="A1299" s="1">
        <v>45794</v>
      </c>
      <c r="B1299" t="s">
        <v>2932</v>
      </c>
      <c r="C1299" t="s">
        <v>20</v>
      </c>
      <c r="D1299" s="9">
        <v>6</v>
      </c>
      <c r="E1299" s="7">
        <v>94.34</v>
      </c>
      <c r="F1299" t="s">
        <v>28</v>
      </c>
      <c r="G1299" t="s">
        <v>31</v>
      </c>
      <c r="H1299" s="12">
        <v>0.05</v>
      </c>
      <c r="I1299" t="s">
        <v>33</v>
      </c>
      <c r="J1299" s="7">
        <f>Table2[[#This Row],[UnitPrice]]*Table2[[#This Row],[Quantity]]*(1-Table2[[#This Row],[Discount]])</f>
        <v>537.73799999999994</v>
      </c>
      <c r="K1299" t="s">
        <v>42</v>
      </c>
      <c r="L1299" t="s">
        <v>45</v>
      </c>
      <c r="M1299">
        <v>1</v>
      </c>
      <c r="N1299" t="s">
        <v>1343</v>
      </c>
      <c r="O1299" t="s">
        <v>2755</v>
      </c>
      <c r="P1299" s="7">
        <v>49.26</v>
      </c>
      <c r="Q1299" s="1">
        <v>45794</v>
      </c>
      <c r="R1299">
        <f>WEEKNUM(Table2[[#This Row],[OrderDate]])</f>
        <v>20</v>
      </c>
      <c r="S1299" s="1">
        <v>45800</v>
      </c>
      <c r="T1299" t="s">
        <v>2918</v>
      </c>
    </row>
    <row r="1300" spans="1:20" x14ac:dyDescent="0.35">
      <c r="A1300" s="1">
        <v>45499</v>
      </c>
      <c r="B1300" t="s">
        <v>2934</v>
      </c>
      <c r="C1300" t="s">
        <v>19</v>
      </c>
      <c r="D1300" s="9">
        <v>9</v>
      </c>
      <c r="E1300" s="7">
        <v>486.58</v>
      </c>
      <c r="F1300" t="s">
        <v>27</v>
      </c>
      <c r="G1300" t="s">
        <v>31</v>
      </c>
      <c r="H1300" s="12">
        <v>0.15</v>
      </c>
      <c r="I1300" t="s">
        <v>33</v>
      </c>
      <c r="J1300" s="7">
        <f>Table2[[#This Row],[UnitPrice]]*Table2[[#This Row],[Quantity]]*(1-Table2[[#This Row],[Discount]])</f>
        <v>3722.337</v>
      </c>
      <c r="K1300" t="s">
        <v>38</v>
      </c>
      <c r="L1300" t="s">
        <v>43</v>
      </c>
      <c r="M1300">
        <v>0</v>
      </c>
      <c r="N1300" t="s">
        <v>1344</v>
      </c>
      <c r="O1300" t="s">
        <v>2756</v>
      </c>
      <c r="P1300" s="7">
        <v>38.72</v>
      </c>
      <c r="Q1300" s="1">
        <v>45499</v>
      </c>
      <c r="R1300">
        <f>WEEKNUM(Table2[[#This Row],[OrderDate]])</f>
        <v>30</v>
      </c>
      <c r="S1300" s="1">
        <v>45503</v>
      </c>
      <c r="T1300" t="s">
        <v>2920</v>
      </c>
    </row>
    <row r="1301" spans="1:20" x14ac:dyDescent="0.35">
      <c r="A1301" s="1">
        <v>45652</v>
      </c>
      <c r="B1301" t="s">
        <v>2932</v>
      </c>
      <c r="C1301" t="s">
        <v>21</v>
      </c>
      <c r="D1301" s="9">
        <v>12</v>
      </c>
      <c r="E1301" s="7">
        <v>578.86</v>
      </c>
      <c r="F1301" t="s">
        <v>29</v>
      </c>
      <c r="G1301" t="s">
        <v>31</v>
      </c>
      <c r="H1301" s="12">
        <v>0.15</v>
      </c>
      <c r="I1301" t="s">
        <v>34</v>
      </c>
      <c r="J1301" s="7">
        <f>Table2[[#This Row],[UnitPrice]]*Table2[[#This Row],[Quantity]]*(1-Table2[[#This Row],[Discount]])</f>
        <v>5904.3719999999994</v>
      </c>
      <c r="K1301" t="s">
        <v>42</v>
      </c>
      <c r="L1301" t="s">
        <v>43</v>
      </c>
      <c r="M1301">
        <v>0</v>
      </c>
      <c r="N1301" t="s">
        <v>1345</v>
      </c>
      <c r="O1301" t="s">
        <v>2757</v>
      </c>
      <c r="P1301" s="7">
        <v>25.84</v>
      </c>
      <c r="Q1301" s="1">
        <v>45652</v>
      </c>
      <c r="R1301">
        <f>WEEKNUM(Table2[[#This Row],[OrderDate]])</f>
        <v>52</v>
      </c>
      <c r="S1301" s="1">
        <v>45660</v>
      </c>
      <c r="T1301" t="s">
        <v>2918</v>
      </c>
    </row>
    <row r="1302" spans="1:20" x14ac:dyDescent="0.35">
      <c r="A1302" s="1">
        <v>45680</v>
      </c>
      <c r="B1302" t="s">
        <v>2930</v>
      </c>
      <c r="C1302" t="s">
        <v>24</v>
      </c>
      <c r="D1302" s="9">
        <v>7</v>
      </c>
      <c r="E1302" s="7">
        <v>196.88</v>
      </c>
      <c r="F1302" t="s">
        <v>28</v>
      </c>
      <c r="G1302" t="s">
        <v>31</v>
      </c>
      <c r="H1302" s="12">
        <v>0</v>
      </c>
      <c r="I1302" t="s">
        <v>36</v>
      </c>
      <c r="J1302" s="7">
        <f>Table2[[#This Row],[UnitPrice]]*Table2[[#This Row],[Quantity]]*(1-Table2[[#This Row],[Discount]])</f>
        <v>1378.1599999999999</v>
      </c>
      <c r="K1302" t="s">
        <v>41</v>
      </c>
      <c r="L1302" t="s">
        <v>44</v>
      </c>
      <c r="M1302">
        <v>0</v>
      </c>
      <c r="N1302" t="s">
        <v>1346</v>
      </c>
      <c r="O1302" t="s">
        <v>2065</v>
      </c>
      <c r="P1302" s="7">
        <v>44.92</v>
      </c>
      <c r="Q1302" s="1">
        <v>45680</v>
      </c>
      <c r="R1302">
        <f>WEEKNUM(Table2[[#This Row],[OrderDate]])</f>
        <v>4</v>
      </c>
      <c r="S1302" s="1">
        <v>45688</v>
      </c>
      <c r="T1302" t="s">
        <v>2917</v>
      </c>
    </row>
    <row r="1303" spans="1:20" x14ac:dyDescent="0.35">
      <c r="A1303" s="1">
        <v>45376</v>
      </c>
      <c r="B1303" t="s">
        <v>2932</v>
      </c>
      <c r="C1303" t="s">
        <v>20</v>
      </c>
      <c r="D1303" s="9">
        <v>7</v>
      </c>
      <c r="E1303" s="7">
        <v>446.32</v>
      </c>
      <c r="F1303" t="s">
        <v>26</v>
      </c>
      <c r="G1303" t="s">
        <v>30</v>
      </c>
      <c r="H1303" s="12">
        <v>0.1</v>
      </c>
      <c r="I1303" t="s">
        <v>33</v>
      </c>
      <c r="J1303" s="7">
        <f>Table2[[#This Row],[UnitPrice]]*Table2[[#This Row],[Quantity]]*(1-Table2[[#This Row],[Discount]])</f>
        <v>2811.8159999999998</v>
      </c>
      <c r="K1303" t="s">
        <v>41</v>
      </c>
      <c r="L1303" t="s">
        <v>2937</v>
      </c>
      <c r="M1303">
        <v>0</v>
      </c>
      <c r="N1303" t="s">
        <v>1347</v>
      </c>
      <c r="O1303" t="s">
        <v>2758</v>
      </c>
      <c r="P1303" s="7">
        <v>47.23</v>
      </c>
      <c r="Q1303" s="1">
        <v>45376</v>
      </c>
      <c r="R1303">
        <f>WEEKNUM(Table2[[#This Row],[OrderDate]])</f>
        <v>13</v>
      </c>
      <c r="S1303" s="1">
        <v>45383</v>
      </c>
      <c r="T1303" t="s">
        <v>2918</v>
      </c>
    </row>
    <row r="1304" spans="1:20" x14ac:dyDescent="0.35">
      <c r="A1304" s="1">
        <v>45720</v>
      </c>
      <c r="B1304" t="s">
        <v>2934</v>
      </c>
      <c r="C1304" t="s">
        <v>24</v>
      </c>
      <c r="D1304" s="9">
        <v>11</v>
      </c>
      <c r="E1304" s="7">
        <v>447.38</v>
      </c>
      <c r="F1304" t="s">
        <v>29</v>
      </c>
      <c r="G1304" t="s">
        <v>30</v>
      </c>
      <c r="H1304" s="12">
        <v>0</v>
      </c>
      <c r="I1304" t="s">
        <v>33</v>
      </c>
      <c r="J1304" s="7">
        <f>Table2[[#This Row],[UnitPrice]]*Table2[[#This Row],[Quantity]]*(1-Table2[[#This Row],[Discount]])</f>
        <v>4921.18</v>
      </c>
      <c r="K1304" t="s">
        <v>39</v>
      </c>
      <c r="L1304" t="s">
        <v>44</v>
      </c>
      <c r="M1304">
        <v>0</v>
      </c>
      <c r="N1304" t="s">
        <v>1348</v>
      </c>
      <c r="O1304" t="s">
        <v>2097</v>
      </c>
      <c r="P1304" s="7">
        <v>36.72</v>
      </c>
      <c r="Q1304" s="1">
        <v>45720</v>
      </c>
      <c r="R1304">
        <f>WEEKNUM(Table2[[#This Row],[OrderDate]])</f>
        <v>10</v>
      </c>
      <c r="S1304" s="1">
        <v>45727</v>
      </c>
      <c r="T1304" t="s">
        <v>2920</v>
      </c>
    </row>
    <row r="1305" spans="1:20" x14ac:dyDescent="0.35">
      <c r="A1305" s="1">
        <v>45219</v>
      </c>
      <c r="B1305" t="s">
        <v>2932</v>
      </c>
      <c r="C1305" t="s">
        <v>21</v>
      </c>
      <c r="D1305" s="9">
        <v>14</v>
      </c>
      <c r="E1305" s="7">
        <v>275.33999999999997</v>
      </c>
      <c r="F1305" t="s">
        <v>26</v>
      </c>
      <c r="G1305" t="s">
        <v>31</v>
      </c>
      <c r="H1305" s="12">
        <v>0.1</v>
      </c>
      <c r="I1305" t="s">
        <v>35</v>
      </c>
      <c r="J1305" s="7">
        <f>Table2[[#This Row],[UnitPrice]]*Table2[[#This Row],[Quantity]]*(1-Table2[[#This Row],[Discount]])</f>
        <v>3469.2839999999997</v>
      </c>
      <c r="K1305" t="s">
        <v>38</v>
      </c>
      <c r="L1305" t="s">
        <v>2937</v>
      </c>
      <c r="M1305">
        <v>1</v>
      </c>
      <c r="N1305" t="s">
        <v>1349</v>
      </c>
      <c r="O1305" t="s">
        <v>2759</v>
      </c>
      <c r="P1305" s="7">
        <v>32.799999999999997</v>
      </c>
      <c r="Q1305" s="1">
        <v>45219</v>
      </c>
      <c r="R1305">
        <f>WEEKNUM(Table2[[#This Row],[OrderDate]])</f>
        <v>42</v>
      </c>
      <c r="S1305" s="1">
        <v>45223</v>
      </c>
      <c r="T1305" t="s">
        <v>2918</v>
      </c>
    </row>
    <row r="1306" spans="1:20" x14ac:dyDescent="0.35">
      <c r="A1306" s="1">
        <v>45554</v>
      </c>
      <c r="B1306" t="s">
        <v>2934</v>
      </c>
      <c r="C1306" t="s">
        <v>21</v>
      </c>
      <c r="D1306" s="9">
        <v>2</v>
      </c>
      <c r="E1306" s="7">
        <v>27.64</v>
      </c>
      <c r="F1306" t="s">
        <v>26</v>
      </c>
      <c r="G1306" t="s">
        <v>31</v>
      </c>
      <c r="H1306" s="12">
        <v>0.15</v>
      </c>
      <c r="I1306" t="s">
        <v>34</v>
      </c>
      <c r="J1306" s="7">
        <f>Table2[[#This Row],[UnitPrice]]*Table2[[#This Row],[Quantity]]*(1-Table2[[#This Row],[Discount]])</f>
        <v>46.988</v>
      </c>
      <c r="K1306" t="s">
        <v>40</v>
      </c>
      <c r="L1306" t="s">
        <v>43</v>
      </c>
      <c r="M1306">
        <v>0</v>
      </c>
      <c r="N1306" t="s">
        <v>1350</v>
      </c>
      <c r="O1306" t="s">
        <v>2760</v>
      </c>
      <c r="P1306" s="7">
        <v>21.73</v>
      </c>
      <c r="Q1306" s="1">
        <v>45554</v>
      </c>
      <c r="R1306">
        <f>WEEKNUM(Table2[[#This Row],[OrderDate]])</f>
        <v>38</v>
      </c>
      <c r="S1306" s="1">
        <v>45563</v>
      </c>
      <c r="T1306" t="s">
        <v>2920</v>
      </c>
    </row>
    <row r="1307" spans="1:20" x14ac:dyDescent="0.35">
      <c r="A1307" s="1">
        <v>45192</v>
      </c>
      <c r="B1307" t="s">
        <v>2931</v>
      </c>
      <c r="C1307" t="s">
        <v>23</v>
      </c>
      <c r="D1307" s="9">
        <v>17</v>
      </c>
      <c r="E1307" s="7">
        <v>439.3</v>
      </c>
      <c r="F1307" t="s">
        <v>26</v>
      </c>
      <c r="G1307" t="s">
        <v>31</v>
      </c>
      <c r="H1307" s="12">
        <v>0</v>
      </c>
      <c r="I1307" t="s">
        <v>34</v>
      </c>
      <c r="J1307" s="7">
        <f>Table2[[#This Row],[UnitPrice]]*Table2[[#This Row],[Quantity]]*(1-Table2[[#This Row],[Discount]])</f>
        <v>7468.1</v>
      </c>
      <c r="K1307" t="s">
        <v>38</v>
      </c>
      <c r="L1307" t="s">
        <v>43</v>
      </c>
      <c r="M1307">
        <v>0</v>
      </c>
      <c r="N1307" t="s">
        <v>1351</v>
      </c>
      <c r="O1307" t="s">
        <v>2761</v>
      </c>
      <c r="P1307" s="7">
        <v>12.87</v>
      </c>
      <c r="Q1307" s="1">
        <v>45192</v>
      </c>
      <c r="R1307">
        <f>WEEKNUM(Table2[[#This Row],[OrderDate]])</f>
        <v>38</v>
      </c>
      <c r="S1307" s="1">
        <v>45195</v>
      </c>
      <c r="T1307" t="s">
        <v>2919</v>
      </c>
    </row>
    <row r="1308" spans="1:20" x14ac:dyDescent="0.35">
      <c r="A1308" s="1">
        <v>45657</v>
      </c>
      <c r="B1308" t="s">
        <v>2930</v>
      </c>
      <c r="C1308" t="s">
        <v>25</v>
      </c>
      <c r="D1308" s="9">
        <v>15</v>
      </c>
      <c r="E1308" s="7">
        <v>573.80999999999995</v>
      </c>
      <c r="F1308" t="s">
        <v>28</v>
      </c>
      <c r="G1308" t="s">
        <v>31</v>
      </c>
      <c r="H1308" s="12">
        <v>0</v>
      </c>
      <c r="I1308" t="s">
        <v>33</v>
      </c>
      <c r="J1308" s="7">
        <f>Table2[[#This Row],[UnitPrice]]*Table2[[#This Row],[Quantity]]*(1-Table2[[#This Row],[Discount]])</f>
        <v>8607.15</v>
      </c>
      <c r="K1308" t="s">
        <v>39</v>
      </c>
      <c r="L1308" t="s">
        <v>44</v>
      </c>
      <c r="M1308">
        <v>0</v>
      </c>
      <c r="N1308" t="s">
        <v>1352</v>
      </c>
      <c r="O1308" t="s">
        <v>2164</v>
      </c>
      <c r="P1308" s="7">
        <v>35.869999999999997</v>
      </c>
      <c r="Q1308" s="1">
        <v>45657</v>
      </c>
      <c r="R1308">
        <f>WEEKNUM(Table2[[#This Row],[OrderDate]])</f>
        <v>53</v>
      </c>
      <c r="S1308" s="1">
        <v>45659</v>
      </c>
      <c r="T1308" t="s">
        <v>2917</v>
      </c>
    </row>
    <row r="1309" spans="1:20" x14ac:dyDescent="0.35">
      <c r="A1309" s="1">
        <v>45314</v>
      </c>
      <c r="B1309" t="s">
        <v>2931</v>
      </c>
      <c r="C1309" t="s">
        <v>21</v>
      </c>
      <c r="D1309" s="9">
        <v>19</v>
      </c>
      <c r="E1309" s="7">
        <v>360.06</v>
      </c>
      <c r="F1309" t="s">
        <v>28</v>
      </c>
      <c r="G1309" t="s">
        <v>30</v>
      </c>
      <c r="H1309" s="12">
        <v>0.05</v>
      </c>
      <c r="I1309" t="s">
        <v>32</v>
      </c>
      <c r="J1309" s="7">
        <f>Table2[[#This Row],[UnitPrice]]*Table2[[#This Row],[Quantity]]*(1-Table2[[#This Row],[Discount]])</f>
        <v>6499.0829999999996</v>
      </c>
      <c r="K1309" t="s">
        <v>41</v>
      </c>
      <c r="L1309" t="s">
        <v>43</v>
      </c>
      <c r="M1309">
        <v>0</v>
      </c>
      <c r="N1309" t="s">
        <v>1353</v>
      </c>
      <c r="O1309" t="s">
        <v>2426</v>
      </c>
      <c r="P1309" s="7">
        <v>33.19</v>
      </c>
      <c r="Q1309" s="1">
        <v>45314</v>
      </c>
      <c r="R1309">
        <f>WEEKNUM(Table2[[#This Row],[OrderDate]])</f>
        <v>4</v>
      </c>
      <c r="S1309" s="1">
        <v>45322</v>
      </c>
      <c r="T1309" t="s">
        <v>2919</v>
      </c>
    </row>
    <row r="1310" spans="1:20" x14ac:dyDescent="0.35">
      <c r="A1310" s="1">
        <v>45090</v>
      </c>
      <c r="B1310" t="s">
        <v>2930</v>
      </c>
      <c r="C1310" t="s">
        <v>19</v>
      </c>
      <c r="D1310" s="9">
        <v>7</v>
      </c>
      <c r="E1310" s="7">
        <v>535.20000000000005</v>
      </c>
      <c r="F1310" t="s">
        <v>28</v>
      </c>
      <c r="G1310" t="s">
        <v>31</v>
      </c>
      <c r="H1310" s="12">
        <v>0.1</v>
      </c>
      <c r="I1310" t="s">
        <v>34</v>
      </c>
      <c r="J1310" s="7">
        <f>Table2[[#This Row],[UnitPrice]]*Table2[[#This Row],[Quantity]]*(1-Table2[[#This Row],[Discount]])</f>
        <v>3371.7600000000007</v>
      </c>
      <c r="K1310" t="s">
        <v>41</v>
      </c>
      <c r="L1310" t="s">
        <v>2937</v>
      </c>
      <c r="M1310">
        <v>0</v>
      </c>
      <c r="N1310" t="s">
        <v>1354</v>
      </c>
      <c r="O1310" t="s">
        <v>2762</v>
      </c>
      <c r="P1310" s="7">
        <v>10.44</v>
      </c>
      <c r="Q1310" s="1">
        <v>45090</v>
      </c>
      <c r="R1310">
        <f>WEEKNUM(Table2[[#This Row],[OrderDate]])</f>
        <v>24</v>
      </c>
      <c r="S1310" s="1">
        <v>45100</v>
      </c>
      <c r="T1310" t="s">
        <v>2917</v>
      </c>
    </row>
    <row r="1311" spans="1:20" x14ac:dyDescent="0.35">
      <c r="A1311" s="1">
        <v>45108</v>
      </c>
      <c r="B1311" t="s">
        <v>2930</v>
      </c>
      <c r="C1311" t="s">
        <v>22</v>
      </c>
      <c r="D1311" s="9">
        <v>19</v>
      </c>
      <c r="E1311" s="7">
        <v>161.13</v>
      </c>
      <c r="F1311" t="s">
        <v>27</v>
      </c>
      <c r="G1311" t="s">
        <v>30</v>
      </c>
      <c r="H1311" s="12">
        <v>0</v>
      </c>
      <c r="I1311" t="s">
        <v>36</v>
      </c>
      <c r="J1311" s="7">
        <f>Table2[[#This Row],[UnitPrice]]*Table2[[#This Row],[Quantity]]*(1-Table2[[#This Row],[Discount]])</f>
        <v>3061.47</v>
      </c>
      <c r="K1311" t="s">
        <v>40</v>
      </c>
      <c r="L1311" t="s">
        <v>43</v>
      </c>
      <c r="M1311">
        <v>0</v>
      </c>
      <c r="N1311" t="s">
        <v>1355</v>
      </c>
      <c r="O1311" t="s">
        <v>2763</v>
      </c>
      <c r="P1311" s="7">
        <v>5.46</v>
      </c>
      <c r="Q1311" s="1">
        <v>45108</v>
      </c>
      <c r="R1311">
        <f>WEEKNUM(Table2[[#This Row],[OrderDate]])</f>
        <v>26</v>
      </c>
      <c r="S1311" s="1">
        <v>45113</v>
      </c>
      <c r="T1311" t="s">
        <v>2917</v>
      </c>
    </row>
    <row r="1312" spans="1:20" x14ac:dyDescent="0.35">
      <c r="A1312" s="1">
        <v>45738</v>
      </c>
      <c r="B1312" t="s">
        <v>2932</v>
      </c>
      <c r="C1312" t="s">
        <v>19</v>
      </c>
      <c r="D1312" s="9">
        <v>11</v>
      </c>
      <c r="E1312" s="7">
        <v>29.6</v>
      </c>
      <c r="F1312" t="s">
        <v>29</v>
      </c>
      <c r="G1312" t="s">
        <v>31</v>
      </c>
      <c r="H1312" s="12">
        <v>0.15</v>
      </c>
      <c r="I1312" t="s">
        <v>35</v>
      </c>
      <c r="J1312" s="7">
        <f>Table2[[#This Row],[UnitPrice]]*Table2[[#This Row],[Quantity]]*(1-Table2[[#This Row],[Discount]])</f>
        <v>276.76</v>
      </c>
      <c r="K1312" t="s">
        <v>42</v>
      </c>
      <c r="L1312" t="s">
        <v>43</v>
      </c>
      <c r="M1312">
        <v>1</v>
      </c>
      <c r="N1312" t="s">
        <v>1356</v>
      </c>
      <c r="O1312" t="s">
        <v>2764</v>
      </c>
      <c r="P1312" s="7">
        <v>34.96</v>
      </c>
      <c r="Q1312" s="1">
        <v>45738</v>
      </c>
      <c r="R1312">
        <f>WEEKNUM(Table2[[#This Row],[OrderDate]])</f>
        <v>12</v>
      </c>
      <c r="S1312" s="1">
        <v>45741</v>
      </c>
      <c r="T1312" t="s">
        <v>2918</v>
      </c>
    </row>
    <row r="1313" spans="1:20" x14ac:dyDescent="0.35">
      <c r="A1313" s="1">
        <v>45695</v>
      </c>
      <c r="B1313" t="s">
        <v>2932</v>
      </c>
      <c r="C1313" t="s">
        <v>19</v>
      </c>
      <c r="D1313" s="9">
        <v>16</v>
      </c>
      <c r="E1313" s="7">
        <v>172.89</v>
      </c>
      <c r="F1313" t="s">
        <v>26</v>
      </c>
      <c r="G1313" t="s">
        <v>30</v>
      </c>
      <c r="H1313" s="12">
        <v>0.15</v>
      </c>
      <c r="I1313" t="s">
        <v>36</v>
      </c>
      <c r="J1313" s="7">
        <f>Table2[[#This Row],[UnitPrice]]*Table2[[#This Row],[Quantity]]*(1-Table2[[#This Row],[Discount]])</f>
        <v>2351.3039999999996</v>
      </c>
      <c r="K1313" t="s">
        <v>40</v>
      </c>
      <c r="L1313" t="s">
        <v>43</v>
      </c>
      <c r="M1313">
        <v>1</v>
      </c>
      <c r="N1313" t="s">
        <v>1357</v>
      </c>
      <c r="O1313" t="s">
        <v>2765</v>
      </c>
      <c r="P1313" s="7">
        <v>41.87</v>
      </c>
      <c r="Q1313" s="1">
        <v>45695</v>
      </c>
      <c r="R1313">
        <f>WEEKNUM(Table2[[#This Row],[OrderDate]])</f>
        <v>6</v>
      </c>
      <c r="S1313" s="1">
        <v>45703</v>
      </c>
      <c r="T1313" t="s">
        <v>2918</v>
      </c>
    </row>
    <row r="1314" spans="1:20" x14ac:dyDescent="0.35">
      <c r="A1314" s="1">
        <v>45217</v>
      </c>
      <c r="B1314" t="s">
        <v>2931</v>
      </c>
      <c r="C1314" t="s">
        <v>20</v>
      </c>
      <c r="D1314" s="9">
        <v>5</v>
      </c>
      <c r="E1314" s="7">
        <v>48.06</v>
      </c>
      <c r="F1314" t="s">
        <v>27</v>
      </c>
      <c r="G1314" t="s">
        <v>30</v>
      </c>
      <c r="H1314" s="12">
        <v>0</v>
      </c>
      <c r="I1314" t="s">
        <v>33</v>
      </c>
      <c r="J1314" s="7">
        <f>Table2[[#This Row],[UnitPrice]]*Table2[[#This Row],[Quantity]]*(1-Table2[[#This Row],[Discount]])</f>
        <v>240.3</v>
      </c>
      <c r="K1314" t="s">
        <v>39</v>
      </c>
      <c r="L1314" t="s">
        <v>43</v>
      </c>
      <c r="M1314">
        <v>0</v>
      </c>
      <c r="N1314" t="s">
        <v>1358</v>
      </c>
      <c r="O1314" t="s">
        <v>2766</v>
      </c>
      <c r="P1314" s="7">
        <v>19.170000000000002</v>
      </c>
      <c r="Q1314" s="1">
        <v>45217</v>
      </c>
      <c r="R1314">
        <f>WEEKNUM(Table2[[#This Row],[OrderDate]])</f>
        <v>42</v>
      </c>
      <c r="S1314" s="1">
        <v>45225</v>
      </c>
      <c r="T1314" t="s">
        <v>2919</v>
      </c>
    </row>
    <row r="1315" spans="1:20" x14ac:dyDescent="0.35">
      <c r="A1315" s="1">
        <v>45293</v>
      </c>
      <c r="B1315" t="s">
        <v>2934</v>
      </c>
      <c r="C1315" t="s">
        <v>21</v>
      </c>
      <c r="D1315" s="9">
        <v>7</v>
      </c>
      <c r="E1315" s="7">
        <v>55.76</v>
      </c>
      <c r="F1315" t="s">
        <v>28</v>
      </c>
      <c r="G1315" t="s">
        <v>30</v>
      </c>
      <c r="H1315" s="12">
        <v>0.1</v>
      </c>
      <c r="I1315" t="s">
        <v>33</v>
      </c>
      <c r="J1315" s="7">
        <f>Table2[[#This Row],[UnitPrice]]*Table2[[#This Row],[Quantity]]*(1-Table2[[#This Row],[Discount]])</f>
        <v>351.28800000000001</v>
      </c>
      <c r="K1315" t="s">
        <v>38</v>
      </c>
      <c r="L1315" t="s">
        <v>2937</v>
      </c>
      <c r="M1315">
        <v>0</v>
      </c>
      <c r="N1315" t="s">
        <v>1359</v>
      </c>
      <c r="O1315" t="s">
        <v>2767</v>
      </c>
      <c r="P1315" s="7">
        <v>38.979999999999997</v>
      </c>
      <c r="Q1315" s="1">
        <v>45293</v>
      </c>
      <c r="R1315">
        <f>WEEKNUM(Table2[[#This Row],[OrderDate]])</f>
        <v>1</v>
      </c>
      <c r="S1315" s="1">
        <v>45302</v>
      </c>
      <c r="T1315" t="s">
        <v>2920</v>
      </c>
    </row>
    <row r="1316" spans="1:20" x14ac:dyDescent="0.35">
      <c r="A1316" s="1">
        <v>45724</v>
      </c>
      <c r="B1316" t="s">
        <v>2932</v>
      </c>
      <c r="C1316" t="s">
        <v>19</v>
      </c>
      <c r="D1316" s="9">
        <v>4</v>
      </c>
      <c r="E1316" s="7">
        <v>24.58</v>
      </c>
      <c r="F1316" t="s">
        <v>26</v>
      </c>
      <c r="G1316" t="s">
        <v>30</v>
      </c>
      <c r="H1316" s="12">
        <v>0.15</v>
      </c>
      <c r="I1316" t="s">
        <v>35</v>
      </c>
      <c r="J1316" s="7">
        <f>Table2[[#This Row],[UnitPrice]]*Table2[[#This Row],[Quantity]]*(1-Table2[[#This Row],[Discount]])</f>
        <v>83.571999999999989</v>
      </c>
      <c r="K1316" t="s">
        <v>41</v>
      </c>
      <c r="L1316" t="s">
        <v>45</v>
      </c>
      <c r="M1316">
        <v>0</v>
      </c>
      <c r="N1316" t="s">
        <v>1360</v>
      </c>
      <c r="O1316" t="s">
        <v>2768</v>
      </c>
      <c r="P1316" s="7">
        <v>39.869999999999997</v>
      </c>
      <c r="Q1316" s="1">
        <v>45724</v>
      </c>
      <c r="R1316">
        <f>WEEKNUM(Table2[[#This Row],[OrderDate]])</f>
        <v>10</v>
      </c>
      <c r="S1316" s="1">
        <v>45733</v>
      </c>
      <c r="T1316" t="s">
        <v>2918</v>
      </c>
    </row>
    <row r="1317" spans="1:20" x14ac:dyDescent="0.35">
      <c r="A1317" s="1">
        <v>45110</v>
      </c>
      <c r="B1317" t="s">
        <v>2933</v>
      </c>
      <c r="C1317" t="s">
        <v>21</v>
      </c>
      <c r="D1317" s="9">
        <v>2</v>
      </c>
      <c r="E1317" s="7">
        <v>504.82</v>
      </c>
      <c r="F1317" t="s">
        <v>29</v>
      </c>
      <c r="G1317" t="s">
        <v>31</v>
      </c>
      <c r="H1317" s="12">
        <v>0</v>
      </c>
      <c r="I1317" t="s">
        <v>35</v>
      </c>
      <c r="J1317" s="7">
        <f>Table2[[#This Row],[UnitPrice]]*Table2[[#This Row],[Quantity]]*(1-Table2[[#This Row],[Discount]])</f>
        <v>1009.64</v>
      </c>
      <c r="K1317" t="s">
        <v>41</v>
      </c>
      <c r="L1317" t="s">
        <v>43</v>
      </c>
      <c r="M1317">
        <v>0</v>
      </c>
      <c r="N1317" t="s">
        <v>1361</v>
      </c>
      <c r="O1317" t="s">
        <v>2769</v>
      </c>
      <c r="P1317" s="7">
        <v>25.54</v>
      </c>
      <c r="Q1317" s="1">
        <v>45110</v>
      </c>
      <c r="R1317">
        <f>WEEKNUM(Table2[[#This Row],[OrderDate]])</f>
        <v>27</v>
      </c>
      <c r="S1317" s="1">
        <v>45115</v>
      </c>
      <c r="T1317" t="s">
        <v>2921</v>
      </c>
    </row>
    <row r="1318" spans="1:20" x14ac:dyDescent="0.35">
      <c r="A1318" s="1">
        <v>45245</v>
      </c>
      <c r="B1318" t="s">
        <v>2931</v>
      </c>
      <c r="C1318" t="s">
        <v>24</v>
      </c>
      <c r="D1318" s="9">
        <v>17</v>
      </c>
      <c r="E1318" s="7">
        <v>275.89</v>
      </c>
      <c r="F1318" t="s">
        <v>26</v>
      </c>
      <c r="G1318" t="s">
        <v>30</v>
      </c>
      <c r="H1318" s="12">
        <v>0.1</v>
      </c>
      <c r="I1318" t="s">
        <v>37</v>
      </c>
      <c r="J1318" s="7">
        <f>Table2[[#This Row],[UnitPrice]]*Table2[[#This Row],[Quantity]]*(1-Table2[[#This Row],[Discount]])</f>
        <v>4221.1170000000002</v>
      </c>
      <c r="K1318" t="s">
        <v>39</v>
      </c>
      <c r="L1318" t="s">
        <v>43</v>
      </c>
      <c r="M1318">
        <v>0</v>
      </c>
      <c r="N1318" t="s">
        <v>1362</v>
      </c>
      <c r="O1318" t="s">
        <v>2770</v>
      </c>
      <c r="P1318" s="7">
        <v>15.43</v>
      </c>
      <c r="Q1318" s="1">
        <v>45245</v>
      </c>
      <c r="R1318">
        <f>WEEKNUM(Table2[[#This Row],[OrderDate]])</f>
        <v>46</v>
      </c>
      <c r="S1318" s="1">
        <v>45252</v>
      </c>
      <c r="T1318" t="s">
        <v>2919</v>
      </c>
    </row>
    <row r="1319" spans="1:20" x14ac:dyDescent="0.35">
      <c r="A1319" s="1">
        <v>45332</v>
      </c>
      <c r="B1319" t="s">
        <v>2933</v>
      </c>
      <c r="C1319" t="s">
        <v>21</v>
      </c>
      <c r="D1319" s="9">
        <v>9</v>
      </c>
      <c r="E1319" s="7">
        <v>130.57</v>
      </c>
      <c r="F1319" t="s">
        <v>28</v>
      </c>
      <c r="G1319" t="s">
        <v>30</v>
      </c>
      <c r="H1319" s="12">
        <v>0.1</v>
      </c>
      <c r="I1319" t="s">
        <v>32</v>
      </c>
      <c r="J1319" s="7">
        <f>Table2[[#This Row],[UnitPrice]]*Table2[[#This Row],[Quantity]]*(1-Table2[[#This Row],[Discount]])</f>
        <v>1057.617</v>
      </c>
      <c r="K1319" t="s">
        <v>42</v>
      </c>
      <c r="L1319" t="s">
        <v>45</v>
      </c>
      <c r="M1319">
        <v>0</v>
      </c>
      <c r="N1319" t="s">
        <v>1363</v>
      </c>
      <c r="O1319" t="s">
        <v>2771</v>
      </c>
      <c r="P1319" s="7">
        <v>37.14</v>
      </c>
      <c r="Q1319" s="1">
        <v>45332</v>
      </c>
      <c r="R1319">
        <f>WEEKNUM(Table2[[#This Row],[OrderDate]])</f>
        <v>6</v>
      </c>
      <c r="S1319" s="1">
        <v>45339</v>
      </c>
      <c r="T1319" t="s">
        <v>2921</v>
      </c>
    </row>
    <row r="1320" spans="1:20" x14ac:dyDescent="0.35">
      <c r="A1320" s="1">
        <v>45756</v>
      </c>
      <c r="B1320" t="s">
        <v>2933</v>
      </c>
      <c r="C1320" t="s">
        <v>23</v>
      </c>
      <c r="D1320" s="9">
        <v>12</v>
      </c>
      <c r="E1320" s="7">
        <v>312.72000000000003</v>
      </c>
      <c r="F1320" t="s">
        <v>28</v>
      </c>
      <c r="G1320" t="s">
        <v>31</v>
      </c>
      <c r="H1320" s="12">
        <v>0</v>
      </c>
      <c r="I1320" t="s">
        <v>32</v>
      </c>
      <c r="J1320" s="7">
        <f>Table2[[#This Row],[UnitPrice]]*Table2[[#This Row],[Quantity]]*(1-Table2[[#This Row],[Discount]])</f>
        <v>3752.6400000000003</v>
      </c>
      <c r="K1320" t="s">
        <v>39</v>
      </c>
      <c r="L1320" t="s">
        <v>2937</v>
      </c>
      <c r="M1320">
        <v>0</v>
      </c>
      <c r="N1320" t="s">
        <v>1364</v>
      </c>
      <c r="O1320" t="s">
        <v>2014</v>
      </c>
      <c r="P1320" s="7">
        <v>18.46</v>
      </c>
      <c r="Q1320" s="1">
        <v>45756</v>
      </c>
      <c r="R1320">
        <f>WEEKNUM(Table2[[#This Row],[OrderDate]])</f>
        <v>15</v>
      </c>
      <c r="S1320" s="1">
        <v>45766</v>
      </c>
      <c r="T1320" t="s">
        <v>2921</v>
      </c>
    </row>
    <row r="1321" spans="1:20" x14ac:dyDescent="0.35">
      <c r="A1321" s="1">
        <v>45178</v>
      </c>
      <c r="B1321" t="s">
        <v>2933</v>
      </c>
      <c r="C1321" t="s">
        <v>24</v>
      </c>
      <c r="D1321" s="9">
        <v>18</v>
      </c>
      <c r="E1321" s="7">
        <v>222.66</v>
      </c>
      <c r="F1321" t="s">
        <v>28</v>
      </c>
      <c r="G1321" t="s">
        <v>30</v>
      </c>
      <c r="H1321" s="12">
        <v>0.05</v>
      </c>
      <c r="I1321" t="s">
        <v>33</v>
      </c>
      <c r="J1321" s="7">
        <f>Table2[[#This Row],[UnitPrice]]*Table2[[#This Row],[Quantity]]*(1-Table2[[#This Row],[Discount]])</f>
        <v>3807.4859999999999</v>
      </c>
      <c r="K1321" t="s">
        <v>39</v>
      </c>
      <c r="L1321" t="s">
        <v>44</v>
      </c>
      <c r="M1321">
        <v>0</v>
      </c>
      <c r="N1321" t="s">
        <v>1365</v>
      </c>
      <c r="O1321" t="s">
        <v>2772</v>
      </c>
      <c r="P1321" s="7">
        <v>12.91</v>
      </c>
      <c r="Q1321" s="1">
        <v>45178</v>
      </c>
      <c r="R1321">
        <f>WEEKNUM(Table2[[#This Row],[OrderDate]])</f>
        <v>36</v>
      </c>
      <c r="S1321" s="1">
        <v>45181</v>
      </c>
      <c r="T1321" t="s">
        <v>2921</v>
      </c>
    </row>
    <row r="1322" spans="1:20" x14ac:dyDescent="0.35">
      <c r="A1322" s="1">
        <v>45004</v>
      </c>
      <c r="B1322" t="s">
        <v>2930</v>
      </c>
      <c r="C1322" t="s">
        <v>20</v>
      </c>
      <c r="D1322" s="9">
        <v>13</v>
      </c>
      <c r="E1322" s="7">
        <v>374.05</v>
      </c>
      <c r="F1322" t="s">
        <v>29</v>
      </c>
      <c r="G1322" t="s">
        <v>30</v>
      </c>
      <c r="H1322" s="12">
        <v>0.05</v>
      </c>
      <c r="I1322" t="s">
        <v>36</v>
      </c>
      <c r="J1322" s="7">
        <f>Table2[[#This Row],[UnitPrice]]*Table2[[#This Row],[Quantity]]*(1-Table2[[#This Row],[Discount]])</f>
        <v>4619.5174999999999</v>
      </c>
      <c r="K1322" t="s">
        <v>41</v>
      </c>
      <c r="L1322" t="s">
        <v>43</v>
      </c>
      <c r="M1322">
        <v>0</v>
      </c>
      <c r="N1322" t="s">
        <v>1366</v>
      </c>
      <c r="O1322" t="s">
        <v>2773</v>
      </c>
      <c r="P1322" s="7">
        <v>26.32</v>
      </c>
      <c r="Q1322" s="1">
        <v>45004</v>
      </c>
      <c r="R1322">
        <f>WEEKNUM(Table2[[#This Row],[OrderDate]])</f>
        <v>12</v>
      </c>
      <c r="S1322" s="1">
        <v>45011</v>
      </c>
      <c r="T1322" t="s">
        <v>2917</v>
      </c>
    </row>
    <row r="1323" spans="1:20" x14ac:dyDescent="0.35">
      <c r="A1323" s="1">
        <v>45657</v>
      </c>
      <c r="B1323" t="s">
        <v>2934</v>
      </c>
      <c r="C1323" t="s">
        <v>25</v>
      </c>
      <c r="D1323" s="9">
        <v>11</v>
      </c>
      <c r="E1323" s="7">
        <v>331.29</v>
      </c>
      <c r="F1323" t="s">
        <v>26</v>
      </c>
      <c r="G1323" t="s">
        <v>30</v>
      </c>
      <c r="H1323" s="12">
        <v>0.1</v>
      </c>
      <c r="I1323" t="s">
        <v>33</v>
      </c>
      <c r="J1323" s="7">
        <f>Table2[[#This Row],[UnitPrice]]*Table2[[#This Row],[Quantity]]*(1-Table2[[#This Row],[Discount]])</f>
        <v>3279.7710000000002</v>
      </c>
      <c r="K1323" t="s">
        <v>40</v>
      </c>
      <c r="L1323" t="s">
        <v>45</v>
      </c>
      <c r="M1323">
        <v>0</v>
      </c>
      <c r="N1323" t="s">
        <v>1367</v>
      </c>
      <c r="O1323" t="s">
        <v>2449</v>
      </c>
      <c r="P1323" s="7">
        <v>6.22</v>
      </c>
      <c r="Q1323" s="1">
        <v>45657</v>
      </c>
      <c r="R1323">
        <f>WEEKNUM(Table2[[#This Row],[OrderDate]])</f>
        <v>53</v>
      </c>
      <c r="S1323" s="1">
        <v>45659</v>
      </c>
      <c r="T1323" t="s">
        <v>2920</v>
      </c>
    </row>
    <row r="1324" spans="1:20" x14ac:dyDescent="0.35">
      <c r="A1324" s="1">
        <v>45254</v>
      </c>
      <c r="B1324" t="s">
        <v>2934</v>
      </c>
      <c r="C1324" t="s">
        <v>20</v>
      </c>
      <c r="D1324" s="9">
        <v>5</v>
      </c>
      <c r="E1324" s="7">
        <v>533.52</v>
      </c>
      <c r="F1324" t="s">
        <v>29</v>
      </c>
      <c r="G1324" t="s">
        <v>30</v>
      </c>
      <c r="H1324" s="12">
        <v>0</v>
      </c>
      <c r="I1324" t="s">
        <v>35</v>
      </c>
      <c r="J1324" s="7">
        <f>Table2[[#This Row],[UnitPrice]]*Table2[[#This Row],[Quantity]]*(1-Table2[[#This Row],[Discount]])</f>
        <v>2667.6</v>
      </c>
      <c r="K1324" t="s">
        <v>40</v>
      </c>
      <c r="L1324" t="s">
        <v>43</v>
      </c>
      <c r="M1324">
        <v>1</v>
      </c>
      <c r="N1324" t="s">
        <v>1368</v>
      </c>
      <c r="O1324" t="s">
        <v>2774</v>
      </c>
      <c r="P1324" s="7">
        <v>9.08</v>
      </c>
      <c r="Q1324" s="1">
        <v>45254</v>
      </c>
      <c r="R1324">
        <f>WEEKNUM(Table2[[#This Row],[OrderDate]])</f>
        <v>47</v>
      </c>
      <c r="S1324" s="1">
        <v>45256</v>
      </c>
      <c r="T1324" t="s">
        <v>2920</v>
      </c>
    </row>
    <row r="1325" spans="1:20" x14ac:dyDescent="0.35">
      <c r="A1325" s="1">
        <v>45792</v>
      </c>
      <c r="B1325" t="s">
        <v>2930</v>
      </c>
      <c r="C1325" t="s">
        <v>22</v>
      </c>
      <c r="D1325" s="9">
        <v>10</v>
      </c>
      <c r="E1325" s="7">
        <v>492.24</v>
      </c>
      <c r="F1325" t="s">
        <v>27</v>
      </c>
      <c r="G1325" t="s">
        <v>31</v>
      </c>
      <c r="H1325" s="12">
        <v>0</v>
      </c>
      <c r="I1325" t="s">
        <v>33</v>
      </c>
      <c r="J1325" s="7">
        <f>Table2[[#This Row],[UnitPrice]]*Table2[[#This Row],[Quantity]]*(1-Table2[[#This Row],[Discount]])</f>
        <v>4922.3999999999996</v>
      </c>
      <c r="K1325" t="s">
        <v>39</v>
      </c>
      <c r="L1325" t="s">
        <v>45</v>
      </c>
      <c r="M1325">
        <v>0</v>
      </c>
      <c r="N1325" t="s">
        <v>1369</v>
      </c>
      <c r="O1325" t="s">
        <v>2775</v>
      </c>
      <c r="P1325" s="7">
        <v>38.89</v>
      </c>
      <c r="Q1325" s="1">
        <v>45792</v>
      </c>
      <c r="R1325">
        <f>WEEKNUM(Table2[[#This Row],[OrderDate]])</f>
        <v>20</v>
      </c>
      <c r="S1325" s="1">
        <v>45799</v>
      </c>
      <c r="T1325" t="s">
        <v>2917</v>
      </c>
    </row>
    <row r="1326" spans="1:20" x14ac:dyDescent="0.35">
      <c r="A1326" s="1">
        <v>45753</v>
      </c>
      <c r="B1326" t="s">
        <v>2932</v>
      </c>
      <c r="C1326" t="s">
        <v>24</v>
      </c>
      <c r="D1326" s="9">
        <v>9</v>
      </c>
      <c r="E1326" s="7">
        <v>543.57000000000005</v>
      </c>
      <c r="F1326" t="s">
        <v>29</v>
      </c>
      <c r="G1326" t="s">
        <v>31</v>
      </c>
      <c r="H1326" s="12">
        <v>0.15</v>
      </c>
      <c r="I1326" t="s">
        <v>36</v>
      </c>
      <c r="J1326" s="7">
        <f>Table2[[#This Row],[UnitPrice]]*Table2[[#This Row],[Quantity]]*(1-Table2[[#This Row],[Discount]])</f>
        <v>4158.3104999999996</v>
      </c>
      <c r="K1326" t="s">
        <v>41</v>
      </c>
      <c r="L1326" t="s">
        <v>44</v>
      </c>
      <c r="M1326">
        <v>0</v>
      </c>
      <c r="N1326" t="s">
        <v>1370</v>
      </c>
      <c r="O1326" t="s">
        <v>2776</v>
      </c>
      <c r="P1326" s="7">
        <v>7.54</v>
      </c>
      <c r="Q1326" s="1">
        <v>45753</v>
      </c>
      <c r="R1326">
        <f>WEEKNUM(Table2[[#This Row],[OrderDate]])</f>
        <v>15</v>
      </c>
      <c r="S1326" s="1">
        <v>45758</v>
      </c>
      <c r="T1326" t="s">
        <v>2918</v>
      </c>
    </row>
    <row r="1327" spans="1:20" x14ac:dyDescent="0.35">
      <c r="A1327" s="1">
        <v>45328</v>
      </c>
      <c r="B1327" t="s">
        <v>2932</v>
      </c>
      <c r="C1327" t="s">
        <v>21</v>
      </c>
      <c r="D1327" s="9">
        <v>17</v>
      </c>
      <c r="E1327" s="7">
        <v>141.76</v>
      </c>
      <c r="F1327" t="s">
        <v>29</v>
      </c>
      <c r="G1327" t="s">
        <v>30</v>
      </c>
      <c r="H1327" s="12">
        <v>0.1</v>
      </c>
      <c r="I1327" t="s">
        <v>37</v>
      </c>
      <c r="J1327" s="7">
        <f>Table2[[#This Row],[UnitPrice]]*Table2[[#This Row],[Quantity]]*(1-Table2[[#This Row],[Discount]])</f>
        <v>2168.9280000000003</v>
      </c>
      <c r="K1327" t="s">
        <v>42</v>
      </c>
      <c r="L1327" t="s">
        <v>45</v>
      </c>
      <c r="M1327">
        <v>1</v>
      </c>
      <c r="N1327" t="s">
        <v>1371</v>
      </c>
      <c r="O1327" t="s">
        <v>2777</v>
      </c>
      <c r="P1327" s="7">
        <v>9.98</v>
      </c>
      <c r="Q1327" s="1">
        <v>45328</v>
      </c>
      <c r="R1327">
        <f>WEEKNUM(Table2[[#This Row],[OrderDate]])</f>
        <v>6</v>
      </c>
      <c r="S1327" s="1">
        <v>45336</v>
      </c>
      <c r="T1327" t="s">
        <v>2918</v>
      </c>
    </row>
    <row r="1328" spans="1:20" x14ac:dyDescent="0.35">
      <c r="A1328" s="1">
        <v>45791</v>
      </c>
      <c r="B1328" t="s">
        <v>2931</v>
      </c>
      <c r="C1328" t="s">
        <v>19</v>
      </c>
      <c r="D1328" s="9">
        <v>12</v>
      </c>
      <c r="E1328" s="7">
        <v>502.7</v>
      </c>
      <c r="F1328" t="s">
        <v>29</v>
      </c>
      <c r="G1328" t="s">
        <v>30</v>
      </c>
      <c r="H1328" s="12">
        <v>0.1</v>
      </c>
      <c r="I1328" t="s">
        <v>33</v>
      </c>
      <c r="J1328" s="7">
        <f>Table2[[#This Row],[UnitPrice]]*Table2[[#This Row],[Quantity]]*(1-Table2[[#This Row],[Discount]])</f>
        <v>5429.16</v>
      </c>
      <c r="K1328" t="s">
        <v>40</v>
      </c>
      <c r="L1328" t="s">
        <v>43</v>
      </c>
      <c r="M1328">
        <v>0</v>
      </c>
      <c r="N1328" t="s">
        <v>1372</v>
      </c>
      <c r="O1328" t="s">
        <v>2778</v>
      </c>
      <c r="P1328" s="7">
        <v>6.49</v>
      </c>
      <c r="Q1328" s="1">
        <v>45791</v>
      </c>
      <c r="R1328">
        <f>WEEKNUM(Table2[[#This Row],[OrderDate]])</f>
        <v>20</v>
      </c>
      <c r="S1328" s="1">
        <v>45797</v>
      </c>
      <c r="T1328" t="s">
        <v>2919</v>
      </c>
    </row>
    <row r="1329" spans="1:20" x14ac:dyDescent="0.35">
      <c r="A1329" s="1">
        <v>44939</v>
      </c>
      <c r="B1329" t="s">
        <v>2930</v>
      </c>
      <c r="C1329" t="s">
        <v>24</v>
      </c>
      <c r="D1329" s="9">
        <v>10</v>
      </c>
      <c r="E1329" s="7">
        <v>155.43</v>
      </c>
      <c r="F1329" t="s">
        <v>29</v>
      </c>
      <c r="G1329" t="s">
        <v>30</v>
      </c>
      <c r="H1329" s="12">
        <v>0.05</v>
      </c>
      <c r="I1329" t="s">
        <v>34</v>
      </c>
      <c r="J1329" s="7">
        <f>Table2[[#This Row],[UnitPrice]]*Table2[[#This Row],[Quantity]]*(1-Table2[[#This Row],[Discount]])</f>
        <v>1476.585</v>
      </c>
      <c r="K1329" t="s">
        <v>39</v>
      </c>
      <c r="L1329" t="s">
        <v>45</v>
      </c>
      <c r="M1329">
        <v>0</v>
      </c>
      <c r="N1329" t="s">
        <v>1373</v>
      </c>
      <c r="O1329" t="s">
        <v>2779</v>
      </c>
      <c r="P1329" s="7">
        <v>26.49</v>
      </c>
      <c r="Q1329" s="1">
        <v>44939</v>
      </c>
      <c r="R1329">
        <f>WEEKNUM(Table2[[#This Row],[OrderDate]])</f>
        <v>2</v>
      </c>
      <c r="S1329" s="1">
        <v>44944</v>
      </c>
      <c r="T1329" t="s">
        <v>2917</v>
      </c>
    </row>
    <row r="1330" spans="1:20" x14ac:dyDescent="0.35">
      <c r="A1330" s="1">
        <v>45341</v>
      </c>
      <c r="B1330" t="s">
        <v>2931</v>
      </c>
      <c r="C1330" t="s">
        <v>24</v>
      </c>
      <c r="D1330" s="9">
        <v>18</v>
      </c>
      <c r="E1330" s="7">
        <v>203.73</v>
      </c>
      <c r="F1330" t="s">
        <v>26</v>
      </c>
      <c r="G1330" t="s">
        <v>30</v>
      </c>
      <c r="H1330" s="12">
        <v>0</v>
      </c>
      <c r="I1330" t="s">
        <v>35</v>
      </c>
      <c r="J1330" s="7">
        <f>Table2[[#This Row],[UnitPrice]]*Table2[[#This Row],[Quantity]]*(1-Table2[[#This Row],[Discount]])</f>
        <v>3667.14</v>
      </c>
      <c r="K1330" t="s">
        <v>39</v>
      </c>
      <c r="L1330" t="s">
        <v>44</v>
      </c>
      <c r="M1330">
        <v>1</v>
      </c>
      <c r="N1330" t="s">
        <v>1374</v>
      </c>
      <c r="O1330" t="s">
        <v>2780</v>
      </c>
      <c r="P1330" s="7">
        <v>24.98</v>
      </c>
      <c r="Q1330" s="1">
        <v>45341</v>
      </c>
      <c r="R1330">
        <f>WEEKNUM(Table2[[#This Row],[OrderDate]])</f>
        <v>8</v>
      </c>
      <c r="S1330" s="1">
        <v>45350</v>
      </c>
      <c r="T1330" t="s">
        <v>2919</v>
      </c>
    </row>
    <row r="1331" spans="1:20" x14ac:dyDescent="0.35">
      <c r="A1331" s="1">
        <v>45206</v>
      </c>
      <c r="B1331" t="s">
        <v>2932</v>
      </c>
      <c r="C1331" t="s">
        <v>20</v>
      </c>
      <c r="D1331" s="9">
        <v>3</v>
      </c>
      <c r="E1331" s="7">
        <v>464.11</v>
      </c>
      <c r="F1331" t="s">
        <v>26</v>
      </c>
      <c r="G1331" t="s">
        <v>30</v>
      </c>
      <c r="H1331" s="12">
        <v>0.15</v>
      </c>
      <c r="I1331" t="s">
        <v>33</v>
      </c>
      <c r="J1331" s="7">
        <f>Table2[[#This Row],[UnitPrice]]*Table2[[#This Row],[Quantity]]*(1-Table2[[#This Row],[Discount]])</f>
        <v>1183.4804999999999</v>
      </c>
      <c r="K1331" t="s">
        <v>39</v>
      </c>
      <c r="L1331" t="s">
        <v>2937</v>
      </c>
      <c r="M1331">
        <v>0</v>
      </c>
      <c r="N1331" t="s">
        <v>1375</v>
      </c>
      <c r="O1331" t="s">
        <v>2781</v>
      </c>
      <c r="P1331" s="7">
        <v>27.45</v>
      </c>
      <c r="Q1331" s="1">
        <v>45206</v>
      </c>
      <c r="R1331">
        <f>WEEKNUM(Table2[[#This Row],[OrderDate]])</f>
        <v>40</v>
      </c>
      <c r="S1331" s="1">
        <v>45211</v>
      </c>
      <c r="T1331" t="s">
        <v>2918</v>
      </c>
    </row>
    <row r="1332" spans="1:20" x14ac:dyDescent="0.35">
      <c r="A1332" s="1">
        <v>45552</v>
      </c>
      <c r="B1332" t="s">
        <v>2934</v>
      </c>
      <c r="C1332" t="s">
        <v>22</v>
      </c>
      <c r="D1332" s="9">
        <v>2</v>
      </c>
      <c r="E1332" s="7">
        <v>442.03</v>
      </c>
      <c r="F1332" t="s">
        <v>26</v>
      </c>
      <c r="G1332" t="s">
        <v>31</v>
      </c>
      <c r="H1332" s="12">
        <v>0.15</v>
      </c>
      <c r="I1332" t="s">
        <v>35</v>
      </c>
      <c r="J1332" s="7">
        <f>Table2[[#This Row],[UnitPrice]]*Table2[[#This Row],[Quantity]]*(1-Table2[[#This Row],[Discount]])</f>
        <v>751.45099999999991</v>
      </c>
      <c r="K1332" t="s">
        <v>41</v>
      </c>
      <c r="L1332" t="s">
        <v>45</v>
      </c>
      <c r="M1332">
        <v>0</v>
      </c>
      <c r="N1332" t="s">
        <v>1376</v>
      </c>
      <c r="O1332" t="s">
        <v>2782</v>
      </c>
      <c r="P1332" s="7">
        <v>28.71</v>
      </c>
      <c r="Q1332" s="1">
        <v>45552</v>
      </c>
      <c r="R1332">
        <f>WEEKNUM(Table2[[#This Row],[OrderDate]])</f>
        <v>38</v>
      </c>
      <c r="S1332" s="1">
        <v>45554</v>
      </c>
      <c r="T1332" t="s">
        <v>2920</v>
      </c>
    </row>
    <row r="1333" spans="1:20" x14ac:dyDescent="0.35">
      <c r="A1333" s="1">
        <v>45053</v>
      </c>
      <c r="B1333" t="s">
        <v>2931</v>
      </c>
      <c r="C1333" t="s">
        <v>20</v>
      </c>
      <c r="D1333" s="9">
        <v>7</v>
      </c>
      <c r="E1333" s="7">
        <v>82.91</v>
      </c>
      <c r="F1333" t="s">
        <v>27</v>
      </c>
      <c r="G1333" t="s">
        <v>31</v>
      </c>
      <c r="H1333" s="12">
        <v>0.05</v>
      </c>
      <c r="I1333" t="s">
        <v>32</v>
      </c>
      <c r="J1333" s="7">
        <f>Table2[[#This Row],[UnitPrice]]*Table2[[#This Row],[Quantity]]*(1-Table2[[#This Row],[Discount]])</f>
        <v>551.35149999999999</v>
      </c>
      <c r="K1333" t="s">
        <v>41</v>
      </c>
      <c r="L1333" t="s">
        <v>45</v>
      </c>
      <c r="M1333">
        <v>1</v>
      </c>
      <c r="N1333" t="s">
        <v>1377</v>
      </c>
      <c r="O1333" t="s">
        <v>2783</v>
      </c>
      <c r="P1333" s="7">
        <v>17.03</v>
      </c>
      <c r="Q1333" s="1">
        <v>45053</v>
      </c>
      <c r="R1333">
        <f>WEEKNUM(Table2[[#This Row],[OrderDate]])</f>
        <v>19</v>
      </c>
      <c r="S1333" s="1">
        <v>45063</v>
      </c>
      <c r="T1333" t="s">
        <v>2919</v>
      </c>
    </row>
    <row r="1334" spans="1:20" x14ac:dyDescent="0.35">
      <c r="A1334" s="1">
        <v>45272</v>
      </c>
      <c r="B1334" t="s">
        <v>2931</v>
      </c>
      <c r="C1334" t="s">
        <v>20</v>
      </c>
      <c r="D1334" s="9">
        <v>13</v>
      </c>
      <c r="E1334" s="7">
        <v>468.16</v>
      </c>
      <c r="F1334" t="s">
        <v>26</v>
      </c>
      <c r="G1334" t="s">
        <v>31</v>
      </c>
      <c r="H1334" s="12">
        <v>0.15</v>
      </c>
      <c r="I1334" t="s">
        <v>33</v>
      </c>
      <c r="J1334" s="7">
        <f>Table2[[#This Row],[UnitPrice]]*Table2[[#This Row],[Quantity]]*(1-Table2[[#This Row],[Discount]])</f>
        <v>5173.1679999999997</v>
      </c>
      <c r="K1334" t="s">
        <v>42</v>
      </c>
      <c r="L1334" t="s">
        <v>44</v>
      </c>
      <c r="M1334">
        <v>0</v>
      </c>
      <c r="N1334" t="s">
        <v>1378</v>
      </c>
      <c r="O1334" t="s">
        <v>1705</v>
      </c>
      <c r="P1334" s="7">
        <v>29.11</v>
      </c>
      <c r="Q1334" s="1">
        <v>45272</v>
      </c>
      <c r="R1334">
        <f>WEEKNUM(Table2[[#This Row],[OrderDate]])</f>
        <v>50</v>
      </c>
      <c r="S1334" s="1">
        <v>45281</v>
      </c>
      <c r="T1334" t="s">
        <v>2919</v>
      </c>
    </row>
    <row r="1335" spans="1:20" x14ac:dyDescent="0.35">
      <c r="A1335" s="1">
        <v>45727</v>
      </c>
      <c r="B1335" t="s">
        <v>2934</v>
      </c>
      <c r="C1335" t="s">
        <v>24</v>
      </c>
      <c r="D1335" s="9">
        <v>3</v>
      </c>
      <c r="E1335" s="7">
        <v>11.32</v>
      </c>
      <c r="F1335" t="s">
        <v>28</v>
      </c>
      <c r="G1335" t="s">
        <v>31</v>
      </c>
      <c r="H1335" s="12">
        <v>0.05</v>
      </c>
      <c r="I1335" t="s">
        <v>32</v>
      </c>
      <c r="J1335" s="7">
        <f>Table2[[#This Row],[UnitPrice]]*Table2[[#This Row],[Quantity]]*(1-Table2[[#This Row],[Discount]])</f>
        <v>32.262</v>
      </c>
      <c r="K1335" t="s">
        <v>38</v>
      </c>
      <c r="L1335" t="s">
        <v>45</v>
      </c>
      <c r="M1335">
        <v>0</v>
      </c>
      <c r="N1335" t="s">
        <v>1379</v>
      </c>
      <c r="O1335" t="s">
        <v>2547</v>
      </c>
      <c r="P1335" s="7">
        <v>16.39</v>
      </c>
      <c r="Q1335" s="1">
        <v>45727</v>
      </c>
      <c r="R1335">
        <f>WEEKNUM(Table2[[#This Row],[OrderDate]])</f>
        <v>11</v>
      </c>
      <c r="S1335" s="1">
        <v>45730</v>
      </c>
      <c r="T1335" t="s">
        <v>2920</v>
      </c>
    </row>
    <row r="1336" spans="1:20" x14ac:dyDescent="0.35">
      <c r="A1336" s="1">
        <v>45380</v>
      </c>
      <c r="B1336" t="s">
        <v>2930</v>
      </c>
      <c r="C1336" t="s">
        <v>22</v>
      </c>
      <c r="D1336" s="9">
        <v>1</v>
      </c>
      <c r="E1336" s="7">
        <v>378.36</v>
      </c>
      <c r="F1336" t="s">
        <v>27</v>
      </c>
      <c r="G1336" t="s">
        <v>31</v>
      </c>
      <c r="H1336" s="12">
        <v>0.05</v>
      </c>
      <c r="I1336" t="s">
        <v>32</v>
      </c>
      <c r="J1336" s="7">
        <f>Table2[[#This Row],[UnitPrice]]*Table2[[#This Row],[Quantity]]*(1-Table2[[#This Row],[Discount]])</f>
        <v>359.44200000000001</v>
      </c>
      <c r="K1336" t="s">
        <v>42</v>
      </c>
      <c r="L1336" t="s">
        <v>2937</v>
      </c>
      <c r="M1336">
        <v>0</v>
      </c>
      <c r="N1336" t="s">
        <v>1380</v>
      </c>
      <c r="O1336" t="s">
        <v>2775</v>
      </c>
      <c r="P1336" s="7">
        <v>7.59</v>
      </c>
      <c r="Q1336" s="1">
        <v>45380</v>
      </c>
      <c r="R1336">
        <f>WEEKNUM(Table2[[#This Row],[OrderDate]])</f>
        <v>13</v>
      </c>
      <c r="S1336" s="1">
        <v>45389</v>
      </c>
      <c r="T1336" t="s">
        <v>2917</v>
      </c>
    </row>
    <row r="1337" spans="1:20" x14ac:dyDescent="0.35">
      <c r="A1337" s="1">
        <v>45501</v>
      </c>
      <c r="B1337" t="s">
        <v>2933</v>
      </c>
      <c r="C1337" t="s">
        <v>24</v>
      </c>
      <c r="D1337" s="9">
        <v>6</v>
      </c>
      <c r="E1337" s="7">
        <v>61.06</v>
      </c>
      <c r="F1337" t="s">
        <v>29</v>
      </c>
      <c r="G1337" t="s">
        <v>30</v>
      </c>
      <c r="H1337" s="12">
        <v>0</v>
      </c>
      <c r="I1337" t="s">
        <v>37</v>
      </c>
      <c r="J1337" s="7">
        <f>Table2[[#This Row],[UnitPrice]]*Table2[[#This Row],[Quantity]]*(1-Table2[[#This Row],[Discount]])</f>
        <v>366.36</v>
      </c>
      <c r="K1337" t="s">
        <v>41</v>
      </c>
      <c r="L1337" t="s">
        <v>44</v>
      </c>
      <c r="M1337">
        <v>1</v>
      </c>
      <c r="N1337" t="s">
        <v>1381</v>
      </c>
      <c r="O1337" t="s">
        <v>2784</v>
      </c>
      <c r="P1337" s="7">
        <v>49.09</v>
      </c>
      <c r="Q1337" s="1">
        <v>45501</v>
      </c>
      <c r="R1337">
        <f>WEEKNUM(Table2[[#This Row],[OrderDate]])</f>
        <v>31</v>
      </c>
      <c r="S1337" s="1">
        <v>45509</v>
      </c>
      <c r="T1337" t="s">
        <v>2921</v>
      </c>
    </row>
    <row r="1338" spans="1:20" x14ac:dyDescent="0.35">
      <c r="A1338" s="1">
        <v>45484</v>
      </c>
      <c r="B1338" t="s">
        <v>2932</v>
      </c>
      <c r="C1338" t="s">
        <v>24</v>
      </c>
      <c r="D1338" s="9">
        <v>14</v>
      </c>
      <c r="E1338" s="7">
        <v>98.06</v>
      </c>
      <c r="F1338" t="s">
        <v>27</v>
      </c>
      <c r="G1338" t="s">
        <v>30</v>
      </c>
      <c r="H1338" s="12">
        <v>0.1</v>
      </c>
      <c r="I1338" t="s">
        <v>33</v>
      </c>
      <c r="J1338" s="7">
        <f>Table2[[#This Row],[UnitPrice]]*Table2[[#This Row],[Quantity]]*(1-Table2[[#This Row],[Discount]])</f>
        <v>1235.5560000000003</v>
      </c>
      <c r="K1338" t="s">
        <v>41</v>
      </c>
      <c r="L1338" t="s">
        <v>44</v>
      </c>
      <c r="M1338">
        <v>1</v>
      </c>
      <c r="N1338" t="s">
        <v>1382</v>
      </c>
      <c r="O1338" t="s">
        <v>2785</v>
      </c>
      <c r="P1338" s="7">
        <v>10.34</v>
      </c>
      <c r="Q1338" s="1">
        <v>45484</v>
      </c>
      <c r="R1338">
        <f>WEEKNUM(Table2[[#This Row],[OrderDate]])</f>
        <v>28</v>
      </c>
      <c r="S1338" s="1">
        <v>45494</v>
      </c>
      <c r="T1338" t="s">
        <v>2918</v>
      </c>
    </row>
    <row r="1339" spans="1:20" x14ac:dyDescent="0.35">
      <c r="A1339" s="1">
        <v>45478</v>
      </c>
      <c r="B1339" t="s">
        <v>2933</v>
      </c>
      <c r="C1339" t="s">
        <v>19</v>
      </c>
      <c r="D1339" s="9">
        <v>16</v>
      </c>
      <c r="E1339" s="7">
        <v>123.86</v>
      </c>
      <c r="F1339" t="s">
        <v>27</v>
      </c>
      <c r="G1339" t="s">
        <v>30</v>
      </c>
      <c r="H1339" s="12">
        <v>0.15</v>
      </c>
      <c r="I1339" t="s">
        <v>33</v>
      </c>
      <c r="J1339" s="7">
        <f>Table2[[#This Row],[UnitPrice]]*Table2[[#This Row],[Quantity]]*(1-Table2[[#This Row],[Discount]])</f>
        <v>1684.4959999999999</v>
      </c>
      <c r="K1339" t="s">
        <v>39</v>
      </c>
      <c r="L1339" t="s">
        <v>2937</v>
      </c>
      <c r="M1339">
        <v>1</v>
      </c>
      <c r="N1339" t="s">
        <v>1383</v>
      </c>
      <c r="O1339" t="s">
        <v>2786</v>
      </c>
      <c r="P1339" s="7">
        <v>18.02</v>
      </c>
      <c r="Q1339" s="1">
        <v>45478</v>
      </c>
      <c r="R1339">
        <f>WEEKNUM(Table2[[#This Row],[OrderDate]])</f>
        <v>27</v>
      </c>
      <c r="S1339" s="1">
        <v>45487</v>
      </c>
      <c r="T1339" t="s">
        <v>2921</v>
      </c>
    </row>
    <row r="1340" spans="1:20" x14ac:dyDescent="0.35">
      <c r="A1340" s="1">
        <v>45370</v>
      </c>
      <c r="B1340" t="s">
        <v>2930</v>
      </c>
      <c r="C1340" t="s">
        <v>19</v>
      </c>
      <c r="D1340" s="9">
        <v>16</v>
      </c>
      <c r="E1340" s="7">
        <v>90.3</v>
      </c>
      <c r="F1340" t="s">
        <v>28</v>
      </c>
      <c r="G1340" t="s">
        <v>30</v>
      </c>
      <c r="H1340" s="12">
        <v>0.05</v>
      </c>
      <c r="I1340" t="s">
        <v>36</v>
      </c>
      <c r="J1340" s="7">
        <f>Table2[[#This Row],[UnitPrice]]*Table2[[#This Row],[Quantity]]*(1-Table2[[#This Row],[Discount]])</f>
        <v>1372.56</v>
      </c>
      <c r="K1340" t="s">
        <v>38</v>
      </c>
      <c r="L1340" t="s">
        <v>45</v>
      </c>
      <c r="M1340">
        <v>0</v>
      </c>
      <c r="N1340" t="s">
        <v>1384</v>
      </c>
      <c r="O1340" t="s">
        <v>2787</v>
      </c>
      <c r="P1340" s="7">
        <v>25.25</v>
      </c>
      <c r="Q1340" s="1">
        <v>45370</v>
      </c>
      <c r="R1340">
        <f>WEEKNUM(Table2[[#This Row],[OrderDate]])</f>
        <v>12</v>
      </c>
      <c r="S1340" s="1">
        <v>45375</v>
      </c>
      <c r="T1340" t="s">
        <v>2917</v>
      </c>
    </row>
    <row r="1341" spans="1:20" x14ac:dyDescent="0.35">
      <c r="A1341" s="1">
        <v>45285</v>
      </c>
      <c r="B1341" t="s">
        <v>2934</v>
      </c>
      <c r="C1341" t="s">
        <v>24</v>
      </c>
      <c r="D1341" s="9">
        <v>18</v>
      </c>
      <c r="E1341" s="7">
        <v>470.91</v>
      </c>
      <c r="F1341" t="s">
        <v>28</v>
      </c>
      <c r="G1341" t="s">
        <v>30</v>
      </c>
      <c r="H1341" s="12">
        <v>0.1</v>
      </c>
      <c r="I1341" t="s">
        <v>32</v>
      </c>
      <c r="J1341" s="7">
        <f>Table2[[#This Row],[UnitPrice]]*Table2[[#This Row],[Quantity]]*(1-Table2[[#This Row],[Discount]])</f>
        <v>7628.7420000000011</v>
      </c>
      <c r="K1341" t="s">
        <v>39</v>
      </c>
      <c r="L1341" t="s">
        <v>43</v>
      </c>
      <c r="M1341">
        <v>0</v>
      </c>
      <c r="N1341" t="s">
        <v>1385</v>
      </c>
      <c r="O1341" t="s">
        <v>2788</v>
      </c>
      <c r="P1341" s="7">
        <v>14.87</v>
      </c>
      <c r="Q1341" s="1">
        <v>45285</v>
      </c>
      <c r="R1341">
        <f>WEEKNUM(Table2[[#This Row],[OrderDate]])</f>
        <v>52</v>
      </c>
      <c r="S1341" s="1">
        <v>45289</v>
      </c>
      <c r="T1341" t="s">
        <v>2920</v>
      </c>
    </row>
    <row r="1342" spans="1:20" x14ac:dyDescent="0.35">
      <c r="A1342" s="1">
        <v>45629</v>
      </c>
      <c r="B1342" t="s">
        <v>2932</v>
      </c>
      <c r="C1342" t="s">
        <v>23</v>
      </c>
      <c r="D1342" s="9">
        <v>12</v>
      </c>
      <c r="E1342" s="7">
        <v>383.45</v>
      </c>
      <c r="F1342" t="s">
        <v>28</v>
      </c>
      <c r="G1342" t="s">
        <v>31</v>
      </c>
      <c r="H1342" s="12">
        <v>0</v>
      </c>
      <c r="I1342" t="s">
        <v>37</v>
      </c>
      <c r="J1342" s="7">
        <f>Table2[[#This Row],[UnitPrice]]*Table2[[#This Row],[Quantity]]*(1-Table2[[#This Row],[Discount]])</f>
        <v>4601.3999999999996</v>
      </c>
      <c r="K1342" t="s">
        <v>41</v>
      </c>
      <c r="L1342" t="s">
        <v>43</v>
      </c>
      <c r="M1342">
        <v>0</v>
      </c>
      <c r="N1342" t="s">
        <v>1386</v>
      </c>
      <c r="O1342" t="s">
        <v>2789</v>
      </c>
      <c r="P1342" s="7">
        <v>11.62</v>
      </c>
      <c r="Q1342" s="1">
        <v>45629</v>
      </c>
      <c r="R1342">
        <f>WEEKNUM(Table2[[#This Row],[OrderDate]])</f>
        <v>49</v>
      </c>
      <c r="S1342" s="1">
        <v>45631</v>
      </c>
      <c r="T1342" t="s">
        <v>2918</v>
      </c>
    </row>
    <row r="1343" spans="1:20" x14ac:dyDescent="0.35">
      <c r="A1343" s="1">
        <v>45177</v>
      </c>
      <c r="B1343" t="s">
        <v>2930</v>
      </c>
      <c r="C1343" t="s">
        <v>24</v>
      </c>
      <c r="D1343" s="9">
        <v>20</v>
      </c>
      <c r="E1343" s="7">
        <v>293.94</v>
      </c>
      <c r="F1343" t="s">
        <v>26</v>
      </c>
      <c r="G1343" t="s">
        <v>31</v>
      </c>
      <c r="H1343" s="12">
        <v>0.15</v>
      </c>
      <c r="I1343" t="s">
        <v>33</v>
      </c>
      <c r="J1343" s="7">
        <f>Table2[[#This Row],[UnitPrice]]*Table2[[#This Row],[Quantity]]*(1-Table2[[#This Row],[Discount]])</f>
        <v>4996.9800000000005</v>
      </c>
      <c r="K1343" t="s">
        <v>40</v>
      </c>
      <c r="L1343" t="s">
        <v>44</v>
      </c>
      <c r="M1343">
        <v>0</v>
      </c>
      <c r="N1343" t="s">
        <v>1387</v>
      </c>
      <c r="O1343" t="s">
        <v>2790</v>
      </c>
      <c r="P1343" s="7">
        <v>9.2899999999999991</v>
      </c>
      <c r="Q1343" s="1">
        <v>45177</v>
      </c>
      <c r="R1343">
        <f>WEEKNUM(Table2[[#This Row],[OrderDate]])</f>
        <v>36</v>
      </c>
      <c r="S1343" s="1">
        <v>45184</v>
      </c>
      <c r="T1343" t="s">
        <v>2917</v>
      </c>
    </row>
    <row r="1344" spans="1:20" x14ac:dyDescent="0.35">
      <c r="A1344" s="1">
        <v>45296</v>
      </c>
      <c r="B1344" t="s">
        <v>2930</v>
      </c>
      <c r="C1344" t="s">
        <v>21</v>
      </c>
      <c r="D1344" s="9">
        <v>2</v>
      </c>
      <c r="E1344" s="7">
        <v>454.01</v>
      </c>
      <c r="F1344" t="s">
        <v>26</v>
      </c>
      <c r="G1344" t="s">
        <v>30</v>
      </c>
      <c r="H1344" s="12">
        <v>0</v>
      </c>
      <c r="I1344" t="s">
        <v>36</v>
      </c>
      <c r="J1344" s="7">
        <f>Table2[[#This Row],[UnitPrice]]*Table2[[#This Row],[Quantity]]*(1-Table2[[#This Row],[Discount]])</f>
        <v>908.02</v>
      </c>
      <c r="K1344" t="s">
        <v>38</v>
      </c>
      <c r="L1344" t="s">
        <v>45</v>
      </c>
      <c r="M1344">
        <v>0</v>
      </c>
      <c r="N1344" t="s">
        <v>1388</v>
      </c>
      <c r="O1344" t="s">
        <v>2791</v>
      </c>
      <c r="P1344" s="7">
        <v>9.7799999999999994</v>
      </c>
      <c r="Q1344" s="1">
        <v>45296</v>
      </c>
      <c r="R1344">
        <f>WEEKNUM(Table2[[#This Row],[OrderDate]])</f>
        <v>1</v>
      </c>
      <c r="S1344" s="1">
        <v>45298</v>
      </c>
      <c r="T1344" t="s">
        <v>2917</v>
      </c>
    </row>
    <row r="1345" spans="1:20" x14ac:dyDescent="0.35">
      <c r="A1345" s="1">
        <v>45141</v>
      </c>
      <c r="B1345" t="s">
        <v>2932</v>
      </c>
      <c r="C1345" t="s">
        <v>22</v>
      </c>
      <c r="D1345" s="9">
        <v>5</v>
      </c>
      <c r="E1345" s="7">
        <v>163.55000000000001</v>
      </c>
      <c r="F1345" t="s">
        <v>29</v>
      </c>
      <c r="G1345" t="s">
        <v>31</v>
      </c>
      <c r="H1345" s="12">
        <v>0.05</v>
      </c>
      <c r="I1345" t="s">
        <v>34</v>
      </c>
      <c r="J1345" s="7">
        <f>Table2[[#This Row],[UnitPrice]]*Table2[[#This Row],[Quantity]]*(1-Table2[[#This Row],[Discount]])</f>
        <v>776.86249999999995</v>
      </c>
      <c r="K1345" t="s">
        <v>42</v>
      </c>
      <c r="L1345" t="s">
        <v>2937</v>
      </c>
      <c r="M1345">
        <v>0</v>
      </c>
      <c r="N1345" t="s">
        <v>1389</v>
      </c>
      <c r="O1345" t="s">
        <v>2792</v>
      </c>
      <c r="P1345" s="7">
        <v>28.9</v>
      </c>
      <c r="Q1345" s="1">
        <v>45141</v>
      </c>
      <c r="R1345">
        <f>WEEKNUM(Table2[[#This Row],[OrderDate]])</f>
        <v>31</v>
      </c>
      <c r="S1345" s="1">
        <v>45148</v>
      </c>
      <c r="T1345" t="s">
        <v>2918</v>
      </c>
    </row>
    <row r="1346" spans="1:20" x14ac:dyDescent="0.35">
      <c r="A1346" s="1">
        <v>45699</v>
      </c>
      <c r="B1346" t="s">
        <v>2931</v>
      </c>
      <c r="C1346" t="s">
        <v>23</v>
      </c>
      <c r="D1346" s="9">
        <v>12</v>
      </c>
      <c r="E1346" s="7">
        <v>141.61000000000001</v>
      </c>
      <c r="F1346" t="s">
        <v>26</v>
      </c>
      <c r="G1346" t="s">
        <v>30</v>
      </c>
      <c r="H1346" s="12">
        <v>0</v>
      </c>
      <c r="I1346" t="s">
        <v>34</v>
      </c>
      <c r="J1346" s="7">
        <f>Table2[[#This Row],[UnitPrice]]*Table2[[#This Row],[Quantity]]*(1-Table2[[#This Row],[Discount]])</f>
        <v>1699.3200000000002</v>
      </c>
      <c r="K1346" t="s">
        <v>40</v>
      </c>
      <c r="L1346" t="s">
        <v>45</v>
      </c>
      <c r="M1346">
        <v>0</v>
      </c>
      <c r="N1346" t="s">
        <v>1390</v>
      </c>
      <c r="O1346" t="s">
        <v>2793</v>
      </c>
      <c r="P1346" s="7">
        <v>11.72</v>
      </c>
      <c r="Q1346" s="1">
        <v>45699</v>
      </c>
      <c r="R1346">
        <f>WEEKNUM(Table2[[#This Row],[OrderDate]])</f>
        <v>7</v>
      </c>
      <c r="S1346" s="1">
        <v>45709</v>
      </c>
      <c r="T1346" t="s">
        <v>2919</v>
      </c>
    </row>
    <row r="1347" spans="1:20" x14ac:dyDescent="0.35">
      <c r="A1347" s="1">
        <v>45094</v>
      </c>
      <c r="B1347" t="s">
        <v>2932</v>
      </c>
      <c r="C1347" t="s">
        <v>22</v>
      </c>
      <c r="D1347" s="9">
        <v>6</v>
      </c>
      <c r="E1347" s="7">
        <v>332.18</v>
      </c>
      <c r="F1347" t="s">
        <v>26</v>
      </c>
      <c r="G1347" t="s">
        <v>30</v>
      </c>
      <c r="H1347" s="12">
        <v>0.1</v>
      </c>
      <c r="I1347" t="s">
        <v>37</v>
      </c>
      <c r="J1347" s="7">
        <f>Table2[[#This Row],[UnitPrice]]*Table2[[#This Row],[Quantity]]*(1-Table2[[#This Row],[Discount]])</f>
        <v>1793.7719999999999</v>
      </c>
      <c r="K1347" t="s">
        <v>38</v>
      </c>
      <c r="L1347" t="s">
        <v>45</v>
      </c>
      <c r="M1347">
        <v>0</v>
      </c>
      <c r="N1347" t="s">
        <v>1391</v>
      </c>
      <c r="O1347" t="s">
        <v>2794</v>
      </c>
      <c r="P1347" s="7">
        <v>21.95</v>
      </c>
      <c r="Q1347" s="1">
        <v>45094</v>
      </c>
      <c r="R1347">
        <f>WEEKNUM(Table2[[#This Row],[OrderDate]])</f>
        <v>24</v>
      </c>
      <c r="S1347" s="1">
        <v>45098</v>
      </c>
      <c r="T1347" t="s">
        <v>2918</v>
      </c>
    </row>
    <row r="1348" spans="1:20" x14ac:dyDescent="0.35">
      <c r="A1348" s="1">
        <v>45327</v>
      </c>
      <c r="B1348" t="s">
        <v>2934</v>
      </c>
      <c r="C1348" t="s">
        <v>23</v>
      </c>
      <c r="D1348" s="9">
        <v>14</v>
      </c>
      <c r="E1348" s="7">
        <v>463.96</v>
      </c>
      <c r="F1348" t="s">
        <v>29</v>
      </c>
      <c r="G1348" t="s">
        <v>31</v>
      </c>
      <c r="H1348" s="12">
        <v>0.15</v>
      </c>
      <c r="I1348" t="s">
        <v>36</v>
      </c>
      <c r="J1348" s="7">
        <f>Table2[[#This Row],[UnitPrice]]*Table2[[#This Row],[Quantity]]*(1-Table2[[#This Row],[Discount]])</f>
        <v>5521.1239999999998</v>
      </c>
      <c r="K1348" t="s">
        <v>39</v>
      </c>
      <c r="L1348" t="s">
        <v>2937</v>
      </c>
      <c r="M1348">
        <v>0</v>
      </c>
      <c r="N1348" t="s">
        <v>1392</v>
      </c>
      <c r="O1348" t="s">
        <v>2795</v>
      </c>
      <c r="P1348" s="7">
        <v>29.19</v>
      </c>
      <c r="Q1348" s="1">
        <v>45327</v>
      </c>
      <c r="R1348">
        <f>WEEKNUM(Table2[[#This Row],[OrderDate]])</f>
        <v>6</v>
      </c>
      <c r="S1348" s="1">
        <v>45336</v>
      </c>
      <c r="T1348" t="s">
        <v>2920</v>
      </c>
    </row>
    <row r="1349" spans="1:20" x14ac:dyDescent="0.35">
      <c r="A1349" s="1">
        <v>45368</v>
      </c>
      <c r="B1349" t="s">
        <v>2932</v>
      </c>
      <c r="C1349" t="s">
        <v>21</v>
      </c>
      <c r="D1349" s="9">
        <v>10</v>
      </c>
      <c r="E1349" s="7">
        <v>68.27</v>
      </c>
      <c r="F1349" t="s">
        <v>27</v>
      </c>
      <c r="G1349" t="s">
        <v>30</v>
      </c>
      <c r="H1349" s="12">
        <v>0.15</v>
      </c>
      <c r="I1349" t="s">
        <v>36</v>
      </c>
      <c r="J1349" s="7">
        <f>Table2[[#This Row],[UnitPrice]]*Table2[[#This Row],[Quantity]]*(1-Table2[[#This Row],[Discount]])</f>
        <v>580.29499999999996</v>
      </c>
      <c r="K1349" t="s">
        <v>40</v>
      </c>
      <c r="L1349" t="s">
        <v>2937</v>
      </c>
      <c r="M1349">
        <v>0</v>
      </c>
      <c r="N1349" t="s">
        <v>1393</v>
      </c>
      <c r="O1349" t="s">
        <v>2441</v>
      </c>
      <c r="P1349" s="7">
        <v>24.33</v>
      </c>
      <c r="Q1349" s="1">
        <v>45368</v>
      </c>
      <c r="R1349">
        <f>WEEKNUM(Table2[[#This Row],[OrderDate]])</f>
        <v>12</v>
      </c>
      <c r="S1349" s="1">
        <v>45378</v>
      </c>
      <c r="T1349" t="s">
        <v>2918</v>
      </c>
    </row>
    <row r="1350" spans="1:20" x14ac:dyDescent="0.35">
      <c r="A1350" s="1">
        <v>45325</v>
      </c>
      <c r="B1350" t="s">
        <v>2934</v>
      </c>
      <c r="C1350" t="s">
        <v>19</v>
      </c>
      <c r="D1350" s="9">
        <v>8</v>
      </c>
      <c r="E1350" s="7">
        <v>27.01</v>
      </c>
      <c r="F1350" t="s">
        <v>28</v>
      </c>
      <c r="G1350" t="s">
        <v>30</v>
      </c>
      <c r="H1350" s="12">
        <v>0.05</v>
      </c>
      <c r="I1350" t="s">
        <v>32</v>
      </c>
      <c r="J1350" s="7">
        <f>Table2[[#This Row],[UnitPrice]]*Table2[[#This Row],[Quantity]]*(1-Table2[[#This Row],[Discount]])</f>
        <v>205.27600000000001</v>
      </c>
      <c r="K1350" t="s">
        <v>38</v>
      </c>
      <c r="L1350" t="s">
        <v>43</v>
      </c>
      <c r="M1350">
        <v>1</v>
      </c>
      <c r="N1350" t="s">
        <v>1394</v>
      </c>
      <c r="O1350" t="s">
        <v>2796</v>
      </c>
      <c r="P1350" s="7">
        <v>42.65</v>
      </c>
      <c r="Q1350" s="1">
        <v>45325</v>
      </c>
      <c r="R1350">
        <f>WEEKNUM(Table2[[#This Row],[OrderDate]])</f>
        <v>5</v>
      </c>
      <c r="S1350" s="1">
        <v>45331</v>
      </c>
      <c r="T1350" t="s">
        <v>2920</v>
      </c>
    </row>
    <row r="1351" spans="1:20" x14ac:dyDescent="0.35">
      <c r="A1351" s="1">
        <v>45016</v>
      </c>
      <c r="B1351" t="s">
        <v>2931</v>
      </c>
      <c r="C1351" t="s">
        <v>24</v>
      </c>
      <c r="D1351" s="9">
        <v>9</v>
      </c>
      <c r="E1351" s="7">
        <v>78.8</v>
      </c>
      <c r="F1351" t="s">
        <v>29</v>
      </c>
      <c r="G1351" t="s">
        <v>31</v>
      </c>
      <c r="H1351" s="12">
        <v>0.1</v>
      </c>
      <c r="I1351" t="s">
        <v>33</v>
      </c>
      <c r="J1351" s="7">
        <f>Table2[[#This Row],[UnitPrice]]*Table2[[#This Row],[Quantity]]*(1-Table2[[#This Row],[Discount]])</f>
        <v>638.28</v>
      </c>
      <c r="K1351" t="s">
        <v>38</v>
      </c>
      <c r="L1351" t="s">
        <v>43</v>
      </c>
      <c r="M1351">
        <v>0</v>
      </c>
      <c r="N1351" t="s">
        <v>1395</v>
      </c>
      <c r="O1351" t="s">
        <v>2299</v>
      </c>
      <c r="P1351" s="7">
        <v>9.2899999999999991</v>
      </c>
      <c r="Q1351" s="1">
        <v>45016</v>
      </c>
      <c r="R1351">
        <f>WEEKNUM(Table2[[#This Row],[OrderDate]])</f>
        <v>13</v>
      </c>
      <c r="S1351" s="1">
        <v>45026</v>
      </c>
      <c r="T1351" t="s">
        <v>2919</v>
      </c>
    </row>
    <row r="1352" spans="1:20" x14ac:dyDescent="0.35">
      <c r="A1352" s="1">
        <v>45156</v>
      </c>
      <c r="B1352" t="s">
        <v>2933</v>
      </c>
      <c r="C1352" t="s">
        <v>24</v>
      </c>
      <c r="D1352" s="9">
        <v>16</v>
      </c>
      <c r="E1352" s="7">
        <v>174.68</v>
      </c>
      <c r="F1352" t="s">
        <v>26</v>
      </c>
      <c r="G1352" t="s">
        <v>30</v>
      </c>
      <c r="H1352" s="12">
        <v>0.15</v>
      </c>
      <c r="I1352" t="s">
        <v>34</v>
      </c>
      <c r="J1352" s="7">
        <f>Table2[[#This Row],[UnitPrice]]*Table2[[#This Row],[Quantity]]*(1-Table2[[#This Row],[Discount]])</f>
        <v>2375.6480000000001</v>
      </c>
      <c r="K1352" t="s">
        <v>40</v>
      </c>
      <c r="L1352" t="s">
        <v>2937</v>
      </c>
      <c r="M1352">
        <v>0</v>
      </c>
      <c r="N1352" t="s">
        <v>1396</v>
      </c>
      <c r="O1352" t="s">
        <v>2634</v>
      </c>
      <c r="P1352" s="7">
        <v>45.99</v>
      </c>
      <c r="Q1352" s="1">
        <v>45156</v>
      </c>
      <c r="R1352">
        <f>WEEKNUM(Table2[[#This Row],[OrderDate]])</f>
        <v>33</v>
      </c>
      <c r="S1352" s="1">
        <v>45160</v>
      </c>
      <c r="T1352" t="s">
        <v>2921</v>
      </c>
    </row>
    <row r="1353" spans="1:20" x14ac:dyDescent="0.35">
      <c r="A1353" s="1">
        <v>45179</v>
      </c>
      <c r="B1353" t="s">
        <v>2934</v>
      </c>
      <c r="C1353" t="s">
        <v>25</v>
      </c>
      <c r="D1353" s="9">
        <v>4</v>
      </c>
      <c r="E1353" s="7">
        <v>306.06</v>
      </c>
      <c r="F1353" t="s">
        <v>28</v>
      </c>
      <c r="G1353" t="s">
        <v>30</v>
      </c>
      <c r="H1353" s="12">
        <v>0.05</v>
      </c>
      <c r="I1353" t="s">
        <v>35</v>
      </c>
      <c r="J1353" s="7">
        <f>Table2[[#This Row],[UnitPrice]]*Table2[[#This Row],[Quantity]]*(1-Table2[[#This Row],[Discount]])</f>
        <v>1163.028</v>
      </c>
      <c r="K1353" t="s">
        <v>39</v>
      </c>
      <c r="L1353" t="s">
        <v>44</v>
      </c>
      <c r="M1353">
        <v>1</v>
      </c>
      <c r="N1353" t="s">
        <v>1397</v>
      </c>
      <c r="O1353" t="s">
        <v>2169</v>
      </c>
      <c r="P1353" s="7">
        <v>32.75</v>
      </c>
      <c r="Q1353" s="1">
        <v>45179</v>
      </c>
      <c r="R1353">
        <f>WEEKNUM(Table2[[#This Row],[OrderDate]])</f>
        <v>37</v>
      </c>
      <c r="S1353" s="1">
        <v>45182</v>
      </c>
      <c r="T1353" t="s">
        <v>2920</v>
      </c>
    </row>
    <row r="1354" spans="1:20" x14ac:dyDescent="0.35">
      <c r="A1354" s="1">
        <v>45320</v>
      </c>
      <c r="B1354" t="s">
        <v>2932</v>
      </c>
      <c r="C1354" t="s">
        <v>24</v>
      </c>
      <c r="D1354" s="9">
        <v>12</v>
      </c>
      <c r="E1354" s="7">
        <v>164.22</v>
      </c>
      <c r="F1354" t="s">
        <v>28</v>
      </c>
      <c r="G1354" t="s">
        <v>31</v>
      </c>
      <c r="H1354" s="12">
        <v>0</v>
      </c>
      <c r="I1354" t="s">
        <v>37</v>
      </c>
      <c r="J1354" s="7">
        <f>Table2[[#This Row],[UnitPrice]]*Table2[[#This Row],[Quantity]]*(1-Table2[[#This Row],[Discount]])</f>
        <v>1970.6399999999999</v>
      </c>
      <c r="K1354" t="s">
        <v>40</v>
      </c>
      <c r="L1354" t="s">
        <v>43</v>
      </c>
      <c r="M1354">
        <v>0</v>
      </c>
      <c r="N1354" t="s">
        <v>1398</v>
      </c>
      <c r="O1354" t="s">
        <v>2787</v>
      </c>
      <c r="P1354" s="7">
        <v>21.46</v>
      </c>
      <c r="Q1354" s="1">
        <v>45320</v>
      </c>
      <c r="R1354">
        <f>WEEKNUM(Table2[[#This Row],[OrderDate]])</f>
        <v>5</v>
      </c>
      <c r="S1354" s="1">
        <v>45325</v>
      </c>
      <c r="T1354" t="s">
        <v>2918</v>
      </c>
    </row>
    <row r="1355" spans="1:20" x14ac:dyDescent="0.35">
      <c r="A1355" s="1">
        <v>45372</v>
      </c>
      <c r="B1355" t="s">
        <v>2931</v>
      </c>
      <c r="C1355" t="s">
        <v>24</v>
      </c>
      <c r="D1355" s="9">
        <v>20</v>
      </c>
      <c r="E1355" s="7">
        <v>336.29</v>
      </c>
      <c r="F1355" t="s">
        <v>28</v>
      </c>
      <c r="G1355" t="s">
        <v>31</v>
      </c>
      <c r="H1355" s="12">
        <v>0</v>
      </c>
      <c r="I1355" t="s">
        <v>32</v>
      </c>
      <c r="J1355" s="7">
        <f>Table2[[#This Row],[UnitPrice]]*Table2[[#This Row],[Quantity]]*(1-Table2[[#This Row],[Discount]])</f>
        <v>6725.8</v>
      </c>
      <c r="K1355" t="s">
        <v>39</v>
      </c>
      <c r="L1355" t="s">
        <v>43</v>
      </c>
      <c r="M1355">
        <v>0</v>
      </c>
      <c r="N1355" t="s">
        <v>1399</v>
      </c>
      <c r="O1355" t="s">
        <v>2797</v>
      </c>
      <c r="P1355" s="7">
        <v>25.02</v>
      </c>
      <c r="Q1355" s="1">
        <v>45372</v>
      </c>
      <c r="R1355">
        <f>WEEKNUM(Table2[[#This Row],[OrderDate]])</f>
        <v>12</v>
      </c>
      <c r="S1355" s="1">
        <v>45381</v>
      </c>
      <c r="T1355" t="s">
        <v>2919</v>
      </c>
    </row>
    <row r="1356" spans="1:20" x14ac:dyDescent="0.35">
      <c r="A1356" s="1">
        <v>45507</v>
      </c>
      <c r="B1356" t="s">
        <v>2933</v>
      </c>
      <c r="C1356" t="s">
        <v>24</v>
      </c>
      <c r="D1356" s="9">
        <v>7</v>
      </c>
      <c r="E1356" s="7">
        <v>180.25</v>
      </c>
      <c r="F1356" t="s">
        <v>29</v>
      </c>
      <c r="G1356" t="s">
        <v>31</v>
      </c>
      <c r="H1356" s="12">
        <v>0.1</v>
      </c>
      <c r="I1356" t="s">
        <v>36</v>
      </c>
      <c r="J1356" s="7">
        <f>Table2[[#This Row],[UnitPrice]]*Table2[[#This Row],[Quantity]]*(1-Table2[[#This Row],[Discount]])</f>
        <v>1135.575</v>
      </c>
      <c r="K1356" t="s">
        <v>39</v>
      </c>
      <c r="L1356" t="s">
        <v>45</v>
      </c>
      <c r="M1356">
        <v>0</v>
      </c>
      <c r="N1356" t="s">
        <v>1400</v>
      </c>
      <c r="O1356" t="s">
        <v>2798</v>
      </c>
      <c r="P1356" s="7">
        <v>36.79</v>
      </c>
      <c r="Q1356" s="1">
        <v>45507</v>
      </c>
      <c r="R1356">
        <f>WEEKNUM(Table2[[#This Row],[OrderDate]])</f>
        <v>31</v>
      </c>
      <c r="S1356" s="1">
        <v>45509</v>
      </c>
      <c r="T1356" t="s">
        <v>2921</v>
      </c>
    </row>
    <row r="1357" spans="1:20" x14ac:dyDescent="0.35">
      <c r="A1357" s="1">
        <v>45782</v>
      </c>
      <c r="B1357" t="s">
        <v>2931</v>
      </c>
      <c r="C1357" t="s">
        <v>23</v>
      </c>
      <c r="D1357" s="9">
        <v>1</v>
      </c>
      <c r="E1357" s="7">
        <v>21.75</v>
      </c>
      <c r="F1357" t="s">
        <v>28</v>
      </c>
      <c r="G1357" t="s">
        <v>31</v>
      </c>
      <c r="H1357" s="12">
        <v>0</v>
      </c>
      <c r="I1357" t="s">
        <v>33</v>
      </c>
      <c r="J1357" s="7">
        <f>Table2[[#This Row],[UnitPrice]]*Table2[[#This Row],[Quantity]]*(1-Table2[[#This Row],[Discount]])</f>
        <v>21.75</v>
      </c>
      <c r="K1357" t="s">
        <v>42</v>
      </c>
      <c r="L1357" t="s">
        <v>43</v>
      </c>
      <c r="M1357">
        <v>0</v>
      </c>
      <c r="N1357" t="s">
        <v>1401</v>
      </c>
      <c r="O1357" t="s">
        <v>2799</v>
      </c>
      <c r="P1357" s="7">
        <v>7.35</v>
      </c>
      <c r="Q1357" s="1">
        <v>45782</v>
      </c>
      <c r="R1357">
        <f>WEEKNUM(Table2[[#This Row],[OrderDate]])</f>
        <v>19</v>
      </c>
      <c r="S1357" s="1">
        <v>45791</v>
      </c>
      <c r="T1357" t="s">
        <v>2919</v>
      </c>
    </row>
    <row r="1358" spans="1:20" x14ac:dyDescent="0.35">
      <c r="A1358" s="1">
        <v>44965</v>
      </c>
      <c r="B1358" t="s">
        <v>2933</v>
      </c>
      <c r="C1358" t="s">
        <v>24</v>
      </c>
      <c r="D1358" s="9">
        <v>13</v>
      </c>
      <c r="E1358" s="7">
        <v>149.16</v>
      </c>
      <c r="F1358" t="s">
        <v>28</v>
      </c>
      <c r="G1358" t="s">
        <v>31</v>
      </c>
      <c r="H1358" s="12">
        <v>0.1</v>
      </c>
      <c r="I1358" t="s">
        <v>32</v>
      </c>
      <c r="J1358" s="7">
        <f>Table2[[#This Row],[UnitPrice]]*Table2[[#This Row],[Quantity]]*(1-Table2[[#This Row],[Discount]])</f>
        <v>1745.172</v>
      </c>
      <c r="K1358" t="s">
        <v>42</v>
      </c>
      <c r="L1358" t="s">
        <v>2937</v>
      </c>
      <c r="M1358">
        <v>1</v>
      </c>
      <c r="N1358" t="s">
        <v>1402</v>
      </c>
      <c r="O1358" t="s">
        <v>2108</v>
      </c>
      <c r="P1358" s="7">
        <v>20.9</v>
      </c>
      <c r="Q1358" s="1">
        <v>44965</v>
      </c>
      <c r="R1358">
        <f>WEEKNUM(Table2[[#This Row],[OrderDate]])</f>
        <v>6</v>
      </c>
      <c r="S1358" s="1">
        <v>44973</v>
      </c>
      <c r="T1358" t="s">
        <v>2921</v>
      </c>
    </row>
    <row r="1359" spans="1:20" x14ac:dyDescent="0.35">
      <c r="A1359" s="1">
        <v>45072</v>
      </c>
      <c r="B1359" t="s">
        <v>2934</v>
      </c>
      <c r="C1359" t="s">
        <v>22</v>
      </c>
      <c r="D1359" s="9">
        <v>7</v>
      </c>
      <c r="E1359" s="7">
        <v>220.9</v>
      </c>
      <c r="F1359" t="s">
        <v>27</v>
      </c>
      <c r="G1359" t="s">
        <v>30</v>
      </c>
      <c r="H1359" s="12">
        <v>0.15</v>
      </c>
      <c r="I1359" t="s">
        <v>37</v>
      </c>
      <c r="J1359" s="7">
        <f>Table2[[#This Row],[UnitPrice]]*Table2[[#This Row],[Quantity]]*(1-Table2[[#This Row],[Discount]])</f>
        <v>1314.355</v>
      </c>
      <c r="K1359" t="s">
        <v>39</v>
      </c>
      <c r="L1359" t="s">
        <v>43</v>
      </c>
      <c r="M1359">
        <v>0</v>
      </c>
      <c r="N1359" t="s">
        <v>1403</v>
      </c>
      <c r="O1359" t="s">
        <v>2800</v>
      </c>
      <c r="P1359" s="7">
        <v>15.25</v>
      </c>
      <c r="Q1359" s="1">
        <v>45072</v>
      </c>
      <c r="R1359">
        <f>WEEKNUM(Table2[[#This Row],[OrderDate]])</f>
        <v>21</v>
      </c>
      <c r="S1359" s="1">
        <v>45082</v>
      </c>
      <c r="T1359" t="s">
        <v>2920</v>
      </c>
    </row>
    <row r="1360" spans="1:20" x14ac:dyDescent="0.35">
      <c r="A1360" s="1">
        <v>45488</v>
      </c>
      <c r="B1360" t="s">
        <v>2930</v>
      </c>
      <c r="C1360" t="s">
        <v>22</v>
      </c>
      <c r="D1360" s="9">
        <v>1</v>
      </c>
      <c r="E1360" s="7">
        <v>364.27</v>
      </c>
      <c r="F1360" t="s">
        <v>27</v>
      </c>
      <c r="G1360" t="s">
        <v>31</v>
      </c>
      <c r="H1360" s="12">
        <v>0.1</v>
      </c>
      <c r="I1360" t="s">
        <v>33</v>
      </c>
      <c r="J1360" s="7">
        <f>Table2[[#This Row],[UnitPrice]]*Table2[[#This Row],[Quantity]]*(1-Table2[[#This Row],[Discount]])</f>
        <v>327.84300000000002</v>
      </c>
      <c r="K1360" t="s">
        <v>41</v>
      </c>
      <c r="L1360" t="s">
        <v>45</v>
      </c>
      <c r="M1360">
        <v>0</v>
      </c>
      <c r="N1360" t="s">
        <v>1404</v>
      </c>
      <c r="O1360" t="s">
        <v>2801</v>
      </c>
      <c r="P1360" s="7">
        <v>8.91</v>
      </c>
      <c r="Q1360" s="1">
        <v>45488</v>
      </c>
      <c r="R1360">
        <f>WEEKNUM(Table2[[#This Row],[OrderDate]])</f>
        <v>29</v>
      </c>
      <c r="S1360" s="1">
        <v>45495</v>
      </c>
      <c r="T1360" t="s">
        <v>2917</v>
      </c>
    </row>
    <row r="1361" spans="1:20" x14ac:dyDescent="0.35">
      <c r="A1361" s="1">
        <v>45644</v>
      </c>
      <c r="B1361" t="s">
        <v>2931</v>
      </c>
      <c r="C1361" t="s">
        <v>23</v>
      </c>
      <c r="D1361" s="9">
        <v>9</v>
      </c>
      <c r="E1361" s="7">
        <v>306.42</v>
      </c>
      <c r="F1361" t="s">
        <v>28</v>
      </c>
      <c r="G1361" t="s">
        <v>30</v>
      </c>
      <c r="H1361" s="12">
        <v>0</v>
      </c>
      <c r="I1361" t="s">
        <v>37</v>
      </c>
      <c r="J1361" s="7">
        <f>Table2[[#This Row],[UnitPrice]]*Table2[[#This Row],[Quantity]]*(1-Table2[[#This Row],[Discount]])</f>
        <v>2757.78</v>
      </c>
      <c r="K1361" t="s">
        <v>38</v>
      </c>
      <c r="L1361" t="s">
        <v>2937</v>
      </c>
      <c r="M1361">
        <v>0</v>
      </c>
      <c r="N1361" t="s">
        <v>1405</v>
      </c>
      <c r="O1361" t="s">
        <v>2802</v>
      </c>
      <c r="P1361" s="7">
        <v>15.81</v>
      </c>
      <c r="Q1361" s="1">
        <v>45644</v>
      </c>
      <c r="R1361">
        <f>WEEKNUM(Table2[[#This Row],[OrderDate]])</f>
        <v>51</v>
      </c>
      <c r="S1361" s="1">
        <v>45653</v>
      </c>
      <c r="T1361" t="s">
        <v>2919</v>
      </c>
    </row>
    <row r="1362" spans="1:20" x14ac:dyDescent="0.35">
      <c r="A1362" s="1">
        <v>45564</v>
      </c>
      <c r="B1362" t="s">
        <v>2931</v>
      </c>
      <c r="C1362" t="s">
        <v>24</v>
      </c>
      <c r="D1362" s="9">
        <v>18</v>
      </c>
      <c r="E1362" s="7">
        <v>589</v>
      </c>
      <c r="F1362" t="s">
        <v>26</v>
      </c>
      <c r="G1362" t="s">
        <v>30</v>
      </c>
      <c r="H1362" s="12">
        <v>0.1</v>
      </c>
      <c r="I1362" t="s">
        <v>36</v>
      </c>
      <c r="J1362" s="7">
        <f>Table2[[#This Row],[UnitPrice]]*Table2[[#This Row],[Quantity]]*(1-Table2[[#This Row],[Discount]])</f>
        <v>9541.8000000000011</v>
      </c>
      <c r="K1362" t="s">
        <v>42</v>
      </c>
      <c r="L1362" t="s">
        <v>45</v>
      </c>
      <c r="M1362">
        <v>0</v>
      </c>
      <c r="N1362" t="s">
        <v>1406</v>
      </c>
      <c r="O1362" t="s">
        <v>2803</v>
      </c>
      <c r="P1362" s="7">
        <v>37.78</v>
      </c>
      <c r="Q1362" s="1">
        <v>45564</v>
      </c>
      <c r="R1362">
        <f>WEEKNUM(Table2[[#This Row],[OrderDate]])</f>
        <v>40</v>
      </c>
      <c r="S1362" s="1">
        <v>45573</v>
      </c>
      <c r="T1362" t="s">
        <v>2919</v>
      </c>
    </row>
    <row r="1363" spans="1:20" x14ac:dyDescent="0.35">
      <c r="A1363" s="1">
        <v>45590</v>
      </c>
      <c r="B1363" t="s">
        <v>2932</v>
      </c>
      <c r="C1363" t="s">
        <v>21</v>
      </c>
      <c r="D1363" s="9">
        <v>16</v>
      </c>
      <c r="E1363" s="7">
        <v>249.45</v>
      </c>
      <c r="F1363" t="s">
        <v>28</v>
      </c>
      <c r="G1363" t="s">
        <v>30</v>
      </c>
      <c r="H1363" s="12">
        <v>0.1</v>
      </c>
      <c r="I1363" t="s">
        <v>33</v>
      </c>
      <c r="J1363" s="7">
        <f>Table2[[#This Row],[UnitPrice]]*Table2[[#This Row],[Quantity]]*(1-Table2[[#This Row],[Discount]])</f>
        <v>3592.08</v>
      </c>
      <c r="K1363" t="s">
        <v>42</v>
      </c>
      <c r="L1363" t="s">
        <v>43</v>
      </c>
      <c r="M1363">
        <v>0</v>
      </c>
      <c r="N1363" t="s">
        <v>1407</v>
      </c>
      <c r="O1363" t="s">
        <v>2804</v>
      </c>
      <c r="P1363" s="7">
        <v>20.92</v>
      </c>
      <c r="Q1363" s="1">
        <v>45590</v>
      </c>
      <c r="R1363">
        <f>WEEKNUM(Table2[[#This Row],[OrderDate]])</f>
        <v>43</v>
      </c>
      <c r="S1363" s="1">
        <v>45597</v>
      </c>
      <c r="T1363" t="s">
        <v>2918</v>
      </c>
    </row>
    <row r="1364" spans="1:20" x14ac:dyDescent="0.35">
      <c r="A1364" s="1">
        <v>45663</v>
      </c>
      <c r="B1364" t="s">
        <v>2931</v>
      </c>
      <c r="C1364" t="s">
        <v>23</v>
      </c>
      <c r="D1364" s="9">
        <v>20</v>
      </c>
      <c r="E1364" s="7">
        <v>440.32</v>
      </c>
      <c r="F1364" t="s">
        <v>28</v>
      </c>
      <c r="G1364" t="s">
        <v>31</v>
      </c>
      <c r="H1364" s="12">
        <v>0.05</v>
      </c>
      <c r="I1364" t="s">
        <v>33</v>
      </c>
      <c r="J1364" s="7">
        <f>Table2[[#This Row],[UnitPrice]]*Table2[[#This Row],[Quantity]]*(1-Table2[[#This Row],[Discount]])</f>
        <v>8366.08</v>
      </c>
      <c r="K1364" t="s">
        <v>41</v>
      </c>
      <c r="L1364" t="s">
        <v>44</v>
      </c>
      <c r="M1364">
        <v>1</v>
      </c>
      <c r="N1364" t="s">
        <v>1408</v>
      </c>
      <c r="O1364" t="s">
        <v>2805</v>
      </c>
      <c r="P1364" s="7">
        <v>6.17</v>
      </c>
      <c r="Q1364" s="1">
        <v>45663</v>
      </c>
      <c r="R1364">
        <f>WEEKNUM(Table2[[#This Row],[OrderDate]])</f>
        <v>2</v>
      </c>
      <c r="S1364" s="1">
        <v>45673</v>
      </c>
      <c r="T1364" t="s">
        <v>2919</v>
      </c>
    </row>
    <row r="1365" spans="1:20" x14ac:dyDescent="0.35">
      <c r="A1365" s="1">
        <v>45249</v>
      </c>
      <c r="B1365" t="s">
        <v>2934</v>
      </c>
      <c r="C1365" t="s">
        <v>24</v>
      </c>
      <c r="D1365" s="9">
        <v>3</v>
      </c>
      <c r="E1365" s="7">
        <v>101.34</v>
      </c>
      <c r="F1365" t="s">
        <v>27</v>
      </c>
      <c r="G1365" t="s">
        <v>30</v>
      </c>
      <c r="H1365" s="12">
        <v>0</v>
      </c>
      <c r="I1365" t="s">
        <v>35</v>
      </c>
      <c r="J1365" s="7">
        <f>Table2[[#This Row],[UnitPrice]]*Table2[[#This Row],[Quantity]]*(1-Table2[[#This Row],[Discount]])</f>
        <v>304.02</v>
      </c>
      <c r="K1365" t="s">
        <v>41</v>
      </c>
      <c r="L1365" t="s">
        <v>2937</v>
      </c>
      <c r="M1365">
        <v>0</v>
      </c>
      <c r="N1365" t="s">
        <v>1409</v>
      </c>
      <c r="O1365" t="s">
        <v>2806</v>
      </c>
      <c r="P1365" s="7">
        <v>23.15</v>
      </c>
      <c r="Q1365" s="1">
        <v>45249</v>
      </c>
      <c r="R1365">
        <f>WEEKNUM(Table2[[#This Row],[OrderDate]])</f>
        <v>47</v>
      </c>
      <c r="S1365" s="1">
        <v>45251</v>
      </c>
      <c r="T1365" t="s">
        <v>2920</v>
      </c>
    </row>
    <row r="1366" spans="1:20" x14ac:dyDescent="0.35">
      <c r="A1366" s="1">
        <v>45393</v>
      </c>
      <c r="B1366" t="s">
        <v>2932</v>
      </c>
      <c r="C1366" t="s">
        <v>20</v>
      </c>
      <c r="D1366" s="9">
        <v>17</v>
      </c>
      <c r="E1366" s="7">
        <v>311.61</v>
      </c>
      <c r="F1366" t="s">
        <v>27</v>
      </c>
      <c r="G1366" t="s">
        <v>31</v>
      </c>
      <c r="H1366" s="12">
        <v>0.05</v>
      </c>
      <c r="I1366" t="s">
        <v>32</v>
      </c>
      <c r="J1366" s="7">
        <f>Table2[[#This Row],[UnitPrice]]*Table2[[#This Row],[Quantity]]*(1-Table2[[#This Row],[Discount]])</f>
        <v>5032.5014999999994</v>
      </c>
      <c r="K1366" t="s">
        <v>38</v>
      </c>
      <c r="L1366" t="s">
        <v>2937</v>
      </c>
      <c r="M1366">
        <v>1</v>
      </c>
      <c r="N1366" t="s">
        <v>1410</v>
      </c>
      <c r="O1366" t="s">
        <v>2807</v>
      </c>
      <c r="P1366" s="7">
        <v>29.9</v>
      </c>
      <c r="Q1366" s="1">
        <v>45393</v>
      </c>
      <c r="R1366">
        <f>WEEKNUM(Table2[[#This Row],[OrderDate]])</f>
        <v>15</v>
      </c>
      <c r="S1366" s="1">
        <v>45399</v>
      </c>
      <c r="T1366" t="s">
        <v>2918</v>
      </c>
    </row>
    <row r="1367" spans="1:20" x14ac:dyDescent="0.35">
      <c r="A1367" s="1">
        <v>45381</v>
      </c>
      <c r="B1367" t="s">
        <v>2932</v>
      </c>
      <c r="C1367" t="s">
        <v>23</v>
      </c>
      <c r="D1367" s="9">
        <v>2</v>
      </c>
      <c r="E1367" s="7">
        <v>441.18</v>
      </c>
      <c r="F1367" t="s">
        <v>26</v>
      </c>
      <c r="G1367" t="s">
        <v>31</v>
      </c>
      <c r="H1367" s="12">
        <v>0.15</v>
      </c>
      <c r="I1367" t="s">
        <v>37</v>
      </c>
      <c r="J1367" s="7">
        <f>Table2[[#This Row],[UnitPrice]]*Table2[[#This Row],[Quantity]]*(1-Table2[[#This Row],[Discount]])</f>
        <v>750.00599999999997</v>
      </c>
      <c r="K1367" t="s">
        <v>42</v>
      </c>
      <c r="L1367" t="s">
        <v>2937</v>
      </c>
      <c r="M1367">
        <v>1</v>
      </c>
      <c r="N1367" t="s">
        <v>1411</v>
      </c>
      <c r="O1367" t="s">
        <v>2808</v>
      </c>
      <c r="P1367" s="7">
        <v>23.07</v>
      </c>
      <c r="Q1367" s="1">
        <v>45381</v>
      </c>
      <c r="R1367">
        <f>WEEKNUM(Table2[[#This Row],[OrderDate]])</f>
        <v>13</v>
      </c>
      <c r="S1367" s="1">
        <v>45388</v>
      </c>
      <c r="T1367" t="s">
        <v>2918</v>
      </c>
    </row>
    <row r="1368" spans="1:20" x14ac:dyDescent="0.35">
      <c r="A1368" s="1">
        <v>45621</v>
      </c>
      <c r="B1368" t="s">
        <v>2931</v>
      </c>
      <c r="C1368" t="s">
        <v>22</v>
      </c>
      <c r="D1368" s="9">
        <v>20</v>
      </c>
      <c r="E1368" s="7">
        <v>286.66000000000003</v>
      </c>
      <c r="F1368" t="s">
        <v>29</v>
      </c>
      <c r="G1368" t="s">
        <v>31</v>
      </c>
      <c r="H1368" s="12">
        <v>0.1</v>
      </c>
      <c r="I1368" t="s">
        <v>35</v>
      </c>
      <c r="J1368" s="7">
        <f>Table2[[#This Row],[UnitPrice]]*Table2[[#This Row],[Quantity]]*(1-Table2[[#This Row],[Discount]])</f>
        <v>5159.880000000001</v>
      </c>
      <c r="K1368" t="s">
        <v>41</v>
      </c>
      <c r="L1368" t="s">
        <v>45</v>
      </c>
      <c r="M1368">
        <v>0</v>
      </c>
      <c r="N1368" t="s">
        <v>1412</v>
      </c>
      <c r="O1368" t="s">
        <v>1764</v>
      </c>
      <c r="P1368" s="7">
        <v>15.54</v>
      </c>
      <c r="Q1368" s="1">
        <v>45621</v>
      </c>
      <c r="R1368">
        <f>WEEKNUM(Table2[[#This Row],[OrderDate]])</f>
        <v>48</v>
      </c>
      <c r="S1368" s="1">
        <v>45625</v>
      </c>
      <c r="T1368" t="s">
        <v>2919</v>
      </c>
    </row>
    <row r="1369" spans="1:20" x14ac:dyDescent="0.35">
      <c r="A1369" s="1">
        <v>45663</v>
      </c>
      <c r="B1369" t="s">
        <v>2931</v>
      </c>
      <c r="C1369" t="s">
        <v>25</v>
      </c>
      <c r="D1369" s="9">
        <v>13</v>
      </c>
      <c r="E1369" s="7">
        <v>483.63</v>
      </c>
      <c r="F1369" t="s">
        <v>27</v>
      </c>
      <c r="G1369" t="s">
        <v>31</v>
      </c>
      <c r="H1369" s="12">
        <v>0.05</v>
      </c>
      <c r="I1369" t="s">
        <v>35</v>
      </c>
      <c r="J1369" s="7">
        <f>Table2[[#This Row],[UnitPrice]]*Table2[[#This Row],[Quantity]]*(1-Table2[[#This Row],[Discount]])</f>
        <v>5972.8304999999991</v>
      </c>
      <c r="K1369" t="s">
        <v>42</v>
      </c>
      <c r="L1369" t="s">
        <v>43</v>
      </c>
      <c r="M1369">
        <v>0</v>
      </c>
      <c r="N1369" t="s">
        <v>1413</v>
      </c>
      <c r="O1369" t="s">
        <v>2809</v>
      </c>
      <c r="P1369" s="7">
        <v>18.22</v>
      </c>
      <c r="Q1369" s="1">
        <v>45663</v>
      </c>
      <c r="R1369">
        <f>WEEKNUM(Table2[[#This Row],[OrderDate]])</f>
        <v>2</v>
      </c>
      <c r="S1369" s="1">
        <v>45672</v>
      </c>
      <c r="T1369" t="s">
        <v>2919</v>
      </c>
    </row>
    <row r="1370" spans="1:20" x14ac:dyDescent="0.35">
      <c r="A1370" s="1">
        <v>45031</v>
      </c>
      <c r="B1370" t="s">
        <v>2933</v>
      </c>
      <c r="C1370" t="s">
        <v>24</v>
      </c>
      <c r="D1370" s="9">
        <v>8</v>
      </c>
      <c r="E1370" s="7">
        <v>304.14999999999998</v>
      </c>
      <c r="F1370" t="s">
        <v>26</v>
      </c>
      <c r="G1370" t="s">
        <v>30</v>
      </c>
      <c r="H1370" s="12">
        <v>0.05</v>
      </c>
      <c r="I1370" t="s">
        <v>35</v>
      </c>
      <c r="J1370" s="7">
        <f>Table2[[#This Row],[UnitPrice]]*Table2[[#This Row],[Quantity]]*(1-Table2[[#This Row],[Discount]])</f>
        <v>2311.5399999999995</v>
      </c>
      <c r="K1370" t="s">
        <v>41</v>
      </c>
      <c r="L1370" t="s">
        <v>2937</v>
      </c>
      <c r="M1370">
        <v>0</v>
      </c>
      <c r="N1370" t="s">
        <v>1414</v>
      </c>
      <c r="O1370" t="s">
        <v>2810</v>
      </c>
      <c r="P1370" s="7">
        <v>41.73</v>
      </c>
      <c r="Q1370" s="1">
        <v>45031</v>
      </c>
      <c r="R1370">
        <f>WEEKNUM(Table2[[#This Row],[OrderDate]])</f>
        <v>15</v>
      </c>
      <c r="S1370" s="1">
        <v>45034</v>
      </c>
      <c r="T1370" t="s">
        <v>2921</v>
      </c>
    </row>
    <row r="1371" spans="1:20" x14ac:dyDescent="0.35">
      <c r="A1371" s="1">
        <v>45329</v>
      </c>
      <c r="B1371" t="s">
        <v>2930</v>
      </c>
      <c r="C1371" t="s">
        <v>25</v>
      </c>
      <c r="D1371" s="9">
        <v>10</v>
      </c>
      <c r="E1371" s="7">
        <v>452.21</v>
      </c>
      <c r="F1371" t="s">
        <v>27</v>
      </c>
      <c r="G1371" t="s">
        <v>31</v>
      </c>
      <c r="H1371" s="12">
        <v>0.1</v>
      </c>
      <c r="I1371" t="s">
        <v>32</v>
      </c>
      <c r="J1371" s="7">
        <f>Table2[[#This Row],[UnitPrice]]*Table2[[#This Row],[Quantity]]*(1-Table2[[#This Row],[Discount]])</f>
        <v>4069.8899999999994</v>
      </c>
      <c r="K1371" t="s">
        <v>42</v>
      </c>
      <c r="L1371" t="s">
        <v>45</v>
      </c>
      <c r="M1371">
        <v>0</v>
      </c>
      <c r="N1371" t="s">
        <v>1415</v>
      </c>
      <c r="O1371" t="s">
        <v>2811</v>
      </c>
      <c r="P1371" s="7">
        <v>15.87</v>
      </c>
      <c r="Q1371" s="1">
        <v>45329</v>
      </c>
      <c r="R1371">
        <f>WEEKNUM(Table2[[#This Row],[OrderDate]])</f>
        <v>6</v>
      </c>
      <c r="S1371" s="1">
        <v>45339</v>
      </c>
      <c r="T1371" t="s">
        <v>2917</v>
      </c>
    </row>
    <row r="1372" spans="1:20" x14ac:dyDescent="0.35">
      <c r="A1372" s="1">
        <v>45079</v>
      </c>
      <c r="B1372" t="s">
        <v>2930</v>
      </c>
      <c r="C1372" t="s">
        <v>25</v>
      </c>
      <c r="D1372" s="9">
        <v>4</v>
      </c>
      <c r="E1372" s="7">
        <v>248.16</v>
      </c>
      <c r="F1372" t="s">
        <v>26</v>
      </c>
      <c r="G1372" t="s">
        <v>31</v>
      </c>
      <c r="H1372" s="12">
        <v>0.1</v>
      </c>
      <c r="I1372" t="s">
        <v>36</v>
      </c>
      <c r="J1372" s="7">
        <f>Table2[[#This Row],[UnitPrice]]*Table2[[#This Row],[Quantity]]*(1-Table2[[#This Row],[Discount]])</f>
        <v>893.37599999999998</v>
      </c>
      <c r="K1372" t="s">
        <v>40</v>
      </c>
      <c r="L1372" t="s">
        <v>2937</v>
      </c>
      <c r="M1372">
        <v>1</v>
      </c>
      <c r="N1372" t="s">
        <v>1416</v>
      </c>
      <c r="O1372" t="s">
        <v>2812</v>
      </c>
      <c r="P1372" s="7">
        <v>45.11</v>
      </c>
      <c r="Q1372" s="1">
        <v>45079</v>
      </c>
      <c r="R1372">
        <f>WEEKNUM(Table2[[#This Row],[OrderDate]])</f>
        <v>22</v>
      </c>
      <c r="S1372" s="1">
        <v>45082</v>
      </c>
      <c r="T1372" t="s">
        <v>2917</v>
      </c>
    </row>
    <row r="1373" spans="1:20" x14ac:dyDescent="0.35">
      <c r="A1373" s="1">
        <v>45162</v>
      </c>
      <c r="B1373" t="s">
        <v>2930</v>
      </c>
      <c r="C1373" t="s">
        <v>19</v>
      </c>
      <c r="D1373" s="9">
        <v>4</v>
      </c>
      <c r="E1373" s="7">
        <v>520</v>
      </c>
      <c r="F1373" t="s">
        <v>27</v>
      </c>
      <c r="G1373" t="s">
        <v>31</v>
      </c>
      <c r="H1373" s="12">
        <v>0</v>
      </c>
      <c r="I1373" t="s">
        <v>32</v>
      </c>
      <c r="J1373" s="7">
        <f>Table2[[#This Row],[UnitPrice]]*Table2[[#This Row],[Quantity]]*(1-Table2[[#This Row],[Discount]])</f>
        <v>2080</v>
      </c>
      <c r="K1373" t="s">
        <v>40</v>
      </c>
      <c r="L1373" t="s">
        <v>45</v>
      </c>
      <c r="M1373">
        <v>0</v>
      </c>
      <c r="N1373" t="s">
        <v>1417</v>
      </c>
      <c r="O1373" t="s">
        <v>2813</v>
      </c>
      <c r="P1373" s="7">
        <v>18.25</v>
      </c>
      <c r="Q1373" s="1">
        <v>45162</v>
      </c>
      <c r="R1373">
        <f>WEEKNUM(Table2[[#This Row],[OrderDate]])</f>
        <v>34</v>
      </c>
      <c r="S1373" s="1">
        <v>45171</v>
      </c>
      <c r="T1373" t="s">
        <v>2917</v>
      </c>
    </row>
    <row r="1374" spans="1:20" x14ac:dyDescent="0.35">
      <c r="A1374" s="1">
        <v>45632</v>
      </c>
      <c r="B1374" t="s">
        <v>2932</v>
      </c>
      <c r="C1374" t="s">
        <v>22</v>
      </c>
      <c r="D1374" s="9">
        <v>11</v>
      </c>
      <c r="E1374" s="7">
        <v>571.07000000000005</v>
      </c>
      <c r="F1374" t="s">
        <v>27</v>
      </c>
      <c r="G1374" t="s">
        <v>31</v>
      </c>
      <c r="H1374" s="12">
        <v>0</v>
      </c>
      <c r="I1374" t="s">
        <v>34</v>
      </c>
      <c r="J1374" s="7">
        <f>Table2[[#This Row],[UnitPrice]]*Table2[[#This Row],[Quantity]]*(1-Table2[[#This Row],[Discount]])</f>
        <v>6281.77</v>
      </c>
      <c r="K1374" t="s">
        <v>39</v>
      </c>
      <c r="L1374" t="s">
        <v>44</v>
      </c>
      <c r="M1374">
        <v>0</v>
      </c>
      <c r="N1374" t="s">
        <v>1418</v>
      </c>
      <c r="O1374" t="s">
        <v>2814</v>
      </c>
      <c r="P1374" s="7">
        <v>12.6</v>
      </c>
      <c r="Q1374" s="1">
        <v>45632</v>
      </c>
      <c r="R1374">
        <f>WEEKNUM(Table2[[#This Row],[OrderDate]])</f>
        <v>49</v>
      </c>
      <c r="S1374" s="1">
        <v>45637</v>
      </c>
      <c r="T1374" t="s">
        <v>2918</v>
      </c>
    </row>
    <row r="1375" spans="1:20" x14ac:dyDescent="0.35">
      <c r="A1375" s="1">
        <v>45268</v>
      </c>
      <c r="B1375" t="s">
        <v>2930</v>
      </c>
      <c r="C1375" t="s">
        <v>24</v>
      </c>
      <c r="D1375" s="9">
        <v>11</v>
      </c>
      <c r="E1375" s="7">
        <v>65.569999999999993</v>
      </c>
      <c r="F1375" t="s">
        <v>29</v>
      </c>
      <c r="G1375" t="s">
        <v>31</v>
      </c>
      <c r="H1375" s="12">
        <v>0.1</v>
      </c>
      <c r="I1375" t="s">
        <v>36</v>
      </c>
      <c r="J1375" s="7">
        <f>Table2[[#This Row],[UnitPrice]]*Table2[[#This Row],[Quantity]]*(1-Table2[[#This Row],[Discount]])</f>
        <v>649.14300000000003</v>
      </c>
      <c r="K1375" t="s">
        <v>41</v>
      </c>
      <c r="L1375" t="s">
        <v>44</v>
      </c>
      <c r="M1375">
        <v>1</v>
      </c>
      <c r="N1375" t="s">
        <v>1419</v>
      </c>
      <c r="O1375" t="s">
        <v>2815</v>
      </c>
      <c r="P1375" s="7">
        <v>30.43</v>
      </c>
      <c r="Q1375" s="1">
        <v>45268</v>
      </c>
      <c r="R1375">
        <f>WEEKNUM(Table2[[#This Row],[OrderDate]])</f>
        <v>49</v>
      </c>
      <c r="S1375" s="1">
        <v>45274</v>
      </c>
      <c r="T1375" t="s">
        <v>2917</v>
      </c>
    </row>
    <row r="1376" spans="1:20" x14ac:dyDescent="0.35">
      <c r="A1376" s="1">
        <v>45058</v>
      </c>
      <c r="B1376" t="s">
        <v>2932</v>
      </c>
      <c r="C1376" t="s">
        <v>24</v>
      </c>
      <c r="D1376" s="9">
        <v>4</v>
      </c>
      <c r="E1376" s="7">
        <v>397.02</v>
      </c>
      <c r="F1376" t="s">
        <v>27</v>
      </c>
      <c r="G1376" t="s">
        <v>30</v>
      </c>
      <c r="H1376" s="12">
        <v>0</v>
      </c>
      <c r="I1376" t="s">
        <v>34</v>
      </c>
      <c r="J1376" s="7">
        <f>Table2[[#This Row],[UnitPrice]]*Table2[[#This Row],[Quantity]]*(1-Table2[[#This Row],[Discount]])</f>
        <v>1588.08</v>
      </c>
      <c r="K1376" t="s">
        <v>42</v>
      </c>
      <c r="L1376" t="s">
        <v>43</v>
      </c>
      <c r="M1376">
        <v>0</v>
      </c>
      <c r="N1376" t="s">
        <v>1420</v>
      </c>
      <c r="O1376" t="s">
        <v>2816</v>
      </c>
      <c r="P1376" s="7">
        <v>23.25</v>
      </c>
      <c r="Q1376" s="1">
        <v>45058</v>
      </c>
      <c r="R1376">
        <f>WEEKNUM(Table2[[#This Row],[OrderDate]])</f>
        <v>19</v>
      </c>
      <c r="S1376" s="1">
        <v>45066</v>
      </c>
      <c r="T1376" t="s">
        <v>2918</v>
      </c>
    </row>
    <row r="1377" spans="1:20" x14ac:dyDescent="0.35">
      <c r="A1377" s="1">
        <v>45771</v>
      </c>
      <c r="B1377" t="s">
        <v>2933</v>
      </c>
      <c r="C1377" t="s">
        <v>19</v>
      </c>
      <c r="D1377" s="9">
        <v>10</v>
      </c>
      <c r="E1377" s="7">
        <v>169.35</v>
      </c>
      <c r="F1377" t="s">
        <v>26</v>
      </c>
      <c r="G1377" t="s">
        <v>31</v>
      </c>
      <c r="H1377" s="12">
        <v>0.05</v>
      </c>
      <c r="I1377" t="s">
        <v>33</v>
      </c>
      <c r="J1377" s="7">
        <f>Table2[[#This Row],[UnitPrice]]*Table2[[#This Row],[Quantity]]*(1-Table2[[#This Row],[Discount]])</f>
        <v>1608.8249999999998</v>
      </c>
      <c r="K1377" t="s">
        <v>40</v>
      </c>
      <c r="L1377" t="s">
        <v>45</v>
      </c>
      <c r="M1377">
        <v>0</v>
      </c>
      <c r="N1377" t="s">
        <v>1421</v>
      </c>
      <c r="O1377" t="s">
        <v>2817</v>
      </c>
      <c r="P1377" s="7">
        <v>44.91</v>
      </c>
      <c r="Q1377" s="1">
        <v>45771</v>
      </c>
      <c r="R1377">
        <f>WEEKNUM(Table2[[#This Row],[OrderDate]])</f>
        <v>17</v>
      </c>
      <c r="S1377" s="1">
        <v>45774</v>
      </c>
      <c r="T1377" t="s">
        <v>2921</v>
      </c>
    </row>
    <row r="1378" spans="1:20" x14ac:dyDescent="0.35">
      <c r="A1378" s="1">
        <v>45039</v>
      </c>
      <c r="B1378" t="s">
        <v>2934</v>
      </c>
      <c r="C1378" t="s">
        <v>24</v>
      </c>
      <c r="D1378" s="9">
        <v>9</v>
      </c>
      <c r="E1378" s="7">
        <v>340.44</v>
      </c>
      <c r="F1378" t="s">
        <v>29</v>
      </c>
      <c r="G1378" t="s">
        <v>31</v>
      </c>
      <c r="H1378" s="12">
        <v>0.05</v>
      </c>
      <c r="I1378" t="s">
        <v>35</v>
      </c>
      <c r="J1378" s="7">
        <f>Table2[[#This Row],[UnitPrice]]*Table2[[#This Row],[Quantity]]*(1-Table2[[#This Row],[Discount]])</f>
        <v>2910.7619999999997</v>
      </c>
      <c r="K1378" t="s">
        <v>41</v>
      </c>
      <c r="L1378" t="s">
        <v>43</v>
      </c>
      <c r="M1378">
        <v>1</v>
      </c>
      <c r="N1378" t="s">
        <v>1422</v>
      </c>
      <c r="O1378" t="s">
        <v>2818</v>
      </c>
      <c r="P1378" s="7">
        <v>36.68</v>
      </c>
      <c r="Q1378" s="1">
        <v>45039</v>
      </c>
      <c r="R1378">
        <f>WEEKNUM(Table2[[#This Row],[OrderDate]])</f>
        <v>17</v>
      </c>
      <c r="S1378" s="1">
        <v>45049</v>
      </c>
      <c r="T1378" t="s">
        <v>2920</v>
      </c>
    </row>
    <row r="1379" spans="1:20" x14ac:dyDescent="0.35">
      <c r="A1379" s="1">
        <v>44944</v>
      </c>
      <c r="B1379" t="s">
        <v>2931</v>
      </c>
      <c r="C1379" t="s">
        <v>23</v>
      </c>
      <c r="D1379" s="9">
        <v>1</v>
      </c>
      <c r="E1379" s="7">
        <v>120.2</v>
      </c>
      <c r="F1379" t="s">
        <v>29</v>
      </c>
      <c r="G1379" t="s">
        <v>31</v>
      </c>
      <c r="H1379" s="12">
        <v>0.05</v>
      </c>
      <c r="I1379" t="s">
        <v>35</v>
      </c>
      <c r="J1379" s="7">
        <f>Table2[[#This Row],[UnitPrice]]*Table2[[#This Row],[Quantity]]*(1-Table2[[#This Row],[Discount]])</f>
        <v>114.19</v>
      </c>
      <c r="K1379" t="s">
        <v>38</v>
      </c>
      <c r="L1379" t="s">
        <v>45</v>
      </c>
      <c r="M1379">
        <v>0</v>
      </c>
      <c r="N1379" t="s">
        <v>1423</v>
      </c>
      <c r="O1379" t="s">
        <v>2760</v>
      </c>
      <c r="P1379" s="7">
        <v>44.99</v>
      </c>
      <c r="Q1379" s="1">
        <v>44944</v>
      </c>
      <c r="R1379">
        <f>WEEKNUM(Table2[[#This Row],[OrderDate]])</f>
        <v>3</v>
      </c>
      <c r="S1379" s="1">
        <v>44947</v>
      </c>
      <c r="T1379" t="s">
        <v>2919</v>
      </c>
    </row>
    <row r="1380" spans="1:20" x14ac:dyDescent="0.35">
      <c r="A1380" s="1">
        <v>45788</v>
      </c>
      <c r="B1380" t="s">
        <v>2931</v>
      </c>
      <c r="C1380" t="s">
        <v>20</v>
      </c>
      <c r="D1380" s="9">
        <v>13</v>
      </c>
      <c r="E1380" s="7">
        <v>169.39</v>
      </c>
      <c r="F1380" t="s">
        <v>26</v>
      </c>
      <c r="G1380" t="s">
        <v>30</v>
      </c>
      <c r="H1380" s="12">
        <v>0.15</v>
      </c>
      <c r="I1380" t="s">
        <v>36</v>
      </c>
      <c r="J1380" s="7">
        <f>Table2[[#This Row],[UnitPrice]]*Table2[[#This Row],[Quantity]]*(1-Table2[[#This Row],[Discount]])</f>
        <v>1871.7594999999997</v>
      </c>
      <c r="K1380" t="s">
        <v>40</v>
      </c>
      <c r="L1380" t="s">
        <v>2937</v>
      </c>
      <c r="M1380">
        <v>0</v>
      </c>
      <c r="N1380" t="s">
        <v>1424</v>
      </c>
      <c r="O1380" t="s">
        <v>2819</v>
      </c>
      <c r="P1380" s="7">
        <v>6.81</v>
      </c>
      <c r="Q1380" s="1">
        <v>45788</v>
      </c>
      <c r="R1380">
        <f>WEEKNUM(Table2[[#This Row],[OrderDate]])</f>
        <v>20</v>
      </c>
      <c r="S1380" s="1">
        <v>45798</v>
      </c>
      <c r="T1380" t="s">
        <v>2919</v>
      </c>
    </row>
    <row r="1381" spans="1:20" x14ac:dyDescent="0.35">
      <c r="A1381" s="1">
        <v>45649</v>
      </c>
      <c r="B1381" t="s">
        <v>2933</v>
      </c>
      <c r="C1381" t="s">
        <v>24</v>
      </c>
      <c r="D1381" s="9">
        <v>10</v>
      </c>
      <c r="E1381" s="7">
        <v>170.72</v>
      </c>
      <c r="F1381" t="s">
        <v>27</v>
      </c>
      <c r="G1381" t="s">
        <v>30</v>
      </c>
      <c r="H1381" s="12">
        <v>0.05</v>
      </c>
      <c r="I1381" t="s">
        <v>34</v>
      </c>
      <c r="J1381" s="7">
        <f>Table2[[#This Row],[UnitPrice]]*Table2[[#This Row],[Quantity]]*(1-Table2[[#This Row],[Discount]])</f>
        <v>1621.84</v>
      </c>
      <c r="K1381" t="s">
        <v>38</v>
      </c>
      <c r="L1381" t="s">
        <v>43</v>
      </c>
      <c r="M1381">
        <v>0</v>
      </c>
      <c r="N1381" t="s">
        <v>1425</v>
      </c>
      <c r="O1381" t="s">
        <v>2820</v>
      </c>
      <c r="P1381" s="7">
        <v>29.18</v>
      </c>
      <c r="Q1381" s="1">
        <v>45649</v>
      </c>
      <c r="R1381">
        <f>WEEKNUM(Table2[[#This Row],[OrderDate]])</f>
        <v>52</v>
      </c>
      <c r="S1381" s="1">
        <v>45659</v>
      </c>
      <c r="T1381" t="s">
        <v>2921</v>
      </c>
    </row>
    <row r="1382" spans="1:20" x14ac:dyDescent="0.35">
      <c r="A1382" s="1">
        <v>45158</v>
      </c>
      <c r="B1382" t="s">
        <v>2933</v>
      </c>
      <c r="C1382" t="s">
        <v>21</v>
      </c>
      <c r="D1382" s="9">
        <v>9</v>
      </c>
      <c r="E1382" s="7">
        <v>323.77</v>
      </c>
      <c r="F1382" t="s">
        <v>27</v>
      </c>
      <c r="G1382" t="s">
        <v>30</v>
      </c>
      <c r="H1382" s="12">
        <v>0.15</v>
      </c>
      <c r="I1382" t="s">
        <v>35</v>
      </c>
      <c r="J1382" s="7">
        <f>Table2[[#This Row],[UnitPrice]]*Table2[[#This Row],[Quantity]]*(1-Table2[[#This Row],[Discount]])</f>
        <v>2476.8404999999998</v>
      </c>
      <c r="K1382" t="s">
        <v>41</v>
      </c>
      <c r="L1382" t="s">
        <v>2937</v>
      </c>
      <c r="M1382">
        <v>0</v>
      </c>
      <c r="N1382" t="s">
        <v>1426</v>
      </c>
      <c r="O1382" t="s">
        <v>2821</v>
      </c>
      <c r="P1382" s="7">
        <v>6.36</v>
      </c>
      <c r="Q1382" s="1">
        <v>45158</v>
      </c>
      <c r="R1382">
        <f>WEEKNUM(Table2[[#This Row],[OrderDate]])</f>
        <v>34</v>
      </c>
      <c r="S1382" s="1">
        <v>45166</v>
      </c>
      <c r="T1382" t="s">
        <v>2921</v>
      </c>
    </row>
    <row r="1383" spans="1:20" x14ac:dyDescent="0.35">
      <c r="A1383" s="1">
        <v>45734</v>
      </c>
      <c r="B1383" t="s">
        <v>2934</v>
      </c>
      <c r="C1383" t="s">
        <v>22</v>
      </c>
      <c r="D1383" s="9">
        <v>4</v>
      </c>
      <c r="E1383" s="7">
        <v>481.86</v>
      </c>
      <c r="F1383" t="s">
        <v>26</v>
      </c>
      <c r="G1383" t="s">
        <v>30</v>
      </c>
      <c r="H1383" s="12">
        <v>0</v>
      </c>
      <c r="I1383" t="s">
        <v>37</v>
      </c>
      <c r="J1383" s="7">
        <f>Table2[[#This Row],[UnitPrice]]*Table2[[#This Row],[Quantity]]*(1-Table2[[#This Row],[Discount]])</f>
        <v>1927.44</v>
      </c>
      <c r="K1383" t="s">
        <v>38</v>
      </c>
      <c r="L1383" t="s">
        <v>43</v>
      </c>
      <c r="M1383">
        <v>0</v>
      </c>
      <c r="N1383" t="s">
        <v>1427</v>
      </c>
      <c r="O1383" t="s">
        <v>2822</v>
      </c>
      <c r="P1383" s="7">
        <v>21.92</v>
      </c>
      <c r="Q1383" s="1">
        <v>45734</v>
      </c>
      <c r="R1383">
        <f>WEEKNUM(Table2[[#This Row],[OrderDate]])</f>
        <v>12</v>
      </c>
      <c r="S1383" s="1">
        <v>45739</v>
      </c>
      <c r="T1383" t="s">
        <v>2920</v>
      </c>
    </row>
    <row r="1384" spans="1:20" x14ac:dyDescent="0.35">
      <c r="A1384" s="1">
        <v>45307</v>
      </c>
      <c r="B1384" t="s">
        <v>2934</v>
      </c>
      <c r="C1384" t="s">
        <v>20</v>
      </c>
      <c r="D1384" s="9">
        <v>4</v>
      </c>
      <c r="E1384" s="7">
        <v>78.05</v>
      </c>
      <c r="F1384" t="s">
        <v>27</v>
      </c>
      <c r="G1384" t="s">
        <v>31</v>
      </c>
      <c r="H1384" s="12">
        <v>0</v>
      </c>
      <c r="I1384" t="s">
        <v>35</v>
      </c>
      <c r="J1384" s="7">
        <f>Table2[[#This Row],[UnitPrice]]*Table2[[#This Row],[Quantity]]*(1-Table2[[#This Row],[Discount]])</f>
        <v>312.2</v>
      </c>
      <c r="K1384" t="s">
        <v>40</v>
      </c>
      <c r="L1384" t="s">
        <v>2937</v>
      </c>
      <c r="M1384">
        <v>0</v>
      </c>
      <c r="N1384" t="s">
        <v>1428</v>
      </c>
      <c r="O1384" t="s">
        <v>2823</v>
      </c>
      <c r="P1384" s="7">
        <v>14.03</v>
      </c>
      <c r="Q1384" s="1">
        <v>45307</v>
      </c>
      <c r="R1384">
        <f>WEEKNUM(Table2[[#This Row],[OrderDate]])</f>
        <v>3</v>
      </c>
      <c r="S1384" s="1">
        <v>45315</v>
      </c>
      <c r="T1384" t="s">
        <v>2920</v>
      </c>
    </row>
    <row r="1385" spans="1:20" x14ac:dyDescent="0.35">
      <c r="A1385" s="1">
        <v>45441</v>
      </c>
      <c r="B1385" t="s">
        <v>2930</v>
      </c>
      <c r="C1385" t="s">
        <v>24</v>
      </c>
      <c r="D1385" s="9">
        <v>6</v>
      </c>
      <c r="E1385" s="7">
        <v>57.4</v>
      </c>
      <c r="F1385" t="s">
        <v>28</v>
      </c>
      <c r="G1385" t="s">
        <v>30</v>
      </c>
      <c r="H1385" s="12">
        <v>0.1</v>
      </c>
      <c r="I1385" t="s">
        <v>32</v>
      </c>
      <c r="J1385" s="7">
        <f>Table2[[#This Row],[UnitPrice]]*Table2[[#This Row],[Quantity]]*(1-Table2[[#This Row],[Discount]])</f>
        <v>309.95999999999998</v>
      </c>
      <c r="K1385" t="s">
        <v>41</v>
      </c>
      <c r="L1385" t="s">
        <v>43</v>
      </c>
      <c r="M1385">
        <v>0</v>
      </c>
      <c r="N1385" t="s">
        <v>1429</v>
      </c>
      <c r="O1385" t="s">
        <v>2824</v>
      </c>
      <c r="P1385" s="7">
        <v>26.42</v>
      </c>
      <c r="Q1385" s="1">
        <v>45441</v>
      </c>
      <c r="R1385">
        <f>WEEKNUM(Table2[[#This Row],[OrderDate]])</f>
        <v>22</v>
      </c>
      <c r="S1385" s="1">
        <v>45451</v>
      </c>
      <c r="T1385" t="s">
        <v>2917</v>
      </c>
    </row>
    <row r="1386" spans="1:20" x14ac:dyDescent="0.35">
      <c r="A1386" s="1">
        <v>45741</v>
      </c>
      <c r="B1386" t="s">
        <v>2932</v>
      </c>
      <c r="C1386" t="s">
        <v>19</v>
      </c>
      <c r="D1386" s="9">
        <v>9</v>
      </c>
      <c r="E1386" s="7">
        <v>454.98</v>
      </c>
      <c r="F1386" t="s">
        <v>26</v>
      </c>
      <c r="G1386" t="s">
        <v>30</v>
      </c>
      <c r="H1386" s="12">
        <v>0.15</v>
      </c>
      <c r="I1386" t="s">
        <v>32</v>
      </c>
      <c r="J1386" s="7">
        <f>Table2[[#This Row],[UnitPrice]]*Table2[[#This Row],[Quantity]]*(1-Table2[[#This Row],[Discount]])</f>
        <v>3480.5970000000002</v>
      </c>
      <c r="K1386" t="s">
        <v>40</v>
      </c>
      <c r="L1386" t="s">
        <v>2937</v>
      </c>
      <c r="M1386">
        <v>0</v>
      </c>
      <c r="N1386" t="s">
        <v>1430</v>
      </c>
      <c r="O1386" t="s">
        <v>2825</v>
      </c>
      <c r="P1386" s="7">
        <v>40.76</v>
      </c>
      <c r="Q1386" s="1">
        <v>45741</v>
      </c>
      <c r="R1386">
        <f>WEEKNUM(Table2[[#This Row],[OrderDate]])</f>
        <v>13</v>
      </c>
      <c r="S1386" s="1">
        <v>45743</v>
      </c>
      <c r="T1386" t="s">
        <v>2918</v>
      </c>
    </row>
    <row r="1387" spans="1:20" x14ac:dyDescent="0.35">
      <c r="A1387" s="1">
        <v>45738</v>
      </c>
      <c r="B1387" t="s">
        <v>2934</v>
      </c>
      <c r="C1387" t="s">
        <v>21</v>
      </c>
      <c r="D1387" s="9">
        <v>11</v>
      </c>
      <c r="E1387" s="7">
        <v>365.75</v>
      </c>
      <c r="F1387" t="s">
        <v>29</v>
      </c>
      <c r="G1387" t="s">
        <v>30</v>
      </c>
      <c r="H1387" s="12">
        <v>0.05</v>
      </c>
      <c r="I1387" t="s">
        <v>37</v>
      </c>
      <c r="J1387" s="7">
        <f>Table2[[#This Row],[UnitPrice]]*Table2[[#This Row],[Quantity]]*(1-Table2[[#This Row],[Discount]])</f>
        <v>3822.0874999999996</v>
      </c>
      <c r="K1387" t="s">
        <v>41</v>
      </c>
      <c r="L1387" t="s">
        <v>43</v>
      </c>
      <c r="M1387">
        <v>1</v>
      </c>
      <c r="N1387" t="s">
        <v>1431</v>
      </c>
      <c r="O1387" t="s">
        <v>2826</v>
      </c>
      <c r="P1387" s="7">
        <v>8.3699999999999992</v>
      </c>
      <c r="Q1387" s="1">
        <v>45738</v>
      </c>
      <c r="R1387">
        <f>WEEKNUM(Table2[[#This Row],[OrderDate]])</f>
        <v>12</v>
      </c>
      <c r="S1387" s="1">
        <v>45743</v>
      </c>
      <c r="T1387" t="s">
        <v>2920</v>
      </c>
    </row>
    <row r="1388" spans="1:20" x14ac:dyDescent="0.35">
      <c r="A1388" s="1">
        <v>45521</v>
      </c>
      <c r="B1388" t="s">
        <v>2930</v>
      </c>
      <c r="C1388" t="s">
        <v>20</v>
      </c>
      <c r="D1388" s="9">
        <v>7</v>
      </c>
      <c r="E1388" s="7">
        <v>106.88</v>
      </c>
      <c r="F1388" t="s">
        <v>28</v>
      </c>
      <c r="G1388" t="s">
        <v>31</v>
      </c>
      <c r="H1388" s="12">
        <v>0.05</v>
      </c>
      <c r="I1388" t="s">
        <v>36</v>
      </c>
      <c r="J1388" s="7">
        <f>Table2[[#This Row],[UnitPrice]]*Table2[[#This Row],[Quantity]]*(1-Table2[[#This Row],[Discount]])</f>
        <v>710.75199999999995</v>
      </c>
      <c r="K1388" t="s">
        <v>42</v>
      </c>
      <c r="L1388" t="s">
        <v>45</v>
      </c>
      <c r="M1388">
        <v>1</v>
      </c>
      <c r="N1388" t="s">
        <v>1432</v>
      </c>
      <c r="O1388" t="s">
        <v>2827</v>
      </c>
      <c r="P1388" s="7">
        <v>26.12</v>
      </c>
      <c r="Q1388" s="1">
        <v>45521</v>
      </c>
      <c r="R1388">
        <f>WEEKNUM(Table2[[#This Row],[OrderDate]])</f>
        <v>33</v>
      </c>
      <c r="S1388" s="1">
        <v>45528</v>
      </c>
      <c r="T1388" t="s">
        <v>2917</v>
      </c>
    </row>
    <row r="1389" spans="1:20" x14ac:dyDescent="0.35">
      <c r="A1389" s="1">
        <v>45445</v>
      </c>
      <c r="B1389" t="s">
        <v>2932</v>
      </c>
      <c r="C1389" t="s">
        <v>25</v>
      </c>
      <c r="D1389" s="9">
        <v>2</v>
      </c>
      <c r="E1389" s="7">
        <v>250.98</v>
      </c>
      <c r="F1389" t="s">
        <v>26</v>
      </c>
      <c r="G1389" t="s">
        <v>30</v>
      </c>
      <c r="H1389" s="12">
        <v>0.1</v>
      </c>
      <c r="I1389" t="s">
        <v>32</v>
      </c>
      <c r="J1389" s="7">
        <f>Table2[[#This Row],[UnitPrice]]*Table2[[#This Row],[Quantity]]*(1-Table2[[#This Row],[Discount]])</f>
        <v>451.76400000000001</v>
      </c>
      <c r="K1389" t="s">
        <v>38</v>
      </c>
      <c r="L1389" t="s">
        <v>45</v>
      </c>
      <c r="M1389">
        <v>0</v>
      </c>
      <c r="N1389" t="s">
        <v>1433</v>
      </c>
      <c r="O1389" t="s">
        <v>2828</v>
      </c>
      <c r="P1389" s="7">
        <v>18.8</v>
      </c>
      <c r="Q1389" s="1">
        <v>45445</v>
      </c>
      <c r="R1389">
        <f>WEEKNUM(Table2[[#This Row],[OrderDate]])</f>
        <v>23</v>
      </c>
      <c r="S1389" s="1">
        <v>45455</v>
      </c>
      <c r="T1389" t="s">
        <v>2918</v>
      </c>
    </row>
    <row r="1390" spans="1:20" x14ac:dyDescent="0.35">
      <c r="A1390" s="1">
        <v>45016</v>
      </c>
      <c r="B1390" t="s">
        <v>2932</v>
      </c>
      <c r="C1390" t="s">
        <v>23</v>
      </c>
      <c r="D1390" s="9">
        <v>8</v>
      </c>
      <c r="E1390" s="7">
        <v>591.29</v>
      </c>
      <c r="F1390" t="s">
        <v>28</v>
      </c>
      <c r="G1390" t="s">
        <v>31</v>
      </c>
      <c r="H1390" s="12">
        <v>0.1</v>
      </c>
      <c r="I1390" t="s">
        <v>36</v>
      </c>
      <c r="J1390" s="7">
        <f>Table2[[#This Row],[UnitPrice]]*Table2[[#This Row],[Quantity]]*(1-Table2[[#This Row],[Discount]])</f>
        <v>4257.2879999999996</v>
      </c>
      <c r="K1390" t="s">
        <v>40</v>
      </c>
      <c r="L1390" t="s">
        <v>2937</v>
      </c>
      <c r="M1390">
        <v>1</v>
      </c>
      <c r="N1390" t="s">
        <v>1434</v>
      </c>
      <c r="O1390" t="s">
        <v>2829</v>
      </c>
      <c r="P1390" s="7">
        <v>45.14</v>
      </c>
      <c r="Q1390" s="1">
        <v>45016</v>
      </c>
      <c r="R1390">
        <f>WEEKNUM(Table2[[#This Row],[OrderDate]])</f>
        <v>13</v>
      </c>
      <c r="S1390" s="1">
        <v>45026</v>
      </c>
      <c r="T1390" t="s">
        <v>2918</v>
      </c>
    </row>
    <row r="1391" spans="1:20" x14ac:dyDescent="0.35">
      <c r="A1391" s="1">
        <v>45431</v>
      </c>
      <c r="B1391" t="s">
        <v>2933</v>
      </c>
      <c r="C1391" t="s">
        <v>23</v>
      </c>
      <c r="D1391" s="9">
        <v>18</v>
      </c>
      <c r="E1391" s="7">
        <v>369.79</v>
      </c>
      <c r="F1391" t="s">
        <v>27</v>
      </c>
      <c r="G1391" t="s">
        <v>30</v>
      </c>
      <c r="H1391" s="12">
        <v>0.05</v>
      </c>
      <c r="I1391" t="s">
        <v>32</v>
      </c>
      <c r="J1391" s="7">
        <f>Table2[[#This Row],[UnitPrice]]*Table2[[#This Row],[Quantity]]*(1-Table2[[#This Row],[Discount]])</f>
        <v>6323.4089999999997</v>
      </c>
      <c r="K1391" t="s">
        <v>42</v>
      </c>
      <c r="L1391" t="s">
        <v>43</v>
      </c>
      <c r="M1391">
        <v>1</v>
      </c>
      <c r="N1391" t="s">
        <v>1435</v>
      </c>
      <c r="O1391" t="s">
        <v>2830</v>
      </c>
      <c r="P1391" s="7">
        <v>16.399999999999999</v>
      </c>
      <c r="Q1391" s="1">
        <v>45431</v>
      </c>
      <c r="R1391">
        <f>WEEKNUM(Table2[[#This Row],[OrderDate]])</f>
        <v>21</v>
      </c>
      <c r="S1391" s="1">
        <v>45435</v>
      </c>
      <c r="T1391" t="s">
        <v>2921</v>
      </c>
    </row>
    <row r="1392" spans="1:20" x14ac:dyDescent="0.35">
      <c r="A1392" s="1">
        <v>44987</v>
      </c>
      <c r="B1392" t="s">
        <v>2933</v>
      </c>
      <c r="C1392" t="s">
        <v>21</v>
      </c>
      <c r="D1392" s="9">
        <v>15</v>
      </c>
      <c r="E1392" s="7">
        <v>166.24</v>
      </c>
      <c r="F1392" t="s">
        <v>29</v>
      </c>
      <c r="G1392" t="s">
        <v>30</v>
      </c>
      <c r="H1392" s="12">
        <v>0.1</v>
      </c>
      <c r="I1392" t="s">
        <v>36</v>
      </c>
      <c r="J1392" s="7">
        <f>Table2[[#This Row],[UnitPrice]]*Table2[[#This Row],[Quantity]]*(1-Table2[[#This Row],[Discount]])</f>
        <v>2244.2400000000002</v>
      </c>
      <c r="K1392" t="s">
        <v>41</v>
      </c>
      <c r="L1392" t="s">
        <v>44</v>
      </c>
      <c r="M1392">
        <v>0</v>
      </c>
      <c r="N1392" t="s">
        <v>1436</v>
      </c>
      <c r="O1392" t="s">
        <v>2831</v>
      </c>
      <c r="P1392" s="7">
        <v>9.86</v>
      </c>
      <c r="Q1392" s="1">
        <v>44987</v>
      </c>
      <c r="R1392">
        <f>WEEKNUM(Table2[[#This Row],[OrderDate]])</f>
        <v>9</v>
      </c>
      <c r="S1392" s="1">
        <v>44990</v>
      </c>
      <c r="T1392" t="s">
        <v>2921</v>
      </c>
    </row>
    <row r="1393" spans="1:20" x14ac:dyDescent="0.35">
      <c r="A1393" s="1">
        <v>44998</v>
      </c>
      <c r="B1393" t="s">
        <v>2931</v>
      </c>
      <c r="C1393" t="s">
        <v>25</v>
      </c>
      <c r="D1393" s="9">
        <v>12</v>
      </c>
      <c r="E1393" s="7">
        <v>260.76</v>
      </c>
      <c r="F1393" t="s">
        <v>28</v>
      </c>
      <c r="G1393" t="s">
        <v>30</v>
      </c>
      <c r="H1393" s="12">
        <v>0.15</v>
      </c>
      <c r="I1393" t="s">
        <v>35</v>
      </c>
      <c r="J1393" s="7">
        <f>Table2[[#This Row],[UnitPrice]]*Table2[[#This Row],[Quantity]]*(1-Table2[[#This Row],[Discount]])</f>
        <v>2659.752</v>
      </c>
      <c r="K1393" t="s">
        <v>38</v>
      </c>
      <c r="L1393" t="s">
        <v>2937</v>
      </c>
      <c r="M1393">
        <v>0</v>
      </c>
      <c r="N1393" t="s">
        <v>1437</v>
      </c>
      <c r="O1393" t="s">
        <v>2832</v>
      </c>
      <c r="P1393" s="7">
        <v>20.92</v>
      </c>
      <c r="Q1393" s="1">
        <v>44998</v>
      </c>
      <c r="R1393">
        <f>WEEKNUM(Table2[[#This Row],[OrderDate]])</f>
        <v>11</v>
      </c>
      <c r="S1393" s="1">
        <v>45007</v>
      </c>
      <c r="T1393" t="s">
        <v>2919</v>
      </c>
    </row>
    <row r="1394" spans="1:20" x14ac:dyDescent="0.35">
      <c r="A1394" s="1">
        <v>45763</v>
      </c>
      <c r="B1394" t="s">
        <v>2933</v>
      </c>
      <c r="C1394" t="s">
        <v>19</v>
      </c>
      <c r="D1394" s="9">
        <v>10</v>
      </c>
      <c r="E1394" s="7">
        <v>348.63</v>
      </c>
      <c r="F1394" t="s">
        <v>29</v>
      </c>
      <c r="G1394" t="s">
        <v>30</v>
      </c>
      <c r="H1394" s="12">
        <v>0.05</v>
      </c>
      <c r="I1394" t="s">
        <v>36</v>
      </c>
      <c r="J1394" s="7">
        <f>Table2[[#This Row],[UnitPrice]]*Table2[[#This Row],[Quantity]]*(1-Table2[[#This Row],[Discount]])</f>
        <v>3311.9850000000001</v>
      </c>
      <c r="K1394" t="s">
        <v>40</v>
      </c>
      <c r="L1394" t="s">
        <v>2937</v>
      </c>
      <c r="M1394">
        <v>1</v>
      </c>
      <c r="N1394" t="s">
        <v>1438</v>
      </c>
      <c r="O1394" t="s">
        <v>2833</v>
      </c>
      <c r="P1394" s="7">
        <v>42.79</v>
      </c>
      <c r="Q1394" s="1">
        <v>45763</v>
      </c>
      <c r="R1394">
        <f>WEEKNUM(Table2[[#This Row],[OrderDate]])</f>
        <v>16</v>
      </c>
      <c r="S1394" s="1">
        <v>45765</v>
      </c>
      <c r="T1394" t="s">
        <v>2921</v>
      </c>
    </row>
    <row r="1395" spans="1:20" x14ac:dyDescent="0.35">
      <c r="A1395" s="1">
        <v>45448</v>
      </c>
      <c r="B1395" t="s">
        <v>2931</v>
      </c>
      <c r="C1395" t="s">
        <v>22</v>
      </c>
      <c r="D1395" s="9">
        <v>5</v>
      </c>
      <c r="E1395" s="7">
        <v>473.28</v>
      </c>
      <c r="F1395" t="s">
        <v>27</v>
      </c>
      <c r="G1395" t="s">
        <v>31</v>
      </c>
      <c r="H1395" s="12">
        <v>0</v>
      </c>
      <c r="I1395" t="s">
        <v>36</v>
      </c>
      <c r="J1395" s="7">
        <f>Table2[[#This Row],[UnitPrice]]*Table2[[#This Row],[Quantity]]*(1-Table2[[#This Row],[Discount]])</f>
        <v>2366.3999999999996</v>
      </c>
      <c r="K1395" t="s">
        <v>40</v>
      </c>
      <c r="L1395" t="s">
        <v>44</v>
      </c>
      <c r="M1395">
        <v>1</v>
      </c>
      <c r="N1395" t="s">
        <v>1439</v>
      </c>
      <c r="O1395" t="s">
        <v>2834</v>
      </c>
      <c r="P1395" s="7">
        <v>30.69</v>
      </c>
      <c r="Q1395" s="1">
        <v>45448</v>
      </c>
      <c r="R1395">
        <f>WEEKNUM(Table2[[#This Row],[OrderDate]])</f>
        <v>23</v>
      </c>
      <c r="S1395" s="1">
        <v>45458</v>
      </c>
      <c r="T1395" t="s">
        <v>2919</v>
      </c>
    </row>
    <row r="1396" spans="1:20" x14ac:dyDescent="0.35">
      <c r="A1396" s="1">
        <v>45536</v>
      </c>
      <c r="B1396" t="s">
        <v>2931</v>
      </c>
      <c r="C1396" t="s">
        <v>22</v>
      </c>
      <c r="D1396" s="9">
        <v>16</v>
      </c>
      <c r="E1396" s="7">
        <v>401.83</v>
      </c>
      <c r="F1396" t="s">
        <v>26</v>
      </c>
      <c r="G1396" t="s">
        <v>31</v>
      </c>
      <c r="H1396" s="12">
        <v>0</v>
      </c>
      <c r="I1396" t="s">
        <v>32</v>
      </c>
      <c r="J1396" s="7">
        <f>Table2[[#This Row],[UnitPrice]]*Table2[[#This Row],[Quantity]]*(1-Table2[[#This Row],[Discount]])</f>
        <v>6429.28</v>
      </c>
      <c r="K1396" t="s">
        <v>42</v>
      </c>
      <c r="L1396" t="s">
        <v>43</v>
      </c>
      <c r="M1396">
        <v>0</v>
      </c>
      <c r="N1396" t="s">
        <v>1440</v>
      </c>
      <c r="O1396" t="s">
        <v>2159</v>
      </c>
      <c r="P1396" s="7">
        <v>21.54</v>
      </c>
      <c r="Q1396" s="1">
        <v>45536</v>
      </c>
      <c r="R1396">
        <f>WEEKNUM(Table2[[#This Row],[OrderDate]])</f>
        <v>36</v>
      </c>
      <c r="S1396" s="1">
        <v>45540</v>
      </c>
      <c r="T1396" t="s">
        <v>2919</v>
      </c>
    </row>
    <row r="1397" spans="1:20" x14ac:dyDescent="0.35">
      <c r="A1397" s="1">
        <v>45556</v>
      </c>
      <c r="B1397" t="s">
        <v>2931</v>
      </c>
      <c r="C1397" t="s">
        <v>20</v>
      </c>
      <c r="D1397" s="9">
        <v>10</v>
      </c>
      <c r="E1397" s="7">
        <v>269.29000000000002</v>
      </c>
      <c r="F1397" t="s">
        <v>28</v>
      </c>
      <c r="G1397" t="s">
        <v>31</v>
      </c>
      <c r="H1397" s="12">
        <v>0</v>
      </c>
      <c r="I1397" t="s">
        <v>32</v>
      </c>
      <c r="J1397" s="7">
        <f>Table2[[#This Row],[UnitPrice]]*Table2[[#This Row],[Quantity]]*(1-Table2[[#This Row],[Discount]])</f>
        <v>2692.9</v>
      </c>
      <c r="K1397" t="s">
        <v>41</v>
      </c>
      <c r="L1397" t="s">
        <v>44</v>
      </c>
      <c r="M1397">
        <v>0</v>
      </c>
      <c r="N1397" t="s">
        <v>1441</v>
      </c>
      <c r="O1397" t="s">
        <v>2716</v>
      </c>
      <c r="P1397" s="7">
        <v>14.09</v>
      </c>
      <c r="Q1397" s="1">
        <v>45556</v>
      </c>
      <c r="R1397">
        <f>WEEKNUM(Table2[[#This Row],[OrderDate]])</f>
        <v>38</v>
      </c>
      <c r="S1397" s="1">
        <v>45565</v>
      </c>
      <c r="T1397" t="s">
        <v>2919</v>
      </c>
    </row>
    <row r="1398" spans="1:20" x14ac:dyDescent="0.35">
      <c r="A1398" s="1">
        <v>45668</v>
      </c>
      <c r="B1398" t="s">
        <v>2931</v>
      </c>
      <c r="C1398" t="s">
        <v>21</v>
      </c>
      <c r="D1398" s="9">
        <v>4</v>
      </c>
      <c r="E1398" s="7">
        <v>323.02</v>
      </c>
      <c r="F1398" t="s">
        <v>28</v>
      </c>
      <c r="G1398" t="s">
        <v>31</v>
      </c>
      <c r="H1398" s="12">
        <v>0.05</v>
      </c>
      <c r="I1398" t="s">
        <v>36</v>
      </c>
      <c r="J1398" s="7">
        <f>Table2[[#This Row],[UnitPrice]]*Table2[[#This Row],[Quantity]]*(1-Table2[[#This Row],[Discount]])</f>
        <v>1227.4759999999999</v>
      </c>
      <c r="K1398" t="s">
        <v>42</v>
      </c>
      <c r="L1398" t="s">
        <v>2937</v>
      </c>
      <c r="M1398">
        <v>0</v>
      </c>
      <c r="N1398" t="s">
        <v>1442</v>
      </c>
      <c r="O1398" t="s">
        <v>2835</v>
      </c>
      <c r="P1398" s="7">
        <v>19.53</v>
      </c>
      <c r="Q1398" s="1">
        <v>45668</v>
      </c>
      <c r="R1398">
        <f>WEEKNUM(Table2[[#This Row],[OrderDate]])</f>
        <v>2</v>
      </c>
      <c r="S1398" s="1">
        <v>45673</v>
      </c>
      <c r="T1398" t="s">
        <v>2919</v>
      </c>
    </row>
    <row r="1399" spans="1:20" x14ac:dyDescent="0.35">
      <c r="A1399" s="1">
        <v>44930</v>
      </c>
      <c r="B1399" t="s">
        <v>2933</v>
      </c>
      <c r="C1399" t="s">
        <v>23</v>
      </c>
      <c r="D1399" s="9">
        <v>15</v>
      </c>
      <c r="E1399" s="7">
        <v>439.89</v>
      </c>
      <c r="F1399" t="s">
        <v>29</v>
      </c>
      <c r="G1399" t="s">
        <v>31</v>
      </c>
      <c r="H1399" s="12">
        <v>0.15</v>
      </c>
      <c r="I1399" t="s">
        <v>36</v>
      </c>
      <c r="J1399" s="7">
        <f>Table2[[#This Row],[UnitPrice]]*Table2[[#This Row],[Quantity]]*(1-Table2[[#This Row],[Discount]])</f>
        <v>5608.5974999999989</v>
      </c>
      <c r="K1399" t="s">
        <v>38</v>
      </c>
      <c r="L1399" t="s">
        <v>43</v>
      </c>
      <c r="M1399">
        <v>0</v>
      </c>
      <c r="N1399" t="s">
        <v>1443</v>
      </c>
      <c r="O1399" t="s">
        <v>2836</v>
      </c>
      <c r="P1399" s="7">
        <v>49.71</v>
      </c>
      <c r="Q1399" s="1">
        <v>44930</v>
      </c>
      <c r="R1399">
        <f>WEEKNUM(Table2[[#This Row],[OrderDate]])</f>
        <v>1</v>
      </c>
      <c r="S1399" s="1">
        <v>44934</v>
      </c>
      <c r="T1399" t="s">
        <v>2921</v>
      </c>
    </row>
    <row r="1400" spans="1:20" x14ac:dyDescent="0.35">
      <c r="A1400" s="1">
        <v>45048</v>
      </c>
      <c r="B1400" t="s">
        <v>2933</v>
      </c>
      <c r="C1400" t="s">
        <v>23</v>
      </c>
      <c r="D1400" s="9">
        <v>16</v>
      </c>
      <c r="E1400" s="7">
        <v>483.09</v>
      </c>
      <c r="F1400" t="s">
        <v>28</v>
      </c>
      <c r="G1400" t="s">
        <v>30</v>
      </c>
      <c r="H1400" s="12">
        <v>0.05</v>
      </c>
      <c r="I1400" t="s">
        <v>33</v>
      </c>
      <c r="J1400" s="7">
        <f>Table2[[#This Row],[UnitPrice]]*Table2[[#This Row],[Quantity]]*(1-Table2[[#This Row],[Discount]])</f>
        <v>7342.9679999999989</v>
      </c>
      <c r="K1400" t="s">
        <v>41</v>
      </c>
      <c r="L1400" t="s">
        <v>2937</v>
      </c>
      <c r="M1400">
        <v>1</v>
      </c>
      <c r="N1400" t="s">
        <v>1444</v>
      </c>
      <c r="O1400" t="s">
        <v>2730</v>
      </c>
      <c r="P1400" s="7">
        <v>37.659999999999997</v>
      </c>
      <c r="Q1400" s="1">
        <v>45048</v>
      </c>
      <c r="R1400">
        <f>WEEKNUM(Table2[[#This Row],[OrderDate]])</f>
        <v>18</v>
      </c>
      <c r="S1400" s="1">
        <v>45051</v>
      </c>
      <c r="T1400" t="s">
        <v>2921</v>
      </c>
    </row>
    <row r="1401" spans="1:20" x14ac:dyDescent="0.35">
      <c r="A1401" s="1">
        <v>45116</v>
      </c>
      <c r="B1401" t="s">
        <v>2930</v>
      </c>
      <c r="C1401" t="s">
        <v>20</v>
      </c>
      <c r="D1401" s="9">
        <v>13</v>
      </c>
      <c r="E1401" s="7">
        <v>27.39</v>
      </c>
      <c r="F1401" t="s">
        <v>26</v>
      </c>
      <c r="G1401" t="s">
        <v>31</v>
      </c>
      <c r="H1401" s="12">
        <v>0.15</v>
      </c>
      <c r="I1401" t="s">
        <v>34</v>
      </c>
      <c r="J1401" s="7">
        <f>Table2[[#This Row],[UnitPrice]]*Table2[[#This Row],[Quantity]]*(1-Table2[[#This Row],[Discount]])</f>
        <v>302.65949999999998</v>
      </c>
      <c r="K1401" t="s">
        <v>42</v>
      </c>
      <c r="L1401" t="s">
        <v>2937</v>
      </c>
      <c r="M1401">
        <v>0</v>
      </c>
      <c r="N1401" t="s">
        <v>1445</v>
      </c>
      <c r="O1401" t="s">
        <v>2837</v>
      </c>
      <c r="P1401" s="7">
        <v>22.95</v>
      </c>
      <c r="Q1401" s="1">
        <v>45116</v>
      </c>
      <c r="R1401">
        <f>WEEKNUM(Table2[[#This Row],[OrderDate]])</f>
        <v>28</v>
      </c>
      <c r="S1401" s="1">
        <v>45121</v>
      </c>
      <c r="T1401" t="s">
        <v>2917</v>
      </c>
    </row>
    <row r="1402" spans="1:20" x14ac:dyDescent="0.35">
      <c r="A1402" s="1">
        <v>45715</v>
      </c>
      <c r="B1402" t="s">
        <v>2930</v>
      </c>
      <c r="C1402" t="s">
        <v>23</v>
      </c>
      <c r="D1402" s="9">
        <v>18</v>
      </c>
      <c r="E1402" s="7">
        <v>432.52</v>
      </c>
      <c r="F1402" t="s">
        <v>29</v>
      </c>
      <c r="G1402" t="s">
        <v>31</v>
      </c>
      <c r="H1402" s="12">
        <v>0.05</v>
      </c>
      <c r="I1402" t="s">
        <v>37</v>
      </c>
      <c r="J1402" s="7">
        <f>Table2[[#This Row],[UnitPrice]]*Table2[[#This Row],[Quantity]]*(1-Table2[[#This Row],[Discount]])</f>
        <v>7396.0919999999996</v>
      </c>
      <c r="K1402" t="s">
        <v>40</v>
      </c>
      <c r="L1402" t="s">
        <v>44</v>
      </c>
      <c r="M1402">
        <v>1</v>
      </c>
      <c r="N1402" t="s">
        <v>1446</v>
      </c>
      <c r="O1402" t="s">
        <v>1558</v>
      </c>
      <c r="P1402" s="7">
        <v>34.19</v>
      </c>
      <c r="Q1402" s="1">
        <v>45715</v>
      </c>
      <c r="R1402">
        <f>WEEKNUM(Table2[[#This Row],[OrderDate]])</f>
        <v>9</v>
      </c>
      <c r="S1402" s="1">
        <v>45720</v>
      </c>
      <c r="T1402" t="s">
        <v>2917</v>
      </c>
    </row>
    <row r="1403" spans="1:20" x14ac:dyDescent="0.35">
      <c r="A1403" s="1">
        <v>45558</v>
      </c>
      <c r="B1403" t="s">
        <v>2933</v>
      </c>
      <c r="C1403" t="s">
        <v>25</v>
      </c>
      <c r="D1403" s="9">
        <v>3</v>
      </c>
      <c r="E1403" s="7">
        <v>360.93</v>
      </c>
      <c r="F1403" t="s">
        <v>26</v>
      </c>
      <c r="G1403" t="s">
        <v>30</v>
      </c>
      <c r="H1403" s="12">
        <v>0.15</v>
      </c>
      <c r="I1403" t="s">
        <v>36</v>
      </c>
      <c r="J1403" s="7">
        <f>Table2[[#This Row],[UnitPrice]]*Table2[[#This Row],[Quantity]]*(1-Table2[[#This Row],[Discount]])</f>
        <v>920.37149999999997</v>
      </c>
      <c r="K1403" t="s">
        <v>41</v>
      </c>
      <c r="L1403" t="s">
        <v>45</v>
      </c>
      <c r="M1403">
        <v>0</v>
      </c>
      <c r="N1403" t="s">
        <v>1447</v>
      </c>
      <c r="O1403" t="s">
        <v>2838</v>
      </c>
      <c r="P1403" s="7">
        <v>35.61</v>
      </c>
      <c r="Q1403" s="1">
        <v>45558</v>
      </c>
      <c r="R1403">
        <f>WEEKNUM(Table2[[#This Row],[OrderDate]])</f>
        <v>39</v>
      </c>
      <c r="S1403" s="1">
        <v>45564</v>
      </c>
      <c r="T1403" t="s">
        <v>2921</v>
      </c>
    </row>
    <row r="1404" spans="1:20" x14ac:dyDescent="0.35">
      <c r="A1404" s="1">
        <v>45830</v>
      </c>
      <c r="B1404" t="s">
        <v>2930</v>
      </c>
      <c r="C1404" t="s">
        <v>24</v>
      </c>
      <c r="D1404" s="9">
        <v>5</v>
      </c>
      <c r="E1404" s="7">
        <v>414.58</v>
      </c>
      <c r="F1404" t="s">
        <v>26</v>
      </c>
      <c r="G1404" t="s">
        <v>31</v>
      </c>
      <c r="H1404" s="12">
        <v>0.1</v>
      </c>
      <c r="I1404" t="s">
        <v>36</v>
      </c>
      <c r="J1404" s="7">
        <f>Table2[[#This Row],[UnitPrice]]*Table2[[#This Row],[Quantity]]*(1-Table2[[#This Row],[Discount]])</f>
        <v>1865.6100000000001</v>
      </c>
      <c r="K1404" t="s">
        <v>39</v>
      </c>
      <c r="L1404" t="s">
        <v>2937</v>
      </c>
      <c r="M1404">
        <v>0</v>
      </c>
      <c r="N1404" t="s">
        <v>1448</v>
      </c>
      <c r="O1404" t="s">
        <v>2839</v>
      </c>
      <c r="P1404" s="7">
        <v>14.98</v>
      </c>
      <c r="Q1404" s="1">
        <v>45830</v>
      </c>
      <c r="R1404">
        <f>WEEKNUM(Table2[[#This Row],[OrderDate]])</f>
        <v>26</v>
      </c>
      <c r="S1404" s="1">
        <v>45839</v>
      </c>
      <c r="T1404" t="s">
        <v>2917</v>
      </c>
    </row>
    <row r="1405" spans="1:20" x14ac:dyDescent="0.35">
      <c r="A1405" s="1">
        <v>45676</v>
      </c>
      <c r="B1405" t="s">
        <v>2934</v>
      </c>
      <c r="C1405" t="s">
        <v>24</v>
      </c>
      <c r="D1405" s="9">
        <v>4</v>
      </c>
      <c r="E1405" s="7">
        <v>68.040000000000006</v>
      </c>
      <c r="F1405" t="s">
        <v>28</v>
      </c>
      <c r="G1405" t="s">
        <v>30</v>
      </c>
      <c r="H1405" s="12">
        <v>0</v>
      </c>
      <c r="I1405" t="s">
        <v>37</v>
      </c>
      <c r="J1405" s="7">
        <f>Table2[[#This Row],[UnitPrice]]*Table2[[#This Row],[Quantity]]*(1-Table2[[#This Row],[Discount]])</f>
        <v>272.16000000000003</v>
      </c>
      <c r="K1405" t="s">
        <v>38</v>
      </c>
      <c r="L1405" t="s">
        <v>43</v>
      </c>
      <c r="M1405">
        <v>0</v>
      </c>
      <c r="N1405" t="s">
        <v>1449</v>
      </c>
      <c r="O1405" t="s">
        <v>2840</v>
      </c>
      <c r="P1405" s="7">
        <v>18.72</v>
      </c>
      <c r="Q1405" s="1">
        <v>45676</v>
      </c>
      <c r="R1405">
        <f>WEEKNUM(Table2[[#This Row],[OrderDate]])</f>
        <v>4</v>
      </c>
      <c r="S1405" s="1">
        <v>45685</v>
      </c>
      <c r="T1405" t="s">
        <v>2920</v>
      </c>
    </row>
    <row r="1406" spans="1:20" x14ac:dyDescent="0.35">
      <c r="A1406" s="1">
        <v>45691</v>
      </c>
      <c r="B1406" t="s">
        <v>2930</v>
      </c>
      <c r="C1406" t="s">
        <v>20</v>
      </c>
      <c r="D1406" s="9">
        <v>10</v>
      </c>
      <c r="E1406" s="7">
        <v>407.99</v>
      </c>
      <c r="F1406" t="s">
        <v>28</v>
      </c>
      <c r="G1406" t="s">
        <v>31</v>
      </c>
      <c r="H1406" s="12">
        <v>0.15</v>
      </c>
      <c r="I1406" t="s">
        <v>32</v>
      </c>
      <c r="J1406" s="7">
        <f>Table2[[#This Row],[UnitPrice]]*Table2[[#This Row],[Quantity]]*(1-Table2[[#This Row],[Discount]])</f>
        <v>3467.915</v>
      </c>
      <c r="K1406" t="s">
        <v>42</v>
      </c>
      <c r="L1406" t="s">
        <v>2937</v>
      </c>
      <c r="M1406">
        <v>0</v>
      </c>
      <c r="N1406" t="s">
        <v>1450</v>
      </c>
      <c r="O1406" t="s">
        <v>2841</v>
      </c>
      <c r="P1406" s="7">
        <v>49.59</v>
      </c>
      <c r="Q1406" s="1">
        <v>45691</v>
      </c>
      <c r="R1406">
        <f>WEEKNUM(Table2[[#This Row],[OrderDate]])</f>
        <v>6</v>
      </c>
      <c r="S1406" s="1">
        <v>45696</v>
      </c>
      <c r="T1406" t="s">
        <v>2917</v>
      </c>
    </row>
    <row r="1407" spans="1:20" x14ac:dyDescent="0.35">
      <c r="A1407" s="1">
        <v>45241</v>
      </c>
      <c r="B1407" t="s">
        <v>2930</v>
      </c>
      <c r="C1407" t="s">
        <v>24</v>
      </c>
      <c r="D1407" s="9">
        <v>15</v>
      </c>
      <c r="E1407" s="7">
        <v>274.77</v>
      </c>
      <c r="F1407" t="s">
        <v>29</v>
      </c>
      <c r="G1407" t="s">
        <v>31</v>
      </c>
      <c r="H1407" s="12">
        <v>0</v>
      </c>
      <c r="I1407" t="s">
        <v>32</v>
      </c>
      <c r="J1407" s="7">
        <f>Table2[[#This Row],[UnitPrice]]*Table2[[#This Row],[Quantity]]*(1-Table2[[#This Row],[Discount]])</f>
        <v>4121.5499999999993</v>
      </c>
      <c r="K1407" t="s">
        <v>42</v>
      </c>
      <c r="L1407" t="s">
        <v>2937</v>
      </c>
      <c r="M1407">
        <v>1</v>
      </c>
      <c r="N1407" t="s">
        <v>1451</v>
      </c>
      <c r="O1407" t="s">
        <v>2842</v>
      </c>
      <c r="P1407" s="7">
        <v>19.37</v>
      </c>
      <c r="Q1407" s="1">
        <v>45241</v>
      </c>
      <c r="R1407">
        <f>WEEKNUM(Table2[[#This Row],[OrderDate]])</f>
        <v>45</v>
      </c>
      <c r="S1407" s="1">
        <v>45247</v>
      </c>
      <c r="T1407" t="s">
        <v>2917</v>
      </c>
    </row>
    <row r="1408" spans="1:20" x14ac:dyDescent="0.35">
      <c r="A1408" s="1">
        <v>45420</v>
      </c>
      <c r="B1408" t="s">
        <v>2930</v>
      </c>
      <c r="C1408" t="s">
        <v>21</v>
      </c>
      <c r="D1408" s="9">
        <v>15</v>
      </c>
      <c r="E1408" s="7">
        <v>31.81</v>
      </c>
      <c r="F1408" t="s">
        <v>28</v>
      </c>
      <c r="G1408" t="s">
        <v>30</v>
      </c>
      <c r="H1408" s="12">
        <v>0.15</v>
      </c>
      <c r="I1408" t="s">
        <v>32</v>
      </c>
      <c r="J1408" s="7">
        <f>Table2[[#This Row],[UnitPrice]]*Table2[[#This Row],[Quantity]]*(1-Table2[[#This Row],[Discount]])</f>
        <v>405.57749999999999</v>
      </c>
      <c r="K1408" t="s">
        <v>42</v>
      </c>
      <c r="L1408" t="s">
        <v>44</v>
      </c>
      <c r="M1408">
        <v>0</v>
      </c>
      <c r="N1408" t="s">
        <v>1452</v>
      </c>
      <c r="O1408" t="s">
        <v>2843</v>
      </c>
      <c r="P1408" s="7">
        <v>23.61</v>
      </c>
      <c r="Q1408" s="1">
        <v>45420</v>
      </c>
      <c r="R1408">
        <f>WEEKNUM(Table2[[#This Row],[OrderDate]])</f>
        <v>19</v>
      </c>
      <c r="S1408" s="1">
        <v>45422</v>
      </c>
      <c r="T1408" t="s">
        <v>2917</v>
      </c>
    </row>
    <row r="1409" spans="1:20" x14ac:dyDescent="0.35">
      <c r="A1409" s="1">
        <v>45187</v>
      </c>
      <c r="B1409" t="s">
        <v>2932</v>
      </c>
      <c r="C1409" t="s">
        <v>25</v>
      </c>
      <c r="D1409" s="9">
        <v>14</v>
      </c>
      <c r="E1409" s="7">
        <v>268.32</v>
      </c>
      <c r="F1409" t="s">
        <v>29</v>
      </c>
      <c r="G1409" t="s">
        <v>31</v>
      </c>
      <c r="H1409" s="12">
        <v>0</v>
      </c>
      <c r="I1409" t="s">
        <v>34</v>
      </c>
      <c r="J1409" s="7">
        <f>Table2[[#This Row],[UnitPrice]]*Table2[[#This Row],[Quantity]]*(1-Table2[[#This Row],[Discount]])</f>
        <v>3756.48</v>
      </c>
      <c r="K1409" t="s">
        <v>38</v>
      </c>
      <c r="L1409" t="s">
        <v>45</v>
      </c>
      <c r="M1409">
        <v>0</v>
      </c>
      <c r="N1409" t="s">
        <v>1453</v>
      </c>
      <c r="O1409" t="s">
        <v>2844</v>
      </c>
      <c r="P1409" s="7">
        <v>43.14</v>
      </c>
      <c r="Q1409" s="1">
        <v>45187</v>
      </c>
      <c r="R1409">
        <f>WEEKNUM(Table2[[#This Row],[OrderDate]])</f>
        <v>38</v>
      </c>
      <c r="S1409" s="1">
        <v>45196</v>
      </c>
      <c r="T1409" t="s">
        <v>2918</v>
      </c>
    </row>
    <row r="1410" spans="1:20" x14ac:dyDescent="0.35">
      <c r="A1410" s="1">
        <v>45752</v>
      </c>
      <c r="B1410" t="s">
        <v>2934</v>
      </c>
      <c r="C1410" t="s">
        <v>24</v>
      </c>
      <c r="D1410" s="9">
        <v>19</v>
      </c>
      <c r="E1410" s="7">
        <v>350.12</v>
      </c>
      <c r="F1410" t="s">
        <v>29</v>
      </c>
      <c r="G1410" t="s">
        <v>31</v>
      </c>
      <c r="H1410" s="12">
        <v>0.05</v>
      </c>
      <c r="I1410" t="s">
        <v>33</v>
      </c>
      <c r="J1410" s="7">
        <f>Table2[[#This Row],[UnitPrice]]*Table2[[#This Row],[Quantity]]*(1-Table2[[#This Row],[Discount]])</f>
        <v>6319.6659999999993</v>
      </c>
      <c r="K1410" t="s">
        <v>40</v>
      </c>
      <c r="L1410" t="s">
        <v>43</v>
      </c>
      <c r="M1410">
        <v>0</v>
      </c>
      <c r="N1410" t="s">
        <v>1454</v>
      </c>
      <c r="O1410" t="s">
        <v>2388</v>
      </c>
      <c r="P1410" s="7">
        <v>48.98</v>
      </c>
      <c r="Q1410" s="1">
        <v>45752</v>
      </c>
      <c r="R1410">
        <f>WEEKNUM(Table2[[#This Row],[OrderDate]])</f>
        <v>14</v>
      </c>
      <c r="S1410" s="1">
        <v>45760</v>
      </c>
      <c r="T1410" t="s">
        <v>2920</v>
      </c>
    </row>
    <row r="1411" spans="1:20" x14ac:dyDescent="0.35">
      <c r="A1411" s="1">
        <v>45182</v>
      </c>
      <c r="B1411" t="s">
        <v>2934</v>
      </c>
      <c r="C1411" t="s">
        <v>21</v>
      </c>
      <c r="D1411" s="9">
        <v>9</v>
      </c>
      <c r="E1411" s="7">
        <v>329.15</v>
      </c>
      <c r="F1411" t="s">
        <v>27</v>
      </c>
      <c r="G1411" t="s">
        <v>31</v>
      </c>
      <c r="H1411" s="12">
        <v>0.05</v>
      </c>
      <c r="I1411" t="s">
        <v>36</v>
      </c>
      <c r="J1411" s="7">
        <f>Table2[[#This Row],[UnitPrice]]*Table2[[#This Row],[Quantity]]*(1-Table2[[#This Row],[Discount]])</f>
        <v>2814.2324999999996</v>
      </c>
      <c r="K1411" t="s">
        <v>39</v>
      </c>
      <c r="L1411" t="s">
        <v>43</v>
      </c>
      <c r="M1411">
        <v>0</v>
      </c>
      <c r="N1411" t="s">
        <v>1455</v>
      </c>
      <c r="O1411" t="s">
        <v>2845</v>
      </c>
      <c r="P1411" s="7">
        <v>29.41</v>
      </c>
      <c r="Q1411" s="1">
        <v>45182</v>
      </c>
      <c r="R1411">
        <f>WEEKNUM(Table2[[#This Row],[OrderDate]])</f>
        <v>37</v>
      </c>
      <c r="S1411" s="1">
        <v>45184</v>
      </c>
      <c r="T1411" t="s">
        <v>2920</v>
      </c>
    </row>
    <row r="1412" spans="1:20" x14ac:dyDescent="0.35">
      <c r="A1412" s="1">
        <v>45471</v>
      </c>
      <c r="B1412" t="s">
        <v>2930</v>
      </c>
      <c r="C1412" t="s">
        <v>23</v>
      </c>
      <c r="D1412" s="9">
        <v>1</v>
      </c>
      <c r="E1412" s="7">
        <v>577.07000000000005</v>
      </c>
      <c r="F1412" t="s">
        <v>28</v>
      </c>
      <c r="G1412" t="s">
        <v>30</v>
      </c>
      <c r="H1412" s="12">
        <v>0.05</v>
      </c>
      <c r="I1412" t="s">
        <v>34</v>
      </c>
      <c r="J1412" s="7">
        <f>Table2[[#This Row],[UnitPrice]]*Table2[[#This Row],[Quantity]]*(1-Table2[[#This Row],[Discount]])</f>
        <v>548.2165</v>
      </c>
      <c r="K1412" t="s">
        <v>38</v>
      </c>
      <c r="L1412" t="s">
        <v>45</v>
      </c>
      <c r="M1412">
        <v>0</v>
      </c>
      <c r="N1412" t="s">
        <v>1456</v>
      </c>
      <c r="O1412" t="s">
        <v>2846</v>
      </c>
      <c r="P1412" s="7">
        <v>22.97</v>
      </c>
      <c r="Q1412" s="1">
        <v>45471</v>
      </c>
      <c r="R1412">
        <f>WEEKNUM(Table2[[#This Row],[OrderDate]])</f>
        <v>26</v>
      </c>
      <c r="S1412" s="1">
        <v>45479</v>
      </c>
      <c r="T1412" t="s">
        <v>2917</v>
      </c>
    </row>
    <row r="1413" spans="1:20" x14ac:dyDescent="0.35">
      <c r="A1413" s="1">
        <v>45022</v>
      </c>
      <c r="B1413" t="s">
        <v>2934</v>
      </c>
      <c r="C1413" t="s">
        <v>22</v>
      </c>
      <c r="D1413" s="9">
        <v>6</v>
      </c>
      <c r="E1413" s="7">
        <v>544.33000000000004</v>
      </c>
      <c r="F1413" t="s">
        <v>26</v>
      </c>
      <c r="G1413" t="s">
        <v>30</v>
      </c>
      <c r="H1413" s="12">
        <v>0.1</v>
      </c>
      <c r="I1413" t="s">
        <v>35</v>
      </c>
      <c r="J1413" s="7">
        <f>Table2[[#This Row],[UnitPrice]]*Table2[[#This Row],[Quantity]]*(1-Table2[[#This Row],[Discount]])</f>
        <v>2939.3820000000005</v>
      </c>
      <c r="K1413" t="s">
        <v>42</v>
      </c>
      <c r="L1413" t="s">
        <v>2937</v>
      </c>
      <c r="M1413">
        <v>0</v>
      </c>
      <c r="N1413" t="s">
        <v>1457</v>
      </c>
      <c r="O1413" t="s">
        <v>2004</v>
      </c>
      <c r="P1413" s="7">
        <v>11.52</v>
      </c>
      <c r="Q1413" s="1">
        <v>45022</v>
      </c>
      <c r="R1413">
        <f>WEEKNUM(Table2[[#This Row],[OrderDate]])</f>
        <v>14</v>
      </c>
      <c r="S1413" s="1">
        <v>45024</v>
      </c>
      <c r="T1413" t="s">
        <v>2920</v>
      </c>
    </row>
    <row r="1414" spans="1:20" x14ac:dyDescent="0.35">
      <c r="A1414" s="1">
        <v>45059</v>
      </c>
      <c r="B1414" t="s">
        <v>2932</v>
      </c>
      <c r="C1414" t="s">
        <v>19</v>
      </c>
      <c r="D1414" s="9">
        <v>18</v>
      </c>
      <c r="E1414" s="7">
        <v>331.45</v>
      </c>
      <c r="F1414" t="s">
        <v>29</v>
      </c>
      <c r="G1414" t="s">
        <v>31</v>
      </c>
      <c r="H1414" s="12">
        <v>0.15</v>
      </c>
      <c r="I1414" t="s">
        <v>33</v>
      </c>
      <c r="J1414" s="7">
        <f>Table2[[#This Row],[UnitPrice]]*Table2[[#This Row],[Quantity]]*(1-Table2[[#This Row],[Discount]])</f>
        <v>5071.1849999999995</v>
      </c>
      <c r="K1414" t="s">
        <v>42</v>
      </c>
      <c r="L1414" t="s">
        <v>45</v>
      </c>
      <c r="M1414">
        <v>1</v>
      </c>
      <c r="N1414" t="s">
        <v>1458</v>
      </c>
      <c r="O1414" t="s">
        <v>2557</v>
      </c>
      <c r="P1414" s="7">
        <v>32.92</v>
      </c>
      <c r="Q1414" s="1">
        <v>45059</v>
      </c>
      <c r="R1414">
        <f>WEEKNUM(Table2[[#This Row],[OrderDate]])</f>
        <v>19</v>
      </c>
      <c r="S1414" s="1">
        <v>45064</v>
      </c>
      <c r="T1414" t="s">
        <v>2918</v>
      </c>
    </row>
    <row r="1415" spans="1:20" x14ac:dyDescent="0.35">
      <c r="A1415" s="1">
        <v>45784</v>
      </c>
      <c r="B1415" t="s">
        <v>2930</v>
      </c>
      <c r="C1415" t="s">
        <v>19</v>
      </c>
      <c r="D1415" s="9">
        <v>1</v>
      </c>
      <c r="E1415" s="7">
        <v>421.26</v>
      </c>
      <c r="F1415" t="s">
        <v>29</v>
      </c>
      <c r="G1415" t="s">
        <v>31</v>
      </c>
      <c r="H1415" s="12">
        <v>0.1</v>
      </c>
      <c r="I1415" t="s">
        <v>32</v>
      </c>
      <c r="J1415" s="7">
        <f>Table2[[#This Row],[UnitPrice]]*Table2[[#This Row],[Quantity]]*(1-Table2[[#This Row],[Discount]])</f>
        <v>379.13400000000001</v>
      </c>
      <c r="K1415" t="s">
        <v>41</v>
      </c>
      <c r="L1415" t="s">
        <v>43</v>
      </c>
      <c r="M1415">
        <v>0</v>
      </c>
      <c r="N1415" t="s">
        <v>1459</v>
      </c>
      <c r="O1415" t="s">
        <v>2847</v>
      </c>
      <c r="P1415" s="7">
        <v>36.340000000000003</v>
      </c>
      <c r="Q1415" s="1">
        <v>45784</v>
      </c>
      <c r="R1415">
        <f>WEEKNUM(Table2[[#This Row],[OrderDate]])</f>
        <v>19</v>
      </c>
      <c r="S1415" s="1">
        <v>45792</v>
      </c>
      <c r="T1415" t="s">
        <v>2917</v>
      </c>
    </row>
    <row r="1416" spans="1:20" x14ac:dyDescent="0.35">
      <c r="A1416" s="1">
        <v>45738</v>
      </c>
      <c r="B1416" t="s">
        <v>2931</v>
      </c>
      <c r="C1416" t="s">
        <v>24</v>
      </c>
      <c r="D1416" s="9">
        <v>4</v>
      </c>
      <c r="E1416" s="7">
        <v>555.02</v>
      </c>
      <c r="F1416" t="s">
        <v>26</v>
      </c>
      <c r="G1416" t="s">
        <v>31</v>
      </c>
      <c r="H1416" s="12">
        <v>0.1</v>
      </c>
      <c r="I1416" t="s">
        <v>36</v>
      </c>
      <c r="J1416" s="7">
        <f>Table2[[#This Row],[UnitPrice]]*Table2[[#This Row],[Quantity]]*(1-Table2[[#This Row],[Discount]])</f>
        <v>1998.0719999999999</v>
      </c>
      <c r="K1416" t="s">
        <v>42</v>
      </c>
      <c r="L1416" t="s">
        <v>44</v>
      </c>
      <c r="M1416">
        <v>0</v>
      </c>
      <c r="N1416" t="s">
        <v>1460</v>
      </c>
      <c r="O1416" t="s">
        <v>2848</v>
      </c>
      <c r="P1416" s="7">
        <v>45.25</v>
      </c>
      <c r="Q1416" s="1">
        <v>45738</v>
      </c>
      <c r="R1416">
        <f>WEEKNUM(Table2[[#This Row],[OrderDate]])</f>
        <v>12</v>
      </c>
      <c r="S1416" s="1">
        <v>45743</v>
      </c>
      <c r="T1416" t="s">
        <v>2919</v>
      </c>
    </row>
    <row r="1417" spans="1:20" x14ac:dyDescent="0.35">
      <c r="A1417" s="1">
        <v>45467</v>
      </c>
      <c r="B1417" t="s">
        <v>2932</v>
      </c>
      <c r="C1417" t="s">
        <v>19</v>
      </c>
      <c r="D1417" s="9">
        <v>19</v>
      </c>
      <c r="E1417" s="7">
        <v>254.03</v>
      </c>
      <c r="F1417" t="s">
        <v>28</v>
      </c>
      <c r="G1417" t="s">
        <v>30</v>
      </c>
      <c r="H1417" s="12">
        <v>0</v>
      </c>
      <c r="I1417" t="s">
        <v>34</v>
      </c>
      <c r="J1417" s="7">
        <f>Table2[[#This Row],[UnitPrice]]*Table2[[#This Row],[Quantity]]*(1-Table2[[#This Row],[Discount]])</f>
        <v>4826.57</v>
      </c>
      <c r="K1417" t="s">
        <v>38</v>
      </c>
      <c r="L1417" t="s">
        <v>44</v>
      </c>
      <c r="M1417">
        <v>1</v>
      </c>
      <c r="N1417" t="s">
        <v>1461</v>
      </c>
      <c r="O1417" t="s">
        <v>2377</v>
      </c>
      <c r="P1417" s="7">
        <v>11.21</v>
      </c>
      <c r="Q1417" s="1">
        <v>45467</v>
      </c>
      <c r="R1417">
        <f>WEEKNUM(Table2[[#This Row],[OrderDate]])</f>
        <v>26</v>
      </c>
      <c r="S1417" s="1">
        <v>45475</v>
      </c>
      <c r="T1417" t="s">
        <v>2918</v>
      </c>
    </row>
    <row r="1418" spans="1:20" x14ac:dyDescent="0.35">
      <c r="A1418" s="1">
        <v>45837</v>
      </c>
      <c r="B1418" t="s">
        <v>2933</v>
      </c>
      <c r="C1418" t="s">
        <v>24</v>
      </c>
      <c r="D1418" s="9">
        <v>9</v>
      </c>
      <c r="E1418" s="7">
        <v>533.92999999999995</v>
      </c>
      <c r="F1418" t="s">
        <v>29</v>
      </c>
      <c r="G1418" t="s">
        <v>31</v>
      </c>
      <c r="H1418" s="12">
        <v>0.15</v>
      </c>
      <c r="I1418" t="s">
        <v>34</v>
      </c>
      <c r="J1418" s="7">
        <f>Table2[[#This Row],[UnitPrice]]*Table2[[#This Row],[Quantity]]*(1-Table2[[#This Row],[Discount]])</f>
        <v>4084.5645</v>
      </c>
      <c r="K1418" t="s">
        <v>39</v>
      </c>
      <c r="L1418" t="s">
        <v>2937</v>
      </c>
      <c r="M1418">
        <v>0</v>
      </c>
      <c r="N1418" t="s">
        <v>1462</v>
      </c>
      <c r="O1418" t="s">
        <v>2849</v>
      </c>
      <c r="P1418" s="7">
        <v>34.76</v>
      </c>
      <c r="Q1418" s="1">
        <v>45837</v>
      </c>
      <c r="R1418">
        <f>WEEKNUM(Table2[[#This Row],[OrderDate]])</f>
        <v>27</v>
      </c>
      <c r="S1418" s="1">
        <v>45841</v>
      </c>
      <c r="T1418" t="s">
        <v>2921</v>
      </c>
    </row>
    <row r="1419" spans="1:20" x14ac:dyDescent="0.35">
      <c r="A1419" s="1">
        <v>45383</v>
      </c>
      <c r="B1419" t="s">
        <v>2933</v>
      </c>
      <c r="C1419" t="s">
        <v>21</v>
      </c>
      <c r="D1419" s="9">
        <v>7</v>
      </c>
      <c r="E1419" s="7">
        <v>241.35</v>
      </c>
      <c r="F1419" t="s">
        <v>26</v>
      </c>
      <c r="G1419" t="s">
        <v>30</v>
      </c>
      <c r="H1419" s="12">
        <v>0.1</v>
      </c>
      <c r="I1419" t="s">
        <v>36</v>
      </c>
      <c r="J1419" s="7">
        <f>Table2[[#This Row],[UnitPrice]]*Table2[[#This Row],[Quantity]]*(1-Table2[[#This Row],[Discount]])</f>
        <v>1520.5050000000001</v>
      </c>
      <c r="K1419" t="s">
        <v>40</v>
      </c>
      <c r="L1419" t="s">
        <v>44</v>
      </c>
      <c r="M1419">
        <v>0</v>
      </c>
      <c r="N1419" t="s">
        <v>1463</v>
      </c>
      <c r="O1419" t="s">
        <v>2850</v>
      </c>
      <c r="P1419" s="7">
        <v>42.43</v>
      </c>
      <c r="Q1419" s="1">
        <v>45383</v>
      </c>
      <c r="R1419">
        <f>WEEKNUM(Table2[[#This Row],[OrderDate]])</f>
        <v>14</v>
      </c>
      <c r="S1419" s="1">
        <v>45392</v>
      </c>
      <c r="T1419" t="s">
        <v>2921</v>
      </c>
    </row>
    <row r="1420" spans="1:20" x14ac:dyDescent="0.35">
      <c r="A1420" s="1">
        <v>45447</v>
      </c>
      <c r="B1420" t="s">
        <v>2931</v>
      </c>
      <c r="C1420" t="s">
        <v>24</v>
      </c>
      <c r="D1420" s="9">
        <v>11</v>
      </c>
      <c r="E1420" s="7">
        <v>160.37</v>
      </c>
      <c r="F1420" t="s">
        <v>26</v>
      </c>
      <c r="G1420" t="s">
        <v>30</v>
      </c>
      <c r="H1420" s="12">
        <v>0.05</v>
      </c>
      <c r="I1420" t="s">
        <v>35</v>
      </c>
      <c r="J1420" s="7">
        <f>Table2[[#This Row],[UnitPrice]]*Table2[[#This Row],[Quantity]]*(1-Table2[[#This Row],[Discount]])</f>
        <v>1675.8665000000001</v>
      </c>
      <c r="K1420" t="s">
        <v>42</v>
      </c>
      <c r="L1420" t="s">
        <v>2937</v>
      </c>
      <c r="M1420">
        <v>0</v>
      </c>
      <c r="N1420" t="s">
        <v>1464</v>
      </c>
      <c r="O1420" t="s">
        <v>2851</v>
      </c>
      <c r="P1420" s="7">
        <v>36.049999999999997</v>
      </c>
      <c r="Q1420" s="1">
        <v>45447</v>
      </c>
      <c r="R1420">
        <f>WEEKNUM(Table2[[#This Row],[OrderDate]])</f>
        <v>23</v>
      </c>
      <c r="S1420" s="1">
        <v>45457</v>
      </c>
      <c r="T1420" t="s">
        <v>2919</v>
      </c>
    </row>
    <row r="1421" spans="1:20" x14ac:dyDescent="0.35">
      <c r="A1421" s="1">
        <v>45015</v>
      </c>
      <c r="B1421" t="s">
        <v>2930</v>
      </c>
      <c r="C1421" t="s">
        <v>24</v>
      </c>
      <c r="D1421" s="9">
        <v>1</v>
      </c>
      <c r="E1421" s="7">
        <v>419.1</v>
      </c>
      <c r="F1421" t="s">
        <v>26</v>
      </c>
      <c r="G1421" t="s">
        <v>30</v>
      </c>
      <c r="H1421" s="12">
        <v>0.1</v>
      </c>
      <c r="I1421" t="s">
        <v>35</v>
      </c>
      <c r="J1421" s="7">
        <f>Table2[[#This Row],[UnitPrice]]*Table2[[#This Row],[Quantity]]*(1-Table2[[#This Row],[Discount]])</f>
        <v>377.19000000000005</v>
      </c>
      <c r="K1421" t="s">
        <v>39</v>
      </c>
      <c r="L1421" t="s">
        <v>44</v>
      </c>
      <c r="M1421">
        <v>1</v>
      </c>
      <c r="N1421" t="s">
        <v>1465</v>
      </c>
      <c r="O1421" t="s">
        <v>2852</v>
      </c>
      <c r="P1421" s="7">
        <v>38.81</v>
      </c>
      <c r="Q1421" s="1">
        <v>45015</v>
      </c>
      <c r="R1421">
        <f>WEEKNUM(Table2[[#This Row],[OrderDate]])</f>
        <v>13</v>
      </c>
      <c r="S1421" s="1">
        <v>45022</v>
      </c>
      <c r="T1421" t="s">
        <v>2917</v>
      </c>
    </row>
    <row r="1422" spans="1:20" x14ac:dyDescent="0.35">
      <c r="A1422" s="1">
        <v>45742</v>
      </c>
      <c r="B1422" t="s">
        <v>2930</v>
      </c>
      <c r="C1422" t="s">
        <v>19</v>
      </c>
      <c r="D1422" s="9">
        <v>13</v>
      </c>
      <c r="E1422" s="7">
        <v>138.72</v>
      </c>
      <c r="F1422" t="s">
        <v>29</v>
      </c>
      <c r="G1422" t="s">
        <v>30</v>
      </c>
      <c r="H1422" s="12">
        <v>0.15</v>
      </c>
      <c r="I1422" t="s">
        <v>35</v>
      </c>
      <c r="J1422" s="7">
        <f>Table2[[#This Row],[UnitPrice]]*Table2[[#This Row],[Quantity]]*(1-Table2[[#This Row],[Discount]])</f>
        <v>1532.8559999999998</v>
      </c>
      <c r="K1422" t="s">
        <v>42</v>
      </c>
      <c r="L1422" t="s">
        <v>45</v>
      </c>
      <c r="M1422">
        <v>1</v>
      </c>
      <c r="N1422" t="s">
        <v>1466</v>
      </c>
      <c r="O1422" t="s">
        <v>2853</v>
      </c>
      <c r="P1422" s="7">
        <v>17.89</v>
      </c>
      <c r="Q1422" s="1">
        <v>45742</v>
      </c>
      <c r="R1422">
        <f>WEEKNUM(Table2[[#This Row],[OrderDate]])</f>
        <v>13</v>
      </c>
      <c r="S1422" s="1">
        <v>45744</v>
      </c>
      <c r="T1422" t="s">
        <v>2917</v>
      </c>
    </row>
    <row r="1423" spans="1:20" x14ac:dyDescent="0.35">
      <c r="A1423" s="1">
        <v>45160</v>
      </c>
      <c r="B1423" t="s">
        <v>2933</v>
      </c>
      <c r="C1423" t="s">
        <v>23</v>
      </c>
      <c r="D1423" s="9">
        <v>8</v>
      </c>
      <c r="E1423" s="7">
        <v>461.04</v>
      </c>
      <c r="F1423" t="s">
        <v>26</v>
      </c>
      <c r="G1423" t="s">
        <v>31</v>
      </c>
      <c r="H1423" s="12">
        <v>0</v>
      </c>
      <c r="I1423" t="s">
        <v>33</v>
      </c>
      <c r="J1423" s="7">
        <f>Table2[[#This Row],[UnitPrice]]*Table2[[#This Row],[Quantity]]*(1-Table2[[#This Row],[Discount]])</f>
        <v>3688.32</v>
      </c>
      <c r="K1423" t="s">
        <v>38</v>
      </c>
      <c r="L1423" t="s">
        <v>43</v>
      </c>
      <c r="M1423">
        <v>0</v>
      </c>
      <c r="N1423" t="s">
        <v>1467</v>
      </c>
      <c r="O1423" t="s">
        <v>2854</v>
      </c>
      <c r="P1423" s="7">
        <v>13.62</v>
      </c>
      <c r="Q1423" s="1">
        <v>45160</v>
      </c>
      <c r="R1423">
        <f>WEEKNUM(Table2[[#This Row],[OrderDate]])</f>
        <v>34</v>
      </c>
      <c r="S1423" s="1">
        <v>45162</v>
      </c>
      <c r="T1423" t="s">
        <v>2921</v>
      </c>
    </row>
    <row r="1424" spans="1:20" x14ac:dyDescent="0.35">
      <c r="A1424" s="1">
        <v>45398</v>
      </c>
      <c r="B1424" t="s">
        <v>2932</v>
      </c>
      <c r="C1424" t="s">
        <v>20</v>
      </c>
      <c r="D1424" s="9">
        <v>6</v>
      </c>
      <c r="E1424" s="7">
        <v>524.19000000000005</v>
      </c>
      <c r="F1424" t="s">
        <v>29</v>
      </c>
      <c r="G1424" t="s">
        <v>31</v>
      </c>
      <c r="H1424" s="12">
        <v>0.15</v>
      </c>
      <c r="I1424" t="s">
        <v>34</v>
      </c>
      <c r="J1424" s="7">
        <f>Table2[[#This Row],[UnitPrice]]*Table2[[#This Row],[Quantity]]*(1-Table2[[#This Row],[Discount]])</f>
        <v>2673.3690000000001</v>
      </c>
      <c r="K1424" t="s">
        <v>42</v>
      </c>
      <c r="L1424" t="s">
        <v>45</v>
      </c>
      <c r="M1424">
        <v>0</v>
      </c>
      <c r="N1424" t="s">
        <v>1468</v>
      </c>
      <c r="O1424" t="s">
        <v>2123</v>
      </c>
      <c r="P1424" s="7">
        <v>31.04</v>
      </c>
      <c r="Q1424" s="1">
        <v>45398</v>
      </c>
      <c r="R1424">
        <f>WEEKNUM(Table2[[#This Row],[OrderDate]])</f>
        <v>16</v>
      </c>
      <c r="S1424" s="1">
        <v>45402</v>
      </c>
      <c r="T1424" t="s">
        <v>2918</v>
      </c>
    </row>
    <row r="1425" spans="1:20" x14ac:dyDescent="0.35">
      <c r="A1425" s="1">
        <v>45788</v>
      </c>
      <c r="B1425" t="s">
        <v>2934</v>
      </c>
      <c r="C1425" t="s">
        <v>22</v>
      </c>
      <c r="D1425" s="9">
        <v>16</v>
      </c>
      <c r="E1425" s="7">
        <v>305.20999999999998</v>
      </c>
      <c r="F1425" t="s">
        <v>27</v>
      </c>
      <c r="G1425" t="s">
        <v>30</v>
      </c>
      <c r="H1425" s="12">
        <v>0.1</v>
      </c>
      <c r="I1425" t="s">
        <v>33</v>
      </c>
      <c r="J1425" s="7">
        <f>Table2[[#This Row],[UnitPrice]]*Table2[[#This Row],[Quantity]]*(1-Table2[[#This Row],[Discount]])</f>
        <v>4395.0239999999994</v>
      </c>
      <c r="K1425" t="s">
        <v>41</v>
      </c>
      <c r="L1425" t="s">
        <v>44</v>
      </c>
      <c r="M1425">
        <v>0</v>
      </c>
      <c r="N1425" t="s">
        <v>1469</v>
      </c>
      <c r="O1425" t="s">
        <v>1905</v>
      </c>
      <c r="P1425" s="7">
        <v>33.369999999999997</v>
      </c>
      <c r="Q1425" s="1">
        <v>45788</v>
      </c>
      <c r="R1425">
        <f>WEEKNUM(Table2[[#This Row],[OrderDate]])</f>
        <v>20</v>
      </c>
      <c r="S1425" s="1">
        <v>45796</v>
      </c>
      <c r="T1425" t="s">
        <v>2920</v>
      </c>
    </row>
    <row r="1426" spans="1:20" x14ac:dyDescent="0.35">
      <c r="A1426" s="1">
        <v>45271</v>
      </c>
      <c r="B1426" t="s">
        <v>2931</v>
      </c>
      <c r="C1426" t="s">
        <v>25</v>
      </c>
      <c r="D1426" s="9">
        <v>16</v>
      </c>
      <c r="E1426" s="7">
        <v>438.71</v>
      </c>
      <c r="F1426" t="s">
        <v>28</v>
      </c>
      <c r="G1426" t="s">
        <v>31</v>
      </c>
      <c r="H1426" s="12">
        <v>0</v>
      </c>
      <c r="I1426" t="s">
        <v>33</v>
      </c>
      <c r="J1426" s="7">
        <f>Table2[[#This Row],[UnitPrice]]*Table2[[#This Row],[Quantity]]*(1-Table2[[#This Row],[Discount]])</f>
        <v>7019.36</v>
      </c>
      <c r="K1426" t="s">
        <v>38</v>
      </c>
      <c r="L1426" t="s">
        <v>2937</v>
      </c>
      <c r="M1426">
        <v>0</v>
      </c>
      <c r="N1426" t="s">
        <v>1470</v>
      </c>
      <c r="O1426" t="s">
        <v>2855</v>
      </c>
      <c r="P1426" s="7">
        <v>6.53</v>
      </c>
      <c r="Q1426" s="1">
        <v>45271</v>
      </c>
      <c r="R1426">
        <f>WEEKNUM(Table2[[#This Row],[OrderDate]])</f>
        <v>50</v>
      </c>
      <c r="S1426" s="1">
        <v>45281</v>
      </c>
      <c r="T1426" t="s">
        <v>2919</v>
      </c>
    </row>
    <row r="1427" spans="1:20" x14ac:dyDescent="0.35">
      <c r="A1427" s="1">
        <v>44942</v>
      </c>
      <c r="B1427" t="s">
        <v>2931</v>
      </c>
      <c r="C1427" t="s">
        <v>25</v>
      </c>
      <c r="D1427" s="9">
        <v>10</v>
      </c>
      <c r="E1427" s="7">
        <v>193.96</v>
      </c>
      <c r="F1427" t="s">
        <v>29</v>
      </c>
      <c r="G1427" t="s">
        <v>30</v>
      </c>
      <c r="H1427" s="12">
        <v>0.1</v>
      </c>
      <c r="I1427" t="s">
        <v>33</v>
      </c>
      <c r="J1427" s="7">
        <f>Table2[[#This Row],[UnitPrice]]*Table2[[#This Row],[Quantity]]*(1-Table2[[#This Row],[Discount]])</f>
        <v>1745.64</v>
      </c>
      <c r="K1427" t="s">
        <v>39</v>
      </c>
      <c r="L1427" t="s">
        <v>2937</v>
      </c>
      <c r="M1427">
        <v>0</v>
      </c>
      <c r="N1427" t="s">
        <v>1471</v>
      </c>
      <c r="O1427" t="s">
        <v>2856</v>
      </c>
      <c r="P1427" s="7">
        <v>41.3</v>
      </c>
      <c r="Q1427" s="1">
        <v>44942</v>
      </c>
      <c r="R1427">
        <f>WEEKNUM(Table2[[#This Row],[OrderDate]])</f>
        <v>3</v>
      </c>
      <c r="S1427" s="1">
        <v>44947</v>
      </c>
      <c r="T1427" t="s">
        <v>2919</v>
      </c>
    </row>
    <row r="1428" spans="1:20" x14ac:dyDescent="0.35">
      <c r="A1428" s="1">
        <v>45056</v>
      </c>
      <c r="B1428" t="s">
        <v>2930</v>
      </c>
      <c r="C1428" t="s">
        <v>20</v>
      </c>
      <c r="D1428" s="9">
        <v>18</v>
      </c>
      <c r="E1428" s="7">
        <v>580.41999999999996</v>
      </c>
      <c r="F1428" t="s">
        <v>27</v>
      </c>
      <c r="G1428" t="s">
        <v>30</v>
      </c>
      <c r="H1428" s="12">
        <v>0.05</v>
      </c>
      <c r="I1428" t="s">
        <v>37</v>
      </c>
      <c r="J1428" s="7">
        <f>Table2[[#This Row],[UnitPrice]]*Table2[[#This Row],[Quantity]]*(1-Table2[[#This Row],[Discount]])</f>
        <v>9925.1819999999989</v>
      </c>
      <c r="K1428" t="s">
        <v>38</v>
      </c>
      <c r="L1428" t="s">
        <v>44</v>
      </c>
      <c r="M1428">
        <v>0</v>
      </c>
      <c r="N1428" t="s">
        <v>1472</v>
      </c>
      <c r="O1428" t="s">
        <v>2857</v>
      </c>
      <c r="P1428" s="7">
        <v>37.81</v>
      </c>
      <c r="Q1428" s="1">
        <v>45056</v>
      </c>
      <c r="R1428">
        <f>WEEKNUM(Table2[[#This Row],[OrderDate]])</f>
        <v>19</v>
      </c>
      <c r="S1428" s="1">
        <v>45063</v>
      </c>
      <c r="T1428" t="s">
        <v>2917</v>
      </c>
    </row>
    <row r="1429" spans="1:20" x14ac:dyDescent="0.35">
      <c r="A1429" s="1">
        <v>45465</v>
      </c>
      <c r="B1429" t="s">
        <v>2934</v>
      </c>
      <c r="C1429" t="s">
        <v>23</v>
      </c>
      <c r="D1429" s="9">
        <v>18</v>
      </c>
      <c r="E1429" s="7">
        <v>91.55</v>
      </c>
      <c r="F1429" t="s">
        <v>28</v>
      </c>
      <c r="G1429" t="s">
        <v>31</v>
      </c>
      <c r="H1429" s="12">
        <v>0.1</v>
      </c>
      <c r="I1429" t="s">
        <v>33</v>
      </c>
      <c r="J1429" s="7">
        <f>Table2[[#This Row],[UnitPrice]]*Table2[[#This Row],[Quantity]]*(1-Table2[[#This Row],[Discount]])</f>
        <v>1483.11</v>
      </c>
      <c r="K1429" t="s">
        <v>41</v>
      </c>
      <c r="L1429" t="s">
        <v>43</v>
      </c>
      <c r="M1429">
        <v>0</v>
      </c>
      <c r="N1429" t="s">
        <v>1473</v>
      </c>
      <c r="O1429" t="s">
        <v>2858</v>
      </c>
      <c r="P1429" s="7">
        <v>32.54</v>
      </c>
      <c r="Q1429" s="1">
        <v>45465</v>
      </c>
      <c r="R1429">
        <f>WEEKNUM(Table2[[#This Row],[OrderDate]])</f>
        <v>25</v>
      </c>
      <c r="S1429" s="1">
        <v>45472</v>
      </c>
      <c r="T1429" t="s">
        <v>2920</v>
      </c>
    </row>
    <row r="1430" spans="1:20" x14ac:dyDescent="0.35">
      <c r="A1430" s="1">
        <v>45745</v>
      </c>
      <c r="B1430" t="s">
        <v>2933</v>
      </c>
      <c r="C1430" t="s">
        <v>24</v>
      </c>
      <c r="D1430" s="9">
        <v>13</v>
      </c>
      <c r="E1430" s="7">
        <v>113.78</v>
      </c>
      <c r="F1430" t="s">
        <v>28</v>
      </c>
      <c r="G1430" t="s">
        <v>30</v>
      </c>
      <c r="H1430" s="12">
        <v>0.1</v>
      </c>
      <c r="I1430" t="s">
        <v>32</v>
      </c>
      <c r="J1430" s="7">
        <f>Table2[[#This Row],[UnitPrice]]*Table2[[#This Row],[Quantity]]*(1-Table2[[#This Row],[Discount]])</f>
        <v>1331.2260000000001</v>
      </c>
      <c r="K1430" t="s">
        <v>38</v>
      </c>
      <c r="L1430" t="s">
        <v>43</v>
      </c>
      <c r="M1430">
        <v>0</v>
      </c>
      <c r="N1430" t="s">
        <v>1474</v>
      </c>
      <c r="O1430" t="s">
        <v>2859</v>
      </c>
      <c r="P1430" s="7">
        <v>28.07</v>
      </c>
      <c r="Q1430" s="1">
        <v>45745</v>
      </c>
      <c r="R1430">
        <f>WEEKNUM(Table2[[#This Row],[OrderDate]])</f>
        <v>13</v>
      </c>
      <c r="S1430" s="1">
        <v>45754</v>
      </c>
      <c r="T1430" t="s">
        <v>2921</v>
      </c>
    </row>
    <row r="1431" spans="1:20" x14ac:dyDescent="0.35">
      <c r="A1431" s="1">
        <v>45034</v>
      </c>
      <c r="B1431" t="s">
        <v>2931</v>
      </c>
      <c r="C1431" t="s">
        <v>24</v>
      </c>
      <c r="D1431" s="9">
        <v>16</v>
      </c>
      <c r="E1431" s="7">
        <v>477.91</v>
      </c>
      <c r="F1431" t="s">
        <v>27</v>
      </c>
      <c r="G1431" t="s">
        <v>30</v>
      </c>
      <c r="H1431" s="12">
        <v>0</v>
      </c>
      <c r="I1431" t="s">
        <v>35</v>
      </c>
      <c r="J1431" s="7">
        <f>Table2[[#This Row],[UnitPrice]]*Table2[[#This Row],[Quantity]]*(1-Table2[[#This Row],[Discount]])</f>
        <v>7646.56</v>
      </c>
      <c r="K1431" t="s">
        <v>40</v>
      </c>
      <c r="L1431" t="s">
        <v>45</v>
      </c>
      <c r="M1431">
        <v>0</v>
      </c>
      <c r="N1431" t="s">
        <v>1475</v>
      </c>
      <c r="O1431" t="s">
        <v>2860</v>
      </c>
      <c r="P1431" s="7">
        <v>21.89</v>
      </c>
      <c r="Q1431" s="1">
        <v>45034</v>
      </c>
      <c r="R1431">
        <f>WEEKNUM(Table2[[#This Row],[OrderDate]])</f>
        <v>16</v>
      </c>
      <c r="S1431" s="1">
        <v>45039</v>
      </c>
      <c r="T1431" t="s">
        <v>2919</v>
      </c>
    </row>
    <row r="1432" spans="1:20" x14ac:dyDescent="0.35">
      <c r="A1432" s="1">
        <v>44964</v>
      </c>
      <c r="B1432" t="s">
        <v>2934</v>
      </c>
      <c r="C1432" t="s">
        <v>19</v>
      </c>
      <c r="D1432" s="9">
        <v>14</v>
      </c>
      <c r="E1432" s="7">
        <v>306.39</v>
      </c>
      <c r="F1432" t="s">
        <v>27</v>
      </c>
      <c r="G1432" t="s">
        <v>31</v>
      </c>
      <c r="H1432" s="12">
        <v>0.1</v>
      </c>
      <c r="I1432" t="s">
        <v>32</v>
      </c>
      <c r="J1432" s="7">
        <f>Table2[[#This Row],[UnitPrice]]*Table2[[#This Row],[Quantity]]*(1-Table2[[#This Row],[Discount]])</f>
        <v>3860.5140000000001</v>
      </c>
      <c r="K1432" t="s">
        <v>42</v>
      </c>
      <c r="L1432" t="s">
        <v>45</v>
      </c>
      <c r="M1432">
        <v>0</v>
      </c>
      <c r="N1432" t="s">
        <v>1476</v>
      </c>
      <c r="O1432" t="s">
        <v>2861</v>
      </c>
      <c r="P1432" s="7">
        <v>38.729999999999997</v>
      </c>
      <c r="Q1432" s="1">
        <v>44964</v>
      </c>
      <c r="R1432">
        <f>WEEKNUM(Table2[[#This Row],[OrderDate]])</f>
        <v>6</v>
      </c>
      <c r="S1432" s="1">
        <v>44966</v>
      </c>
      <c r="T1432" t="s">
        <v>2920</v>
      </c>
    </row>
    <row r="1433" spans="1:20" x14ac:dyDescent="0.35">
      <c r="A1433" s="1">
        <v>45679</v>
      </c>
      <c r="B1433" t="s">
        <v>2930</v>
      </c>
      <c r="C1433" t="s">
        <v>24</v>
      </c>
      <c r="D1433" s="9">
        <v>17</v>
      </c>
      <c r="E1433" s="7">
        <v>8.33</v>
      </c>
      <c r="F1433" t="s">
        <v>27</v>
      </c>
      <c r="G1433" t="s">
        <v>31</v>
      </c>
      <c r="H1433" s="12">
        <v>0.05</v>
      </c>
      <c r="I1433" t="s">
        <v>32</v>
      </c>
      <c r="J1433" s="7">
        <f>Table2[[#This Row],[UnitPrice]]*Table2[[#This Row],[Quantity]]*(1-Table2[[#This Row],[Discount]])</f>
        <v>134.52950000000001</v>
      </c>
      <c r="K1433" t="s">
        <v>42</v>
      </c>
      <c r="L1433" t="s">
        <v>2937</v>
      </c>
      <c r="M1433">
        <v>0</v>
      </c>
      <c r="N1433" t="s">
        <v>1477</v>
      </c>
      <c r="O1433" t="s">
        <v>2862</v>
      </c>
      <c r="P1433" s="7">
        <v>43.29</v>
      </c>
      <c r="Q1433" s="1">
        <v>45679</v>
      </c>
      <c r="R1433">
        <f>WEEKNUM(Table2[[#This Row],[OrderDate]])</f>
        <v>4</v>
      </c>
      <c r="S1433" s="1">
        <v>45682</v>
      </c>
      <c r="T1433" t="s">
        <v>2917</v>
      </c>
    </row>
    <row r="1434" spans="1:20" x14ac:dyDescent="0.35">
      <c r="A1434" s="1">
        <v>45111</v>
      </c>
      <c r="B1434" t="s">
        <v>2930</v>
      </c>
      <c r="C1434" t="s">
        <v>20</v>
      </c>
      <c r="D1434" s="9">
        <v>6</v>
      </c>
      <c r="E1434" s="7">
        <v>346.86</v>
      </c>
      <c r="F1434" t="s">
        <v>28</v>
      </c>
      <c r="G1434" t="s">
        <v>31</v>
      </c>
      <c r="H1434" s="12">
        <v>0.05</v>
      </c>
      <c r="I1434" t="s">
        <v>32</v>
      </c>
      <c r="J1434" s="7">
        <f>Table2[[#This Row],[UnitPrice]]*Table2[[#This Row],[Quantity]]*(1-Table2[[#This Row],[Discount]])</f>
        <v>1977.1019999999999</v>
      </c>
      <c r="K1434" t="s">
        <v>39</v>
      </c>
      <c r="L1434" t="s">
        <v>43</v>
      </c>
      <c r="M1434">
        <v>0</v>
      </c>
      <c r="N1434" t="s">
        <v>1478</v>
      </c>
      <c r="O1434" t="s">
        <v>2863</v>
      </c>
      <c r="P1434" s="7">
        <v>29.18</v>
      </c>
      <c r="Q1434" s="1">
        <v>45111</v>
      </c>
      <c r="R1434">
        <f>WEEKNUM(Table2[[#This Row],[OrderDate]])</f>
        <v>27</v>
      </c>
      <c r="S1434" s="1">
        <v>45119</v>
      </c>
      <c r="T1434" t="s">
        <v>2917</v>
      </c>
    </row>
    <row r="1435" spans="1:20" x14ac:dyDescent="0.35">
      <c r="A1435" s="1">
        <v>45138</v>
      </c>
      <c r="B1435" t="s">
        <v>2934</v>
      </c>
      <c r="C1435" t="s">
        <v>21</v>
      </c>
      <c r="D1435" s="9">
        <v>14</v>
      </c>
      <c r="E1435" s="7">
        <v>223.26</v>
      </c>
      <c r="F1435" t="s">
        <v>26</v>
      </c>
      <c r="G1435" t="s">
        <v>30</v>
      </c>
      <c r="H1435" s="12">
        <v>0.1</v>
      </c>
      <c r="I1435" t="s">
        <v>33</v>
      </c>
      <c r="J1435" s="7">
        <f>Table2[[#This Row],[UnitPrice]]*Table2[[#This Row],[Quantity]]*(1-Table2[[#This Row],[Discount]])</f>
        <v>2813.076</v>
      </c>
      <c r="K1435" t="s">
        <v>40</v>
      </c>
      <c r="L1435" t="s">
        <v>45</v>
      </c>
      <c r="M1435">
        <v>0</v>
      </c>
      <c r="N1435" t="s">
        <v>1479</v>
      </c>
      <c r="O1435" t="s">
        <v>2864</v>
      </c>
      <c r="P1435" s="7">
        <v>12.88</v>
      </c>
      <c r="Q1435" s="1">
        <v>45138</v>
      </c>
      <c r="R1435">
        <f>WEEKNUM(Table2[[#This Row],[OrderDate]])</f>
        <v>31</v>
      </c>
      <c r="S1435" s="1">
        <v>45141</v>
      </c>
      <c r="T1435" t="s">
        <v>2920</v>
      </c>
    </row>
    <row r="1436" spans="1:20" x14ac:dyDescent="0.35">
      <c r="A1436" s="1">
        <v>45036</v>
      </c>
      <c r="B1436" t="s">
        <v>2931</v>
      </c>
      <c r="C1436" t="s">
        <v>21</v>
      </c>
      <c r="D1436" s="9">
        <v>6</v>
      </c>
      <c r="E1436" s="7">
        <v>529.1</v>
      </c>
      <c r="F1436" t="s">
        <v>29</v>
      </c>
      <c r="G1436" t="s">
        <v>30</v>
      </c>
      <c r="H1436" s="12">
        <v>0</v>
      </c>
      <c r="I1436" t="s">
        <v>32</v>
      </c>
      <c r="J1436" s="7">
        <f>Table2[[#This Row],[UnitPrice]]*Table2[[#This Row],[Quantity]]*(1-Table2[[#This Row],[Discount]])</f>
        <v>3174.6000000000004</v>
      </c>
      <c r="K1436" t="s">
        <v>41</v>
      </c>
      <c r="L1436" t="s">
        <v>45</v>
      </c>
      <c r="M1436">
        <v>0</v>
      </c>
      <c r="N1436" t="s">
        <v>1480</v>
      </c>
      <c r="O1436" t="s">
        <v>2865</v>
      </c>
      <c r="P1436" s="7">
        <v>5.13</v>
      </c>
      <c r="Q1436" s="1">
        <v>45036</v>
      </c>
      <c r="R1436">
        <f>WEEKNUM(Table2[[#This Row],[OrderDate]])</f>
        <v>16</v>
      </c>
      <c r="S1436" s="1">
        <v>45043</v>
      </c>
      <c r="T1436" t="s">
        <v>2919</v>
      </c>
    </row>
    <row r="1437" spans="1:20" x14ac:dyDescent="0.35">
      <c r="A1437" s="1">
        <v>45573</v>
      </c>
      <c r="B1437" t="s">
        <v>2934</v>
      </c>
      <c r="C1437" t="s">
        <v>24</v>
      </c>
      <c r="D1437" s="9">
        <v>11</v>
      </c>
      <c r="E1437" s="7">
        <v>97.34</v>
      </c>
      <c r="F1437" t="s">
        <v>29</v>
      </c>
      <c r="G1437" t="s">
        <v>30</v>
      </c>
      <c r="H1437" s="12">
        <v>0.1</v>
      </c>
      <c r="I1437" t="s">
        <v>35</v>
      </c>
      <c r="J1437" s="7">
        <f>Table2[[#This Row],[UnitPrice]]*Table2[[#This Row],[Quantity]]*(1-Table2[[#This Row],[Discount]])</f>
        <v>963.66600000000005</v>
      </c>
      <c r="K1437" t="s">
        <v>41</v>
      </c>
      <c r="L1437" t="s">
        <v>44</v>
      </c>
      <c r="M1437">
        <v>0</v>
      </c>
      <c r="N1437" t="s">
        <v>1481</v>
      </c>
      <c r="O1437" t="s">
        <v>2866</v>
      </c>
      <c r="P1437" s="7">
        <v>10.61</v>
      </c>
      <c r="Q1437" s="1">
        <v>45573</v>
      </c>
      <c r="R1437">
        <f>WEEKNUM(Table2[[#This Row],[OrderDate]])</f>
        <v>41</v>
      </c>
      <c r="S1437" s="1">
        <v>45576</v>
      </c>
      <c r="T1437" t="s">
        <v>2920</v>
      </c>
    </row>
    <row r="1438" spans="1:20" x14ac:dyDescent="0.35">
      <c r="A1438" s="1">
        <v>45316</v>
      </c>
      <c r="B1438" t="s">
        <v>2930</v>
      </c>
      <c r="C1438" t="s">
        <v>22</v>
      </c>
      <c r="D1438" s="9">
        <v>11</v>
      </c>
      <c r="E1438" s="7">
        <v>422.89</v>
      </c>
      <c r="F1438" t="s">
        <v>26</v>
      </c>
      <c r="G1438" t="s">
        <v>31</v>
      </c>
      <c r="H1438" s="12">
        <v>0.1</v>
      </c>
      <c r="I1438" t="s">
        <v>34</v>
      </c>
      <c r="J1438" s="7">
        <f>Table2[[#This Row],[UnitPrice]]*Table2[[#This Row],[Quantity]]*(1-Table2[[#This Row],[Discount]])</f>
        <v>4186.6109999999999</v>
      </c>
      <c r="K1438" t="s">
        <v>40</v>
      </c>
      <c r="L1438" t="s">
        <v>44</v>
      </c>
      <c r="M1438">
        <v>0</v>
      </c>
      <c r="N1438" t="s">
        <v>1482</v>
      </c>
      <c r="O1438" t="s">
        <v>2867</v>
      </c>
      <c r="P1438" s="7">
        <v>45.89</v>
      </c>
      <c r="Q1438" s="1">
        <v>45316</v>
      </c>
      <c r="R1438">
        <f>WEEKNUM(Table2[[#This Row],[OrderDate]])</f>
        <v>4</v>
      </c>
      <c r="S1438" s="1">
        <v>45318</v>
      </c>
      <c r="T1438" t="s">
        <v>2917</v>
      </c>
    </row>
    <row r="1439" spans="1:20" x14ac:dyDescent="0.35">
      <c r="A1439" s="1">
        <v>45642</v>
      </c>
      <c r="B1439" t="s">
        <v>2932</v>
      </c>
      <c r="C1439" t="s">
        <v>23</v>
      </c>
      <c r="D1439" s="9">
        <v>4</v>
      </c>
      <c r="E1439" s="7">
        <v>557.16999999999996</v>
      </c>
      <c r="F1439" t="s">
        <v>28</v>
      </c>
      <c r="G1439" t="s">
        <v>30</v>
      </c>
      <c r="H1439" s="12">
        <v>0.05</v>
      </c>
      <c r="I1439" t="s">
        <v>34</v>
      </c>
      <c r="J1439" s="7">
        <f>Table2[[#This Row],[UnitPrice]]*Table2[[#This Row],[Quantity]]*(1-Table2[[#This Row],[Discount]])</f>
        <v>2117.2459999999996</v>
      </c>
      <c r="K1439" t="s">
        <v>40</v>
      </c>
      <c r="L1439" t="s">
        <v>2937</v>
      </c>
      <c r="M1439">
        <v>0</v>
      </c>
      <c r="N1439" t="s">
        <v>1483</v>
      </c>
      <c r="O1439" t="s">
        <v>2868</v>
      </c>
      <c r="P1439" s="7">
        <v>32.159999999999997</v>
      </c>
      <c r="Q1439" s="1">
        <v>45642</v>
      </c>
      <c r="R1439">
        <f>WEEKNUM(Table2[[#This Row],[OrderDate]])</f>
        <v>51</v>
      </c>
      <c r="S1439" s="1">
        <v>45651</v>
      </c>
      <c r="T1439" t="s">
        <v>2918</v>
      </c>
    </row>
    <row r="1440" spans="1:20" x14ac:dyDescent="0.35">
      <c r="A1440" s="1">
        <v>45589</v>
      </c>
      <c r="B1440" t="s">
        <v>2934</v>
      </c>
      <c r="C1440" t="s">
        <v>25</v>
      </c>
      <c r="D1440" s="9">
        <v>9</v>
      </c>
      <c r="E1440" s="7">
        <v>459.65</v>
      </c>
      <c r="F1440" t="s">
        <v>26</v>
      </c>
      <c r="G1440" t="s">
        <v>31</v>
      </c>
      <c r="H1440" s="12">
        <v>0.1</v>
      </c>
      <c r="I1440" t="s">
        <v>37</v>
      </c>
      <c r="J1440" s="7">
        <f>Table2[[#This Row],[UnitPrice]]*Table2[[#This Row],[Quantity]]*(1-Table2[[#This Row],[Discount]])</f>
        <v>3723.1649999999995</v>
      </c>
      <c r="K1440" t="s">
        <v>39</v>
      </c>
      <c r="L1440" t="s">
        <v>45</v>
      </c>
      <c r="M1440">
        <v>1</v>
      </c>
      <c r="N1440" t="s">
        <v>1484</v>
      </c>
      <c r="O1440" t="s">
        <v>1556</v>
      </c>
      <c r="P1440" s="7">
        <v>22.24</v>
      </c>
      <c r="Q1440" s="1">
        <v>45589</v>
      </c>
      <c r="R1440">
        <f>WEEKNUM(Table2[[#This Row],[OrderDate]])</f>
        <v>43</v>
      </c>
      <c r="S1440" s="1">
        <v>45597</v>
      </c>
      <c r="T1440" t="s">
        <v>2920</v>
      </c>
    </row>
    <row r="1441" spans="1:20" x14ac:dyDescent="0.35">
      <c r="A1441" s="1">
        <v>45246</v>
      </c>
      <c r="B1441" t="s">
        <v>2933</v>
      </c>
      <c r="C1441" t="s">
        <v>23</v>
      </c>
      <c r="D1441" s="9">
        <v>8</v>
      </c>
      <c r="E1441" s="7">
        <v>493.35</v>
      </c>
      <c r="F1441" t="s">
        <v>27</v>
      </c>
      <c r="G1441" t="s">
        <v>31</v>
      </c>
      <c r="H1441" s="12">
        <v>0.1</v>
      </c>
      <c r="I1441" t="s">
        <v>33</v>
      </c>
      <c r="J1441" s="7">
        <f>Table2[[#This Row],[UnitPrice]]*Table2[[#This Row],[Quantity]]*(1-Table2[[#This Row],[Discount]])</f>
        <v>3552.1200000000003</v>
      </c>
      <c r="K1441" t="s">
        <v>42</v>
      </c>
      <c r="L1441" t="s">
        <v>43</v>
      </c>
      <c r="M1441">
        <v>1</v>
      </c>
      <c r="N1441" t="s">
        <v>1485</v>
      </c>
      <c r="O1441" t="s">
        <v>2869</v>
      </c>
      <c r="P1441" s="7">
        <v>12.86</v>
      </c>
      <c r="Q1441" s="1">
        <v>45246</v>
      </c>
      <c r="R1441">
        <f>WEEKNUM(Table2[[#This Row],[OrderDate]])</f>
        <v>46</v>
      </c>
      <c r="S1441" s="1">
        <v>45250</v>
      </c>
      <c r="T1441" t="s">
        <v>2921</v>
      </c>
    </row>
    <row r="1442" spans="1:20" x14ac:dyDescent="0.35">
      <c r="A1442" s="1">
        <v>45382</v>
      </c>
      <c r="B1442" t="s">
        <v>2932</v>
      </c>
      <c r="C1442" t="s">
        <v>19</v>
      </c>
      <c r="D1442" s="9">
        <v>13</v>
      </c>
      <c r="E1442" s="7">
        <v>428.59</v>
      </c>
      <c r="F1442" t="s">
        <v>29</v>
      </c>
      <c r="G1442" t="s">
        <v>31</v>
      </c>
      <c r="H1442" s="12">
        <v>0</v>
      </c>
      <c r="I1442" t="s">
        <v>37</v>
      </c>
      <c r="J1442" s="7">
        <f>Table2[[#This Row],[UnitPrice]]*Table2[[#This Row],[Quantity]]*(1-Table2[[#This Row],[Discount]])</f>
        <v>5571.67</v>
      </c>
      <c r="K1442" t="s">
        <v>42</v>
      </c>
      <c r="L1442" t="s">
        <v>43</v>
      </c>
      <c r="M1442">
        <v>0</v>
      </c>
      <c r="N1442" t="s">
        <v>1486</v>
      </c>
      <c r="O1442" t="s">
        <v>2870</v>
      </c>
      <c r="P1442" s="7">
        <v>23.89</v>
      </c>
      <c r="Q1442" s="1">
        <v>45382</v>
      </c>
      <c r="R1442">
        <f>WEEKNUM(Table2[[#This Row],[OrderDate]])</f>
        <v>14</v>
      </c>
      <c r="S1442" s="1">
        <v>45390</v>
      </c>
      <c r="T1442" t="s">
        <v>2918</v>
      </c>
    </row>
    <row r="1443" spans="1:20" x14ac:dyDescent="0.35">
      <c r="A1443" s="1">
        <v>44970</v>
      </c>
      <c r="B1443" t="s">
        <v>2930</v>
      </c>
      <c r="C1443" t="s">
        <v>19</v>
      </c>
      <c r="D1443" s="9">
        <v>7</v>
      </c>
      <c r="E1443" s="7">
        <v>242.11</v>
      </c>
      <c r="F1443" t="s">
        <v>28</v>
      </c>
      <c r="G1443" t="s">
        <v>30</v>
      </c>
      <c r="H1443" s="12">
        <v>0.05</v>
      </c>
      <c r="I1443" t="s">
        <v>32</v>
      </c>
      <c r="J1443" s="7">
        <f>Table2[[#This Row],[UnitPrice]]*Table2[[#This Row],[Quantity]]*(1-Table2[[#This Row],[Discount]])</f>
        <v>1610.0314999999998</v>
      </c>
      <c r="K1443" t="s">
        <v>41</v>
      </c>
      <c r="L1443" t="s">
        <v>45</v>
      </c>
      <c r="M1443">
        <v>0</v>
      </c>
      <c r="N1443" t="s">
        <v>1487</v>
      </c>
      <c r="O1443" t="s">
        <v>2370</v>
      </c>
      <c r="P1443" s="7">
        <v>47.19</v>
      </c>
      <c r="Q1443" s="1">
        <v>44970</v>
      </c>
      <c r="R1443">
        <f>WEEKNUM(Table2[[#This Row],[OrderDate]])</f>
        <v>7</v>
      </c>
      <c r="S1443" s="1">
        <v>44975</v>
      </c>
      <c r="T1443" t="s">
        <v>2917</v>
      </c>
    </row>
    <row r="1444" spans="1:20" x14ac:dyDescent="0.35">
      <c r="A1444" s="1">
        <v>45189</v>
      </c>
      <c r="B1444" t="s">
        <v>2932</v>
      </c>
      <c r="C1444" t="s">
        <v>24</v>
      </c>
      <c r="D1444" s="9">
        <v>17</v>
      </c>
      <c r="E1444" s="7">
        <v>477.38</v>
      </c>
      <c r="F1444" t="s">
        <v>28</v>
      </c>
      <c r="G1444" t="s">
        <v>31</v>
      </c>
      <c r="H1444" s="12">
        <v>0.05</v>
      </c>
      <c r="I1444" t="s">
        <v>33</v>
      </c>
      <c r="J1444" s="7">
        <f>Table2[[#This Row],[UnitPrice]]*Table2[[#This Row],[Quantity]]*(1-Table2[[#This Row],[Discount]])</f>
        <v>7709.6869999999999</v>
      </c>
      <c r="K1444" t="s">
        <v>39</v>
      </c>
      <c r="L1444" t="s">
        <v>43</v>
      </c>
      <c r="M1444">
        <v>0</v>
      </c>
      <c r="N1444" t="s">
        <v>1488</v>
      </c>
      <c r="O1444" t="s">
        <v>2871</v>
      </c>
      <c r="P1444" s="7">
        <v>35.28</v>
      </c>
      <c r="Q1444" s="1">
        <v>45189</v>
      </c>
      <c r="R1444">
        <f>WEEKNUM(Table2[[#This Row],[OrderDate]])</f>
        <v>38</v>
      </c>
      <c r="S1444" s="1">
        <v>45196</v>
      </c>
      <c r="T1444" t="s">
        <v>2918</v>
      </c>
    </row>
    <row r="1445" spans="1:20" x14ac:dyDescent="0.35">
      <c r="A1445" s="1">
        <v>45104</v>
      </c>
      <c r="B1445" t="s">
        <v>2932</v>
      </c>
      <c r="C1445" t="s">
        <v>22</v>
      </c>
      <c r="D1445" s="9">
        <v>3</v>
      </c>
      <c r="E1445" s="7">
        <v>261.60000000000002</v>
      </c>
      <c r="F1445" t="s">
        <v>29</v>
      </c>
      <c r="G1445" t="s">
        <v>31</v>
      </c>
      <c r="H1445" s="12">
        <v>0.05</v>
      </c>
      <c r="I1445" t="s">
        <v>36</v>
      </c>
      <c r="J1445" s="7">
        <f>Table2[[#This Row],[UnitPrice]]*Table2[[#This Row],[Quantity]]*(1-Table2[[#This Row],[Discount]])</f>
        <v>745.56000000000006</v>
      </c>
      <c r="K1445" t="s">
        <v>42</v>
      </c>
      <c r="L1445" t="s">
        <v>45</v>
      </c>
      <c r="M1445">
        <v>0</v>
      </c>
      <c r="N1445" t="s">
        <v>1489</v>
      </c>
      <c r="O1445" t="s">
        <v>2872</v>
      </c>
      <c r="P1445" s="7">
        <v>42.11</v>
      </c>
      <c r="Q1445" s="1">
        <v>45104</v>
      </c>
      <c r="R1445">
        <f>WEEKNUM(Table2[[#This Row],[OrderDate]])</f>
        <v>26</v>
      </c>
      <c r="S1445" s="1">
        <v>45114</v>
      </c>
      <c r="T1445" t="s">
        <v>2918</v>
      </c>
    </row>
    <row r="1446" spans="1:20" x14ac:dyDescent="0.35">
      <c r="A1446" s="1">
        <v>45749</v>
      </c>
      <c r="B1446" t="s">
        <v>2934</v>
      </c>
      <c r="C1446" t="s">
        <v>19</v>
      </c>
      <c r="D1446" s="9">
        <v>6</v>
      </c>
      <c r="E1446" s="7">
        <v>416.2</v>
      </c>
      <c r="F1446" t="s">
        <v>27</v>
      </c>
      <c r="G1446" t="s">
        <v>30</v>
      </c>
      <c r="H1446" s="12">
        <v>0.05</v>
      </c>
      <c r="I1446" t="s">
        <v>33</v>
      </c>
      <c r="J1446" s="7">
        <f>Table2[[#This Row],[UnitPrice]]*Table2[[#This Row],[Quantity]]*(1-Table2[[#This Row],[Discount]])</f>
        <v>2372.3399999999997</v>
      </c>
      <c r="K1446" t="s">
        <v>42</v>
      </c>
      <c r="L1446" t="s">
        <v>45</v>
      </c>
      <c r="M1446">
        <v>1</v>
      </c>
      <c r="N1446" t="s">
        <v>1490</v>
      </c>
      <c r="O1446" t="s">
        <v>2873</v>
      </c>
      <c r="P1446" s="7">
        <v>44.14</v>
      </c>
      <c r="Q1446" s="1">
        <v>45749</v>
      </c>
      <c r="R1446">
        <f>WEEKNUM(Table2[[#This Row],[OrderDate]])</f>
        <v>14</v>
      </c>
      <c r="S1446" s="1">
        <v>45753</v>
      </c>
      <c r="T1446" t="s">
        <v>2920</v>
      </c>
    </row>
    <row r="1447" spans="1:20" x14ac:dyDescent="0.35">
      <c r="A1447" s="1">
        <v>45763</v>
      </c>
      <c r="B1447" t="s">
        <v>2931</v>
      </c>
      <c r="C1447" t="s">
        <v>25</v>
      </c>
      <c r="D1447" s="9">
        <v>15</v>
      </c>
      <c r="E1447" s="7">
        <v>99.66</v>
      </c>
      <c r="F1447" t="s">
        <v>27</v>
      </c>
      <c r="G1447" t="s">
        <v>30</v>
      </c>
      <c r="H1447" s="12">
        <v>0</v>
      </c>
      <c r="I1447" t="s">
        <v>32</v>
      </c>
      <c r="J1447" s="7">
        <f>Table2[[#This Row],[UnitPrice]]*Table2[[#This Row],[Quantity]]*(1-Table2[[#This Row],[Discount]])</f>
        <v>1494.8999999999999</v>
      </c>
      <c r="K1447" t="s">
        <v>42</v>
      </c>
      <c r="L1447" t="s">
        <v>43</v>
      </c>
      <c r="M1447">
        <v>0</v>
      </c>
      <c r="N1447" t="s">
        <v>1491</v>
      </c>
      <c r="O1447" t="s">
        <v>2874</v>
      </c>
      <c r="P1447" s="7">
        <v>27.55</v>
      </c>
      <c r="Q1447" s="1">
        <v>45763</v>
      </c>
      <c r="R1447">
        <f>WEEKNUM(Table2[[#This Row],[OrderDate]])</f>
        <v>16</v>
      </c>
      <c r="S1447" s="1">
        <v>45773</v>
      </c>
      <c r="T1447" t="s">
        <v>2919</v>
      </c>
    </row>
    <row r="1448" spans="1:20" x14ac:dyDescent="0.35">
      <c r="A1448" s="1">
        <v>45482</v>
      </c>
      <c r="B1448" t="s">
        <v>2934</v>
      </c>
      <c r="C1448" t="s">
        <v>19</v>
      </c>
      <c r="D1448" s="9">
        <v>16</v>
      </c>
      <c r="E1448" s="7">
        <v>55.56</v>
      </c>
      <c r="F1448" t="s">
        <v>29</v>
      </c>
      <c r="G1448" t="s">
        <v>30</v>
      </c>
      <c r="H1448" s="12">
        <v>0.15</v>
      </c>
      <c r="I1448" t="s">
        <v>34</v>
      </c>
      <c r="J1448" s="7">
        <f>Table2[[#This Row],[UnitPrice]]*Table2[[#This Row],[Quantity]]*(1-Table2[[#This Row],[Discount]])</f>
        <v>755.61599999999999</v>
      </c>
      <c r="K1448" t="s">
        <v>42</v>
      </c>
      <c r="L1448" t="s">
        <v>2937</v>
      </c>
      <c r="M1448">
        <v>1</v>
      </c>
      <c r="N1448" t="s">
        <v>1492</v>
      </c>
      <c r="O1448" t="s">
        <v>2875</v>
      </c>
      <c r="P1448" s="7">
        <v>17.809999999999999</v>
      </c>
      <c r="Q1448" s="1">
        <v>45482</v>
      </c>
      <c r="R1448">
        <f>WEEKNUM(Table2[[#This Row],[OrderDate]])</f>
        <v>28</v>
      </c>
      <c r="S1448" s="1">
        <v>45490</v>
      </c>
      <c r="T1448" t="s">
        <v>2920</v>
      </c>
    </row>
    <row r="1449" spans="1:20" x14ac:dyDescent="0.35">
      <c r="A1449" s="1">
        <v>45831</v>
      </c>
      <c r="B1449" t="s">
        <v>2930</v>
      </c>
      <c r="C1449" t="s">
        <v>20</v>
      </c>
      <c r="D1449" s="9">
        <v>20</v>
      </c>
      <c r="E1449" s="7">
        <v>243.47</v>
      </c>
      <c r="F1449" t="s">
        <v>27</v>
      </c>
      <c r="G1449" t="s">
        <v>30</v>
      </c>
      <c r="H1449" s="12">
        <v>0.05</v>
      </c>
      <c r="I1449" t="s">
        <v>33</v>
      </c>
      <c r="J1449" s="7">
        <f>Table2[[#This Row],[UnitPrice]]*Table2[[#This Row],[Quantity]]*(1-Table2[[#This Row],[Discount]])</f>
        <v>4625.9299999999994</v>
      </c>
      <c r="K1449" t="s">
        <v>39</v>
      </c>
      <c r="L1449" t="s">
        <v>43</v>
      </c>
      <c r="M1449">
        <v>1</v>
      </c>
      <c r="N1449" t="s">
        <v>1493</v>
      </c>
      <c r="O1449" t="s">
        <v>2742</v>
      </c>
      <c r="P1449" s="7">
        <v>32.28</v>
      </c>
      <c r="Q1449" s="1">
        <v>45831</v>
      </c>
      <c r="R1449">
        <f>WEEKNUM(Table2[[#This Row],[OrderDate]])</f>
        <v>26</v>
      </c>
      <c r="S1449" s="1">
        <v>45841</v>
      </c>
      <c r="T1449" t="s">
        <v>2917</v>
      </c>
    </row>
    <row r="1450" spans="1:20" x14ac:dyDescent="0.35">
      <c r="A1450" s="1">
        <v>45452</v>
      </c>
      <c r="B1450" t="s">
        <v>2930</v>
      </c>
      <c r="C1450" t="s">
        <v>24</v>
      </c>
      <c r="D1450" s="9">
        <v>11</v>
      </c>
      <c r="E1450" s="7">
        <v>185.59</v>
      </c>
      <c r="F1450" t="s">
        <v>26</v>
      </c>
      <c r="G1450" t="s">
        <v>31</v>
      </c>
      <c r="H1450" s="12">
        <v>0.1</v>
      </c>
      <c r="I1450" t="s">
        <v>35</v>
      </c>
      <c r="J1450" s="7">
        <f>Table2[[#This Row],[UnitPrice]]*Table2[[#This Row],[Quantity]]*(1-Table2[[#This Row],[Discount]])</f>
        <v>1837.3410000000001</v>
      </c>
      <c r="K1450" t="s">
        <v>39</v>
      </c>
      <c r="L1450" t="s">
        <v>2937</v>
      </c>
      <c r="M1450">
        <v>0</v>
      </c>
      <c r="N1450" t="s">
        <v>1494</v>
      </c>
      <c r="O1450" t="s">
        <v>2322</v>
      </c>
      <c r="P1450" s="7">
        <v>45.19</v>
      </c>
      <c r="Q1450" s="1">
        <v>45452</v>
      </c>
      <c r="R1450">
        <f>WEEKNUM(Table2[[#This Row],[OrderDate]])</f>
        <v>24</v>
      </c>
      <c r="S1450" s="1">
        <v>45461</v>
      </c>
      <c r="T1450" t="s">
        <v>2917</v>
      </c>
    </row>
    <row r="1451" spans="1:20" x14ac:dyDescent="0.35">
      <c r="A1451" s="1">
        <v>45261</v>
      </c>
      <c r="B1451" t="s">
        <v>2934</v>
      </c>
      <c r="C1451" t="s">
        <v>21</v>
      </c>
      <c r="D1451" s="9">
        <v>11</v>
      </c>
      <c r="E1451" s="7">
        <v>347.38</v>
      </c>
      <c r="F1451" t="s">
        <v>28</v>
      </c>
      <c r="G1451" t="s">
        <v>30</v>
      </c>
      <c r="H1451" s="12">
        <v>0.05</v>
      </c>
      <c r="I1451" t="s">
        <v>32</v>
      </c>
      <c r="J1451" s="7">
        <f>Table2[[#This Row],[UnitPrice]]*Table2[[#This Row],[Quantity]]*(1-Table2[[#This Row],[Discount]])</f>
        <v>3630.1209999999996</v>
      </c>
      <c r="K1451" t="s">
        <v>40</v>
      </c>
      <c r="L1451" t="s">
        <v>43</v>
      </c>
      <c r="M1451">
        <v>0</v>
      </c>
      <c r="N1451" t="s">
        <v>1495</v>
      </c>
      <c r="O1451" t="s">
        <v>2876</v>
      </c>
      <c r="P1451" s="7">
        <v>24.8</v>
      </c>
      <c r="Q1451" s="1">
        <v>45261</v>
      </c>
      <c r="R1451">
        <f>WEEKNUM(Table2[[#This Row],[OrderDate]])</f>
        <v>48</v>
      </c>
      <c r="S1451" s="1">
        <v>45263</v>
      </c>
      <c r="T1451" t="s">
        <v>2920</v>
      </c>
    </row>
    <row r="1452" spans="1:20" x14ac:dyDescent="0.35">
      <c r="A1452" s="1">
        <v>45497</v>
      </c>
      <c r="B1452" t="s">
        <v>2933</v>
      </c>
      <c r="C1452" t="s">
        <v>24</v>
      </c>
      <c r="D1452" s="9">
        <v>15</v>
      </c>
      <c r="E1452" s="7">
        <v>318.02999999999997</v>
      </c>
      <c r="F1452" t="s">
        <v>29</v>
      </c>
      <c r="G1452" t="s">
        <v>31</v>
      </c>
      <c r="H1452" s="12">
        <v>0.05</v>
      </c>
      <c r="I1452" t="s">
        <v>36</v>
      </c>
      <c r="J1452" s="7">
        <f>Table2[[#This Row],[UnitPrice]]*Table2[[#This Row],[Quantity]]*(1-Table2[[#This Row],[Discount]])</f>
        <v>4531.9274999999998</v>
      </c>
      <c r="K1452" t="s">
        <v>39</v>
      </c>
      <c r="L1452" t="s">
        <v>45</v>
      </c>
      <c r="M1452">
        <v>1</v>
      </c>
      <c r="N1452" t="s">
        <v>1496</v>
      </c>
      <c r="O1452" t="s">
        <v>2877</v>
      </c>
      <c r="P1452" s="7">
        <v>24.38</v>
      </c>
      <c r="Q1452" s="1">
        <v>45497</v>
      </c>
      <c r="R1452">
        <f>WEEKNUM(Table2[[#This Row],[OrderDate]])</f>
        <v>30</v>
      </c>
      <c r="S1452" s="1">
        <v>45503</v>
      </c>
      <c r="T1452" t="s">
        <v>2921</v>
      </c>
    </row>
    <row r="1453" spans="1:20" x14ac:dyDescent="0.35">
      <c r="A1453" s="1">
        <v>45028</v>
      </c>
      <c r="B1453" t="s">
        <v>2933</v>
      </c>
      <c r="C1453" t="s">
        <v>22</v>
      </c>
      <c r="D1453" s="9">
        <v>15</v>
      </c>
      <c r="E1453" s="7">
        <v>242.35</v>
      </c>
      <c r="F1453" t="s">
        <v>29</v>
      </c>
      <c r="G1453" t="s">
        <v>30</v>
      </c>
      <c r="H1453" s="12">
        <v>0.15</v>
      </c>
      <c r="I1453" t="s">
        <v>36</v>
      </c>
      <c r="J1453" s="7">
        <f>Table2[[#This Row],[UnitPrice]]*Table2[[#This Row],[Quantity]]*(1-Table2[[#This Row],[Discount]])</f>
        <v>3089.9625000000001</v>
      </c>
      <c r="K1453" t="s">
        <v>42</v>
      </c>
      <c r="L1453" t="s">
        <v>45</v>
      </c>
      <c r="M1453">
        <v>1</v>
      </c>
      <c r="N1453" t="s">
        <v>1497</v>
      </c>
      <c r="O1453" t="s">
        <v>2503</v>
      </c>
      <c r="P1453" s="7">
        <v>14.92</v>
      </c>
      <c r="Q1453" s="1">
        <v>45028</v>
      </c>
      <c r="R1453">
        <f>WEEKNUM(Table2[[#This Row],[OrderDate]])</f>
        <v>15</v>
      </c>
      <c r="S1453" s="1">
        <v>45035</v>
      </c>
      <c r="T1453" t="s">
        <v>2921</v>
      </c>
    </row>
    <row r="1454" spans="1:20" x14ac:dyDescent="0.35">
      <c r="A1454" s="1">
        <v>45643</v>
      </c>
      <c r="B1454" t="s">
        <v>2931</v>
      </c>
      <c r="C1454" t="s">
        <v>21</v>
      </c>
      <c r="D1454" s="9">
        <v>3</v>
      </c>
      <c r="E1454" s="7">
        <v>82.09</v>
      </c>
      <c r="F1454" t="s">
        <v>26</v>
      </c>
      <c r="G1454" t="s">
        <v>31</v>
      </c>
      <c r="H1454" s="12">
        <v>0.15</v>
      </c>
      <c r="I1454" t="s">
        <v>32</v>
      </c>
      <c r="J1454" s="7">
        <f>Table2[[#This Row],[UnitPrice]]*Table2[[#This Row],[Quantity]]*(1-Table2[[#This Row],[Discount]])</f>
        <v>209.3295</v>
      </c>
      <c r="K1454" t="s">
        <v>39</v>
      </c>
      <c r="L1454" t="s">
        <v>45</v>
      </c>
      <c r="M1454">
        <v>1</v>
      </c>
      <c r="N1454" t="s">
        <v>1498</v>
      </c>
      <c r="O1454" t="s">
        <v>2878</v>
      </c>
      <c r="P1454" s="7">
        <v>12.63</v>
      </c>
      <c r="Q1454" s="1">
        <v>45643</v>
      </c>
      <c r="R1454">
        <f>WEEKNUM(Table2[[#This Row],[OrderDate]])</f>
        <v>51</v>
      </c>
      <c r="S1454" s="1">
        <v>45652</v>
      </c>
      <c r="T1454" t="s">
        <v>2919</v>
      </c>
    </row>
    <row r="1455" spans="1:20" x14ac:dyDescent="0.35">
      <c r="A1455" s="1">
        <v>45512</v>
      </c>
      <c r="B1455" t="s">
        <v>2932</v>
      </c>
      <c r="C1455" t="s">
        <v>23</v>
      </c>
      <c r="D1455" s="9">
        <v>10</v>
      </c>
      <c r="E1455" s="7">
        <v>285.73</v>
      </c>
      <c r="F1455" t="s">
        <v>29</v>
      </c>
      <c r="G1455" t="s">
        <v>30</v>
      </c>
      <c r="H1455" s="12">
        <v>0.15</v>
      </c>
      <c r="I1455" t="s">
        <v>32</v>
      </c>
      <c r="J1455" s="7">
        <f>Table2[[#This Row],[UnitPrice]]*Table2[[#This Row],[Quantity]]*(1-Table2[[#This Row],[Discount]])</f>
        <v>2428.7049999999999</v>
      </c>
      <c r="K1455" t="s">
        <v>42</v>
      </c>
      <c r="L1455" t="s">
        <v>45</v>
      </c>
      <c r="M1455">
        <v>1</v>
      </c>
      <c r="N1455" t="s">
        <v>1499</v>
      </c>
      <c r="O1455" t="s">
        <v>2879</v>
      </c>
      <c r="P1455" s="7">
        <v>26.68</v>
      </c>
      <c r="Q1455" s="1">
        <v>45512</v>
      </c>
      <c r="R1455">
        <f>WEEKNUM(Table2[[#This Row],[OrderDate]])</f>
        <v>32</v>
      </c>
      <c r="S1455" s="1">
        <v>45518</v>
      </c>
      <c r="T1455" t="s">
        <v>2918</v>
      </c>
    </row>
    <row r="1456" spans="1:20" x14ac:dyDescent="0.35">
      <c r="A1456" s="1">
        <v>45550</v>
      </c>
      <c r="B1456" t="s">
        <v>2930</v>
      </c>
      <c r="C1456" t="s">
        <v>19</v>
      </c>
      <c r="D1456" s="9">
        <v>17</v>
      </c>
      <c r="E1456" s="7">
        <v>341.52</v>
      </c>
      <c r="F1456" t="s">
        <v>28</v>
      </c>
      <c r="G1456" t="s">
        <v>30</v>
      </c>
      <c r="H1456" s="12">
        <v>0.1</v>
      </c>
      <c r="I1456" t="s">
        <v>32</v>
      </c>
      <c r="J1456" s="7">
        <f>Table2[[#This Row],[UnitPrice]]*Table2[[#This Row],[Quantity]]*(1-Table2[[#This Row],[Discount]])</f>
        <v>5225.2560000000003</v>
      </c>
      <c r="K1456" t="s">
        <v>40</v>
      </c>
      <c r="L1456" t="s">
        <v>43</v>
      </c>
      <c r="M1456">
        <v>0</v>
      </c>
      <c r="N1456" t="s">
        <v>1500</v>
      </c>
      <c r="O1456" t="s">
        <v>2714</v>
      </c>
      <c r="P1456" s="7">
        <v>16.670000000000002</v>
      </c>
      <c r="Q1456" s="1">
        <v>45550</v>
      </c>
      <c r="R1456">
        <f>WEEKNUM(Table2[[#This Row],[OrderDate]])</f>
        <v>38</v>
      </c>
      <c r="S1456" s="1">
        <v>45557</v>
      </c>
      <c r="T1456" t="s">
        <v>2917</v>
      </c>
    </row>
    <row r="1457" spans="1:20" x14ac:dyDescent="0.35">
      <c r="A1457" s="1">
        <v>45207</v>
      </c>
      <c r="B1457" t="s">
        <v>2932</v>
      </c>
      <c r="C1457" t="s">
        <v>24</v>
      </c>
      <c r="D1457" s="9">
        <v>14</v>
      </c>
      <c r="E1457" s="7">
        <v>216.4</v>
      </c>
      <c r="F1457" t="s">
        <v>29</v>
      </c>
      <c r="G1457" t="s">
        <v>30</v>
      </c>
      <c r="H1457" s="12">
        <v>0.1</v>
      </c>
      <c r="I1457" t="s">
        <v>36</v>
      </c>
      <c r="J1457" s="7">
        <f>Table2[[#This Row],[UnitPrice]]*Table2[[#This Row],[Quantity]]*(1-Table2[[#This Row],[Discount]])</f>
        <v>2726.64</v>
      </c>
      <c r="K1457" t="s">
        <v>41</v>
      </c>
      <c r="L1457" t="s">
        <v>45</v>
      </c>
      <c r="M1457">
        <v>0</v>
      </c>
      <c r="N1457" t="s">
        <v>1501</v>
      </c>
      <c r="O1457" t="s">
        <v>2812</v>
      </c>
      <c r="P1457" s="7">
        <v>40.74</v>
      </c>
      <c r="Q1457" s="1">
        <v>45207</v>
      </c>
      <c r="R1457">
        <f>WEEKNUM(Table2[[#This Row],[OrderDate]])</f>
        <v>41</v>
      </c>
      <c r="S1457" s="1">
        <v>45209</v>
      </c>
      <c r="T1457" t="s">
        <v>2918</v>
      </c>
    </row>
    <row r="1458" spans="1:20" x14ac:dyDescent="0.35">
      <c r="A1458" s="1">
        <v>45800</v>
      </c>
      <c r="B1458" t="s">
        <v>2932</v>
      </c>
      <c r="C1458" t="s">
        <v>20</v>
      </c>
      <c r="D1458" s="9">
        <v>16</v>
      </c>
      <c r="E1458" s="7">
        <v>231.76</v>
      </c>
      <c r="F1458" t="s">
        <v>26</v>
      </c>
      <c r="G1458" t="s">
        <v>31</v>
      </c>
      <c r="H1458" s="12">
        <v>0.15</v>
      </c>
      <c r="I1458" t="s">
        <v>37</v>
      </c>
      <c r="J1458" s="7">
        <f>Table2[[#This Row],[UnitPrice]]*Table2[[#This Row],[Quantity]]*(1-Table2[[#This Row],[Discount]])</f>
        <v>3151.9359999999997</v>
      </c>
      <c r="K1458" t="s">
        <v>38</v>
      </c>
      <c r="L1458" t="s">
        <v>45</v>
      </c>
      <c r="M1458">
        <v>1</v>
      </c>
      <c r="N1458" t="s">
        <v>1502</v>
      </c>
      <c r="O1458" t="s">
        <v>2880</v>
      </c>
      <c r="P1458" s="7">
        <v>9.42</v>
      </c>
      <c r="Q1458" s="1">
        <v>45800</v>
      </c>
      <c r="R1458">
        <f>WEEKNUM(Table2[[#This Row],[OrderDate]])</f>
        <v>21</v>
      </c>
      <c r="S1458" s="1">
        <v>45804</v>
      </c>
      <c r="T1458" t="s">
        <v>2918</v>
      </c>
    </row>
    <row r="1459" spans="1:20" x14ac:dyDescent="0.35">
      <c r="A1459" s="1">
        <v>44928</v>
      </c>
      <c r="B1459" t="s">
        <v>2932</v>
      </c>
      <c r="C1459" t="s">
        <v>19</v>
      </c>
      <c r="D1459" s="9">
        <v>7</v>
      </c>
      <c r="E1459" s="7">
        <v>61.47</v>
      </c>
      <c r="F1459" t="s">
        <v>28</v>
      </c>
      <c r="G1459" t="s">
        <v>31</v>
      </c>
      <c r="H1459" s="12">
        <v>0.15</v>
      </c>
      <c r="I1459" t="s">
        <v>32</v>
      </c>
      <c r="J1459" s="7">
        <f>Table2[[#This Row],[UnitPrice]]*Table2[[#This Row],[Quantity]]*(1-Table2[[#This Row],[Discount]])</f>
        <v>365.74649999999997</v>
      </c>
      <c r="K1459" t="s">
        <v>38</v>
      </c>
      <c r="L1459" t="s">
        <v>43</v>
      </c>
      <c r="M1459">
        <v>0</v>
      </c>
      <c r="N1459" t="s">
        <v>1503</v>
      </c>
      <c r="O1459" t="s">
        <v>2881</v>
      </c>
      <c r="P1459" s="7">
        <v>14.44</v>
      </c>
      <c r="Q1459" s="1">
        <v>44928</v>
      </c>
      <c r="R1459">
        <f>WEEKNUM(Table2[[#This Row],[OrderDate]])</f>
        <v>1</v>
      </c>
      <c r="S1459" s="1">
        <v>44938</v>
      </c>
      <c r="T1459" t="s">
        <v>2918</v>
      </c>
    </row>
    <row r="1460" spans="1:20" x14ac:dyDescent="0.35">
      <c r="A1460" s="1">
        <v>45218</v>
      </c>
      <c r="B1460" t="s">
        <v>2931</v>
      </c>
      <c r="C1460" t="s">
        <v>21</v>
      </c>
      <c r="D1460" s="9">
        <v>15</v>
      </c>
      <c r="E1460" s="7">
        <v>434.44</v>
      </c>
      <c r="F1460" t="s">
        <v>26</v>
      </c>
      <c r="G1460" t="s">
        <v>30</v>
      </c>
      <c r="H1460" s="12">
        <v>0</v>
      </c>
      <c r="I1460" t="s">
        <v>37</v>
      </c>
      <c r="J1460" s="7">
        <f>Table2[[#This Row],[UnitPrice]]*Table2[[#This Row],[Quantity]]*(1-Table2[[#This Row],[Discount]])</f>
        <v>6516.6</v>
      </c>
      <c r="K1460" t="s">
        <v>41</v>
      </c>
      <c r="L1460" t="s">
        <v>2937</v>
      </c>
      <c r="M1460">
        <v>1</v>
      </c>
      <c r="N1460" t="s">
        <v>1504</v>
      </c>
      <c r="O1460" t="s">
        <v>2882</v>
      </c>
      <c r="P1460" s="7">
        <v>33.86</v>
      </c>
      <c r="Q1460" s="1">
        <v>45218</v>
      </c>
      <c r="R1460">
        <f>WEEKNUM(Table2[[#This Row],[OrderDate]])</f>
        <v>42</v>
      </c>
      <c r="S1460" s="1">
        <v>45227</v>
      </c>
      <c r="T1460" t="s">
        <v>2919</v>
      </c>
    </row>
    <row r="1461" spans="1:20" x14ac:dyDescent="0.35">
      <c r="A1461" s="1">
        <v>45772</v>
      </c>
      <c r="B1461" t="s">
        <v>2933</v>
      </c>
      <c r="C1461" t="s">
        <v>22</v>
      </c>
      <c r="D1461" s="9">
        <v>16</v>
      </c>
      <c r="E1461" s="7">
        <v>484.01</v>
      </c>
      <c r="F1461" t="s">
        <v>27</v>
      </c>
      <c r="G1461" t="s">
        <v>30</v>
      </c>
      <c r="H1461" s="12">
        <v>0</v>
      </c>
      <c r="I1461" t="s">
        <v>33</v>
      </c>
      <c r="J1461" s="7">
        <f>Table2[[#This Row],[UnitPrice]]*Table2[[#This Row],[Quantity]]*(1-Table2[[#This Row],[Discount]])</f>
        <v>7744.16</v>
      </c>
      <c r="K1461" t="s">
        <v>38</v>
      </c>
      <c r="L1461" t="s">
        <v>44</v>
      </c>
      <c r="M1461">
        <v>1</v>
      </c>
      <c r="N1461" t="s">
        <v>1505</v>
      </c>
      <c r="O1461" t="s">
        <v>2883</v>
      </c>
      <c r="P1461" s="7">
        <v>9.65</v>
      </c>
      <c r="Q1461" s="1">
        <v>45772</v>
      </c>
      <c r="R1461">
        <f>WEEKNUM(Table2[[#This Row],[OrderDate]])</f>
        <v>17</v>
      </c>
      <c r="S1461" s="1">
        <v>45778</v>
      </c>
      <c r="T1461" t="s">
        <v>2921</v>
      </c>
    </row>
    <row r="1462" spans="1:20" x14ac:dyDescent="0.35">
      <c r="A1462" s="1">
        <v>45382</v>
      </c>
      <c r="B1462" t="s">
        <v>2934</v>
      </c>
      <c r="C1462" t="s">
        <v>21</v>
      </c>
      <c r="D1462" s="9">
        <v>2</v>
      </c>
      <c r="E1462" s="7">
        <v>55.08</v>
      </c>
      <c r="F1462" t="s">
        <v>28</v>
      </c>
      <c r="G1462" t="s">
        <v>30</v>
      </c>
      <c r="H1462" s="12">
        <v>0</v>
      </c>
      <c r="I1462" t="s">
        <v>34</v>
      </c>
      <c r="J1462" s="7">
        <f>Table2[[#This Row],[UnitPrice]]*Table2[[#This Row],[Quantity]]*(1-Table2[[#This Row],[Discount]])</f>
        <v>110.16</v>
      </c>
      <c r="K1462" t="s">
        <v>40</v>
      </c>
      <c r="L1462" t="s">
        <v>43</v>
      </c>
      <c r="M1462">
        <v>0</v>
      </c>
      <c r="N1462" t="s">
        <v>1506</v>
      </c>
      <c r="O1462" t="s">
        <v>2884</v>
      </c>
      <c r="P1462" s="7">
        <v>9.85</v>
      </c>
      <c r="Q1462" s="1">
        <v>45382</v>
      </c>
      <c r="R1462">
        <f>WEEKNUM(Table2[[#This Row],[OrderDate]])</f>
        <v>14</v>
      </c>
      <c r="S1462" s="1">
        <v>45386</v>
      </c>
      <c r="T1462" t="s">
        <v>2920</v>
      </c>
    </row>
    <row r="1463" spans="1:20" x14ac:dyDescent="0.35">
      <c r="A1463" s="1">
        <v>45688</v>
      </c>
      <c r="B1463" t="s">
        <v>2931</v>
      </c>
      <c r="C1463" t="s">
        <v>25</v>
      </c>
      <c r="D1463" s="9">
        <v>13</v>
      </c>
      <c r="E1463" s="7">
        <v>223.44</v>
      </c>
      <c r="F1463" t="s">
        <v>26</v>
      </c>
      <c r="G1463" t="s">
        <v>31</v>
      </c>
      <c r="H1463" s="12">
        <v>0.15</v>
      </c>
      <c r="I1463" t="s">
        <v>35</v>
      </c>
      <c r="J1463" s="7">
        <f>Table2[[#This Row],[UnitPrice]]*Table2[[#This Row],[Quantity]]*(1-Table2[[#This Row],[Discount]])</f>
        <v>2469.0119999999997</v>
      </c>
      <c r="K1463" t="s">
        <v>40</v>
      </c>
      <c r="L1463" t="s">
        <v>2937</v>
      </c>
      <c r="M1463">
        <v>1</v>
      </c>
      <c r="N1463" t="s">
        <v>1507</v>
      </c>
      <c r="O1463" t="s">
        <v>2885</v>
      </c>
      <c r="P1463" s="7">
        <v>38.46</v>
      </c>
      <c r="Q1463" s="1">
        <v>45688</v>
      </c>
      <c r="R1463">
        <f>WEEKNUM(Table2[[#This Row],[OrderDate]])</f>
        <v>5</v>
      </c>
      <c r="S1463" s="1">
        <v>45695</v>
      </c>
      <c r="T1463" t="s">
        <v>2919</v>
      </c>
    </row>
    <row r="1464" spans="1:20" x14ac:dyDescent="0.35">
      <c r="A1464" s="1">
        <v>45743</v>
      </c>
      <c r="B1464" t="s">
        <v>2930</v>
      </c>
      <c r="C1464" t="s">
        <v>20</v>
      </c>
      <c r="D1464" s="9">
        <v>11</v>
      </c>
      <c r="E1464" s="7">
        <v>548.08000000000004</v>
      </c>
      <c r="F1464" t="s">
        <v>29</v>
      </c>
      <c r="G1464" t="s">
        <v>30</v>
      </c>
      <c r="H1464" s="12">
        <v>0.05</v>
      </c>
      <c r="I1464" t="s">
        <v>32</v>
      </c>
      <c r="J1464" s="7">
        <f>Table2[[#This Row],[UnitPrice]]*Table2[[#This Row],[Quantity]]*(1-Table2[[#This Row],[Discount]])</f>
        <v>5727.4359999999997</v>
      </c>
      <c r="K1464" t="s">
        <v>42</v>
      </c>
      <c r="L1464" t="s">
        <v>2937</v>
      </c>
      <c r="M1464">
        <v>0</v>
      </c>
      <c r="N1464" t="s">
        <v>1508</v>
      </c>
      <c r="O1464" t="s">
        <v>2886</v>
      </c>
      <c r="P1464" s="7">
        <v>25.82</v>
      </c>
      <c r="Q1464" s="1">
        <v>45743</v>
      </c>
      <c r="R1464">
        <f>WEEKNUM(Table2[[#This Row],[OrderDate]])</f>
        <v>13</v>
      </c>
      <c r="S1464" s="1">
        <v>45753</v>
      </c>
      <c r="T1464" t="s">
        <v>2917</v>
      </c>
    </row>
    <row r="1465" spans="1:20" x14ac:dyDescent="0.35">
      <c r="A1465" s="1">
        <v>45676</v>
      </c>
      <c r="B1465" t="s">
        <v>2934</v>
      </c>
      <c r="C1465" t="s">
        <v>21</v>
      </c>
      <c r="D1465" s="9">
        <v>11</v>
      </c>
      <c r="E1465" s="7">
        <v>133.63999999999999</v>
      </c>
      <c r="F1465" t="s">
        <v>29</v>
      </c>
      <c r="G1465" t="s">
        <v>30</v>
      </c>
      <c r="H1465" s="12">
        <v>0</v>
      </c>
      <c r="I1465" t="s">
        <v>36</v>
      </c>
      <c r="J1465" s="7">
        <f>Table2[[#This Row],[UnitPrice]]*Table2[[#This Row],[Quantity]]*(1-Table2[[#This Row],[Discount]])</f>
        <v>1470.04</v>
      </c>
      <c r="K1465" t="s">
        <v>41</v>
      </c>
      <c r="L1465" t="s">
        <v>2937</v>
      </c>
      <c r="M1465">
        <v>1</v>
      </c>
      <c r="N1465" t="s">
        <v>1509</v>
      </c>
      <c r="O1465" t="s">
        <v>2559</v>
      </c>
      <c r="P1465" s="7">
        <v>30.18</v>
      </c>
      <c r="Q1465" s="1">
        <v>45676</v>
      </c>
      <c r="R1465">
        <f>WEEKNUM(Table2[[#This Row],[OrderDate]])</f>
        <v>4</v>
      </c>
      <c r="S1465" s="1">
        <v>45681</v>
      </c>
      <c r="T1465" t="s">
        <v>2920</v>
      </c>
    </row>
    <row r="1466" spans="1:20" x14ac:dyDescent="0.35">
      <c r="A1466" s="1">
        <v>45428</v>
      </c>
      <c r="B1466" t="s">
        <v>2931</v>
      </c>
      <c r="C1466" t="s">
        <v>22</v>
      </c>
      <c r="D1466" s="9">
        <v>19</v>
      </c>
      <c r="E1466" s="7">
        <v>368.85</v>
      </c>
      <c r="F1466" t="s">
        <v>28</v>
      </c>
      <c r="G1466" t="s">
        <v>31</v>
      </c>
      <c r="H1466" s="12">
        <v>0.1</v>
      </c>
      <c r="I1466" t="s">
        <v>37</v>
      </c>
      <c r="J1466" s="7">
        <f>Table2[[#This Row],[UnitPrice]]*Table2[[#This Row],[Quantity]]*(1-Table2[[#This Row],[Discount]])</f>
        <v>6307.3350000000009</v>
      </c>
      <c r="K1466" t="s">
        <v>39</v>
      </c>
      <c r="L1466" t="s">
        <v>43</v>
      </c>
      <c r="M1466">
        <v>0</v>
      </c>
      <c r="N1466" t="s">
        <v>1510</v>
      </c>
      <c r="O1466" t="s">
        <v>2887</v>
      </c>
      <c r="P1466" s="7">
        <v>35.369999999999997</v>
      </c>
      <c r="Q1466" s="1">
        <v>45428</v>
      </c>
      <c r="R1466">
        <f>WEEKNUM(Table2[[#This Row],[OrderDate]])</f>
        <v>20</v>
      </c>
      <c r="S1466" s="1">
        <v>45433</v>
      </c>
      <c r="T1466" t="s">
        <v>2919</v>
      </c>
    </row>
    <row r="1467" spans="1:20" x14ac:dyDescent="0.35">
      <c r="A1467" s="1">
        <v>45173</v>
      </c>
      <c r="B1467" t="s">
        <v>2934</v>
      </c>
      <c r="C1467" t="s">
        <v>22</v>
      </c>
      <c r="D1467" s="9">
        <v>14</v>
      </c>
      <c r="E1467" s="7">
        <v>115.98</v>
      </c>
      <c r="F1467" t="s">
        <v>27</v>
      </c>
      <c r="G1467" t="s">
        <v>30</v>
      </c>
      <c r="H1467" s="12">
        <v>0</v>
      </c>
      <c r="I1467" t="s">
        <v>37</v>
      </c>
      <c r="J1467" s="7">
        <f>Table2[[#This Row],[UnitPrice]]*Table2[[#This Row],[Quantity]]*(1-Table2[[#This Row],[Discount]])</f>
        <v>1623.72</v>
      </c>
      <c r="K1467" t="s">
        <v>41</v>
      </c>
      <c r="L1467" t="s">
        <v>2937</v>
      </c>
      <c r="M1467">
        <v>0</v>
      </c>
      <c r="N1467" t="s">
        <v>1511</v>
      </c>
      <c r="O1467" t="s">
        <v>2888</v>
      </c>
      <c r="P1467" s="7">
        <v>31.85</v>
      </c>
      <c r="Q1467" s="1">
        <v>45173</v>
      </c>
      <c r="R1467">
        <f>WEEKNUM(Table2[[#This Row],[OrderDate]])</f>
        <v>36</v>
      </c>
      <c r="S1467" s="1">
        <v>45175</v>
      </c>
      <c r="T1467" t="s">
        <v>2920</v>
      </c>
    </row>
    <row r="1468" spans="1:20" x14ac:dyDescent="0.35">
      <c r="A1468" s="1">
        <v>45277</v>
      </c>
      <c r="B1468" t="s">
        <v>2932</v>
      </c>
      <c r="C1468" t="s">
        <v>23</v>
      </c>
      <c r="D1468" s="9">
        <v>9</v>
      </c>
      <c r="E1468" s="7">
        <v>55.04</v>
      </c>
      <c r="F1468" t="s">
        <v>26</v>
      </c>
      <c r="G1468" t="s">
        <v>31</v>
      </c>
      <c r="H1468" s="12">
        <v>0.15</v>
      </c>
      <c r="I1468" t="s">
        <v>33</v>
      </c>
      <c r="J1468" s="7">
        <f>Table2[[#This Row],[UnitPrice]]*Table2[[#This Row],[Quantity]]*(1-Table2[[#This Row],[Discount]])</f>
        <v>421.05599999999998</v>
      </c>
      <c r="K1468" t="s">
        <v>38</v>
      </c>
      <c r="L1468" t="s">
        <v>2937</v>
      </c>
      <c r="M1468">
        <v>0</v>
      </c>
      <c r="N1468" t="s">
        <v>1512</v>
      </c>
      <c r="O1468" t="s">
        <v>2889</v>
      </c>
      <c r="P1468" s="7">
        <v>31.09</v>
      </c>
      <c r="Q1468" s="1">
        <v>45277</v>
      </c>
      <c r="R1468">
        <f>WEEKNUM(Table2[[#This Row],[OrderDate]])</f>
        <v>51</v>
      </c>
      <c r="S1468" s="1">
        <v>45283</v>
      </c>
      <c r="T1468" t="s">
        <v>2918</v>
      </c>
    </row>
    <row r="1469" spans="1:20" x14ac:dyDescent="0.35">
      <c r="A1469" s="1">
        <v>45306</v>
      </c>
      <c r="B1469" t="s">
        <v>2934</v>
      </c>
      <c r="C1469" t="s">
        <v>23</v>
      </c>
      <c r="D1469" s="9">
        <v>4</v>
      </c>
      <c r="E1469" s="7">
        <v>159.54</v>
      </c>
      <c r="F1469" t="s">
        <v>27</v>
      </c>
      <c r="G1469" t="s">
        <v>30</v>
      </c>
      <c r="H1469" s="12">
        <v>0.05</v>
      </c>
      <c r="I1469" t="s">
        <v>33</v>
      </c>
      <c r="J1469" s="7">
        <f>Table2[[#This Row],[UnitPrice]]*Table2[[#This Row],[Quantity]]*(1-Table2[[#This Row],[Discount]])</f>
        <v>606.25199999999995</v>
      </c>
      <c r="K1469" t="s">
        <v>40</v>
      </c>
      <c r="L1469" t="s">
        <v>43</v>
      </c>
      <c r="M1469">
        <v>0</v>
      </c>
      <c r="N1469" t="s">
        <v>1513</v>
      </c>
      <c r="O1469" t="s">
        <v>2890</v>
      </c>
      <c r="P1469" s="7">
        <v>32.36</v>
      </c>
      <c r="Q1469" s="1">
        <v>45306</v>
      </c>
      <c r="R1469">
        <f>WEEKNUM(Table2[[#This Row],[OrderDate]])</f>
        <v>3</v>
      </c>
      <c r="S1469" s="1">
        <v>45312</v>
      </c>
      <c r="T1469" t="s">
        <v>2920</v>
      </c>
    </row>
    <row r="1470" spans="1:20" x14ac:dyDescent="0.35">
      <c r="A1470" s="1">
        <v>45645</v>
      </c>
      <c r="B1470" t="s">
        <v>2934</v>
      </c>
      <c r="C1470" t="s">
        <v>19</v>
      </c>
      <c r="D1470" s="9">
        <v>15</v>
      </c>
      <c r="E1470" s="7">
        <v>150.15</v>
      </c>
      <c r="F1470" t="s">
        <v>28</v>
      </c>
      <c r="G1470" t="s">
        <v>31</v>
      </c>
      <c r="H1470" s="12">
        <v>0</v>
      </c>
      <c r="I1470" t="s">
        <v>34</v>
      </c>
      <c r="J1470" s="7">
        <f>Table2[[#This Row],[UnitPrice]]*Table2[[#This Row],[Quantity]]*(1-Table2[[#This Row],[Discount]])</f>
        <v>2252.25</v>
      </c>
      <c r="K1470" t="s">
        <v>38</v>
      </c>
      <c r="L1470" t="s">
        <v>45</v>
      </c>
      <c r="M1470">
        <v>0</v>
      </c>
      <c r="N1470" t="s">
        <v>1514</v>
      </c>
      <c r="O1470" t="s">
        <v>2891</v>
      </c>
      <c r="P1470" s="7">
        <v>35.94</v>
      </c>
      <c r="Q1470" s="1">
        <v>45645</v>
      </c>
      <c r="R1470">
        <f>WEEKNUM(Table2[[#This Row],[OrderDate]])</f>
        <v>51</v>
      </c>
      <c r="S1470" s="1">
        <v>45655</v>
      </c>
      <c r="T1470" t="s">
        <v>2920</v>
      </c>
    </row>
    <row r="1471" spans="1:20" x14ac:dyDescent="0.35">
      <c r="A1471" s="1">
        <v>45276</v>
      </c>
      <c r="B1471" t="s">
        <v>2931</v>
      </c>
      <c r="C1471" t="s">
        <v>22</v>
      </c>
      <c r="D1471" s="9">
        <v>9</v>
      </c>
      <c r="E1471" s="7">
        <v>57.93</v>
      </c>
      <c r="F1471" t="s">
        <v>28</v>
      </c>
      <c r="G1471" t="s">
        <v>30</v>
      </c>
      <c r="H1471" s="12">
        <v>0</v>
      </c>
      <c r="I1471" t="s">
        <v>37</v>
      </c>
      <c r="J1471" s="7">
        <f>Table2[[#This Row],[UnitPrice]]*Table2[[#This Row],[Quantity]]*(1-Table2[[#This Row],[Discount]])</f>
        <v>521.37</v>
      </c>
      <c r="K1471" t="s">
        <v>39</v>
      </c>
      <c r="L1471" t="s">
        <v>43</v>
      </c>
      <c r="M1471">
        <v>1</v>
      </c>
      <c r="N1471" t="s">
        <v>1515</v>
      </c>
      <c r="O1471" t="s">
        <v>1897</v>
      </c>
      <c r="P1471" s="7">
        <v>28.73</v>
      </c>
      <c r="Q1471" s="1">
        <v>45276</v>
      </c>
      <c r="R1471">
        <f>WEEKNUM(Table2[[#This Row],[OrderDate]])</f>
        <v>50</v>
      </c>
      <c r="S1471" s="1">
        <v>45278</v>
      </c>
      <c r="T1471" t="s">
        <v>2919</v>
      </c>
    </row>
    <row r="1472" spans="1:20" x14ac:dyDescent="0.35">
      <c r="A1472" s="1">
        <v>45791</v>
      </c>
      <c r="B1472" t="s">
        <v>2934</v>
      </c>
      <c r="C1472" t="s">
        <v>19</v>
      </c>
      <c r="D1472" s="9">
        <v>4</v>
      </c>
      <c r="E1472" s="7">
        <v>438.58</v>
      </c>
      <c r="F1472" t="s">
        <v>29</v>
      </c>
      <c r="G1472" t="s">
        <v>31</v>
      </c>
      <c r="H1472" s="12">
        <v>0.05</v>
      </c>
      <c r="I1472" t="s">
        <v>33</v>
      </c>
      <c r="J1472" s="7">
        <f>Table2[[#This Row],[UnitPrice]]*Table2[[#This Row],[Quantity]]*(1-Table2[[#This Row],[Discount]])</f>
        <v>1666.6039999999998</v>
      </c>
      <c r="K1472" t="s">
        <v>38</v>
      </c>
      <c r="L1472" t="s">
        <v>45</v>
      </c>
      <c r="M1472">
        <v>0</v>
      </c>
      <c r="N1472" t="s">
        <v>1516</v>
      </c>
      <c r="O1472" t="s">
        <v>2892</v>
      </c>
      <c r="P1472" s="7">
        <v>5.0999999999999996</v>
      </c>
      <c r="Q1472" s="1">
        <v>45791</v>
      </c>
      <c r="R1472">
        <f>WEEKNUM(Table2[[#This Row],[OrderDate]])</f>
        <v>20</v>
      </c>
      <c r="S1472" s="1">
        <v>45795</v>
      </c>
      <c r="T1472" t="s">
        <v>2920</v>
      </c>
    </row>
    <row r="1473" spans="1:20" x14ac:dyDescent="0.35">
      <c r="A1473" s="1">
        <v>45107</v>
      </c>
      <c r="B1473" t="s">
        <v>2932</v>
      </c>
      <c r="C1473" t="s">
        <v>23</v>
      </c>
      <c r="D1473" s="9">
        <v>6</v>
      </c>
      <c r="E1473" s="7">
        <v>536.24</v>
      </c>
      <c r="F1473" t="s">
        <v>29</v>
      </c>
      <c r="G1473" t="s">
        <v>31</v>
      </c>
      <c r="H1473" s="12">
        <v>0</v>
      </c>
      <c r="I1473" t="s">
        <v>36</v>
      </c>
      <c r="J1473" s="7">
        <f>Table2[[#This Row],[UnitPrice]]*Table2[[#This Row],[Quantity]]*(1-Table2[[#This Row],[Discount]])</f>
        <v>3217.44</v>
      </c>
      <c r="K1473" t="s">
        <v>42</v>
      </c>
      <c r="L1473" t="s">
        <v>45</v>
      </c>
      <c r="M1473">
        <v>0</v>
      </c>
      <c r="N1473" t="s">
        <v>1517</v>
      </c>
      <c r="O1473" t="s">
        <v>2248</v>
      </c>
      <c r="P1473" s="7">
        <v>35.32</v>
      </c>
      <c r="Q1473" s="1">
        <v>45107</v>
      </c>
      <c r="R1473">
        <f>WEEKNUM(Table2[[#This Row],[OrderDate]])</f>
        <v>26</v>
      </c>
      <c r="S1473" s="1">
        <v>45109</v>
      </c>
      <c r="T1473" t="s">
        <v>2918</v>
      </c>
    </row>
    <row r="1474" spans="1:20" x14ac:dyDescent="0.35">
      <c r="A1474" s="1">
        <v>45838</v>
      </c>
      <c r="B1474" t="s">
        <v>2932</v>
      </c>
      <c r="C1474" t="s">
        <v>20</v>
      </c>
      <c r="D1474" s="9">
        <v>20</v>
      </c>
      <c r="E1474" s="7">
        <v>444.77</v>
      </c>
      <c r="F1474" t="s">
        <v>26</v>
      </c>
      <c r="G1474" t="s">
        <v>30</v>
      </c>
      <c r="H1474" s="12">
        <v>0.1</v>
      </c>
      <c r="I1474" t="s">
        <v>36</v>
      </c>
      <c r="J1474" s="7">
        <f>Table2[[#This Row],[UnitPrice]]*Table2[[#This Row],[Quantity]]*(1-Table2[[#This Row],[Discount]])</f>
        <v>8005.86</v>
      </c>
      <c r="K1474" t="s">
        <v>38</v>
      </c>
      <c r="L1474" t="s">
        <v>2937</v>
      </c>
      <c r="M1474">
        <v>1</v>
      </c>
      <c r="N1474" t="s">
        <v>1518</v>
      </c>
      <c r="O1474" t="s">
        <v>2893</v>
      </c>
      <c r="P1474" s="7">
        <v>20.05</v>
      </c>
      <c r="Q1474" s="1">
        <v>45838</v>
      </c>
      <c r="R1474">
        <f>WEEKNUM(Table2[[#This Row],[OrderDate]])</f>
        <v>27</v>
      </c>
      <c r="S1474" s="1">
        <v>45845</v>
      </c>
      <c r="T1474" t="s">
        <v>2918</v>
      </c>
    </row>
    <row r="1475" spans="1:20" x14ac:dyDescent="0.35">
      <c r="A1475" s="1">
        <v>45730</v>
      </c>
      <c r="B1475" t="s">
        <v>2934</v>
      </c>
      <c r="C1475" t="s">
        <v>25</v>
      </c>
      <c r="D1475" s="9">
        <v>10</v>
      </c>
      <c r="E1475" s="7">
        <v>212.1</v>
      </c>
      <c r="F1475" t="s">
        <v>26</v>
      </c>
      <c r="G1475" t="s">
        <v>31</v>
      </c>
      <c r="H1475" s="12">
        <v>0.15</v>
      </c>
      <c r="I1475" t="s">
        <v>32</v>
      </c>
      <c r="J1475" s="7">
        <f>Table2[[#This Row],[UnitPrice]]*Table2[[#This Row],[Quantity]]*(1-Table2[[#This Row],[Discount]])</f>
        <v>1802.85</v>
      </c>
      <c r="K1475" t="s">
        <v>39</v>
      </c>
      <c r="L1475" t="s">
        <v>45</v>
      </c>
      <c r="M1475">
        <v>0</v>
      </c>
      <c r="N1475" t="s">
        <v>1519</v>
      </c>
      <c r="O1475" t="s">
        <v>2894</v>
      </c>
      <c r="P1475" s="7">
        <v>47.93</v>
      </c>
      <c r="Q1475" s="1">
        <v>45730</v>
      </c>
      <c r="R1475">
        <f>WEEKNUM(Table2[[#This Row],[OrderDate]])</f>
        <v>11</v>
      </c>
      <c r="S1475" s="1">
        <v>45738</v>
      </c>
      <c r="T1475" t="s">
        <v>2920</v>
      </c>
    </row>
    <row r="1476" spans="1:20" x14ac:dyDescent="0.35">
      <c r="A1476" s="1">
        <v>45034</v>
      </c>
      <c r="B1476" t="s">
        <v>2932</v>
      </c>
      <c r="C1476" t="s">
        <v>20</v>
      </c>
      <c r="D1476" s="9">
        <v>9</v>
      </c>
      <c r="E1476" s="7">
        <v>509.44</v>
      </c>
      <c r="F1476" t="s">
        <v>26</v>
      </c>
      <c r="G1476" t="s">
        <v>31</v>
      </c>
      <c r="H1476" s="12">
        <v>0.15</v>
      </c>
      <c r="I1476" t="s">
        <v>32</v>
      </c>
      <c r="J1476" s="7">
        <f>Table2[[#This Row],[UnitPrice]]*Table2[[#This Row],[Quantity]]*(1-Table2[[#This Row],[Discount]])</f>
        <v>3897.2159999999999</v>
      </c>
      <c r="K1476" t="s">
        <v>40</v>
      </c>
      <c r="L1476" t="s">
        <v>44</v>
      </c>
      <c r="M1476">
        <v>0</v>
      </c>
      <c r="N1476" t="s">
        <v>1520</v>
      </c>
      <c r="O1476" t="s">
        <v>2895</v>
      </c>
      <c r="P1476" s="7">
        <v>13</v>
      </c>
      <c r="Q1476" s="1">
        <v>45034</v>
      </c>
      <c r="R1476">
        <f>WEEKNUM(Table2[[#This Row],[OrderDate]])</f>
        <v>16</v>
      </c>
      <c r="S1476" s="1">
        <v>45043</v>
      </c>
      <c r="T1476" t="s">
        <v>2918</v>
      </c>
    </row>
    <row r="1477" spans="1:20" x14ac:dyDescent="0.35">
      <c r="A1477" s="1">
        <v>45546</v>
      </c>
      <c r="B1477" t="s">
        <v>2933</v>
      </c>
      <c r="C1477" t="s">
        <v>23</v>
      </c>
      <c r="D1477" s="9">
        <v>8</v>
      </c>
      <c r="E1477" s="7">
        <v>236.17</v>
      </c>
      <c r="F1477" t="s">
        <v>28</v>
      </c>
      <c r="G1477" t="s">
        <v>30</v>
      </c>
      <c r="H1477" s="12">
        <v>0.15</v>
      </c>
      <c r="I1477" t="s">
        <v>34</v>
      </c>
      <c r="J1477" s="7">
        <f>Table2[[#This Row],[UnitPrice]]*Table2[[#This Row],[Quantity]]*(1-Table2[[#This Row],[Discount]])</f>
        <v>1605.9559999999999</v>
      </c>
      <c r="K1477" t="s">
        <v>42</v>
      </c>
      <c r="L1477" t="s">
        <v>45</v>
      </c>
      <c r="M1477">
        <v>0</v>
      </c>
      <c r="N1477" t="s">
        <v>1521</v>
      </c>
      <c r="O1477" t="s">
        <v>2896</v>
      </c>
      <c r="P1477" s="7">
        <v>22.88</v>
      </c>
      <c r="Q1477" s="1">
        <v>45546</v>
      </c>
      <c r="R1477">
        <f>WEEKNUM(Table2[[#This Row],[OrderDate]])</f>
        <v>37</v>
      </c>
      <c r="S1477" s="1">
        <v>45554</v>
      </c>
      <c r="T1477" t="s">
        <v>2921</v>
      </c>
    </row>
    <row r="1478" spans="1:20" x14ac:dyDescent="0.35">
      <c r="A1478" s="1">
        <v>45251</v>
      </c>
      <c r="B1478" t="s">
        <v>2934</v>
      </c>
      <c r="C1478" t="s">
        <v>25</v>
      </c>
      <c r="D1478" s="9">
        <v>1</v>
      </c>
      <c r="E1478" s="7">
        <v>147.4</v>
      </c>
      <c r="F1478" t="s">
        <v>29</v>
      </c>
      <c r="G1478" t="s">
        <v>31</v>
      </c>
      <c r="H1478" s="12">
        <v>0</v>
      </c>
      <c r="I1478" t="s">
        <v>35</v>
      </c>
      <c r="J1478" s="7">
        <f>Table2[[#This Row],[UnitPrice]]*Table2[[#This Row],[Quantity]]*(1-Table2[[#This Row],[Discount]])</f>
        <v>147.4</v>
      </c>
      <c r="K1478" t="s">
        <v>42</v>
      </c>
      <c r="L1478" t="s">
        <v>44</v>
      </c>
      <c r="M1478">
        <v>1</v>
      </c>
      <c r="N1478" t="s">
        <v>1522</v>
      </c>
      <c r="O1478" t="s">
        <v>2218</v>
      </c>
      <c r="P1478" s="7">
        <v>40.47</v>
      </c>
      <c r="Q1478" s="1">
        <v>45251</v>
      </c>
      <c r="R1478">
        <f>WEEKNUM(Table2[[#This Row],[OrderDate]])</f>
        <v>47</v>
      </c>
      <c r="S1478" s="1">
        <v>45258</v>
      </c>
      <c r="T1478" t="s">
        <v>2920</v>
      </c>
    </row>
    <row r="1479" spans="1:20" x14ac:dyDescent="0.35">
      <c r="A1479" s="1">
        <v>45351</v>
      </c>
      <c r="B1479" t="s">
        <v>2933</v>
      </c>
      <c r="C1479" t="s">
        <v>24</v>
      </c>
      <c r="D1479" s="9">
        <v>8</v>
      </c>
      <c r="E1479" s="7">
        <v>279.74</v>
      </c>
      <c r="F1479" t="s">
        <v>26</v>
      </c>
      <c r="G1479" t="s">
        <v>31</v>
      </c>
      <c r="H1479" s="12">
        <v>0.05</v>
      </c>
      <c r="I1479" t="s">
        <v>33</v>
      </c>
      <c r="J1479" s="7">
        <f>Table2[[#This Row],[UnitPrice]]*Table2[[#This Row],[Quantity]]*(1-Table2[[#This Row],[Discount]])</f>
        <v>2126.0239999999999</v>
      </c>
      <c r="K1479" t="s">
        <v>39</v>
      </c>
      <c r="L1479" t="s">
        <v>43</v>
      </c>
      <c r="M1479">
        <v>0</v>
      </c>
      <c r="N1479" t="s">
        <v>1523</v>
      </c>
      <c r="O1479" t="s">
        <v>2129</v>
      </c>
      <c r="P1479" s="7">
        <v>33.1</v>
      </c>
      <c r="Q1479" s="1">
        <v>45351</v>
      </c>
      <c r="R1479">
        <f>WEEKNUM(Table2[[#This Row],[OrderDate]])</f>
        <v>9</v>
      </c>
      <c r="S1479" s="1">
        <v>45358</v>
      </c>
      <c r="T1479" t="s">
        <v>2921</v>
      </c>
    </row>
    <row r="1480" spans="1:20" x14ac:dyDescent="0.35">
      <c r="A1480" s="1">
        <v>45057</v>
      </c>
      <c r="B1480" t="s">
        <v>2933</v>
      </c>
      <c r="C1480" t="s">
        <v>19</v>
      </c>
      <c r="D1480" s="9">
        <v>3</v>
      </c>
      <c r="E1480" s="7">
        <v>304.61</v>
      </c>
      <c r="F1480" t="s">
        <v>26</v>
      </c>
      <c r="G1480" t="s">
        <v>30</v>
      </c>
      <c r="H1480" s="12">
        <v>0.05</v>
      </c>
      <c r="I1480" t="s">
        <v>37</v>
      </c>
      <c r="J1480" s="7">
        <f>Table2[[#This Row],[UnitPrice]]*Table2[[#This Row],[Quantity]]*(1-Table2[[#This Row],[Discount]])</f>
        <v>868.13850000000002</v>
      </c>
      <c r="K1480" t="s">
        <v>42</v>
      </c>
      <c r="L1480" t="s">
        <v>44</v>
      </c>
      <c r="M1480">
        <v>0</v>
      </c>
      <c r="N1480" t="s">
        <v>1524</v>
      </c>
      <c r="O1480" t="s">
        <v>2897</v>
      </c>
      <c r="P1480" s="7">
        <v>47.14</v>
      </c>
      <c r="Q1480" s="1">
        <v>45057</v>
      </c>
      <c r="R1480">
        <f>WEEKNUM(Table2[[#This Row],[OrderDate]])</f>
        <v>19</v>
      </c>
      <c r="S1480" s="1">
        <v>45061</v>
      </c>
      <c r="T1480" t="s">
        <v>2921</v>
      </c>
    </row>
    <row r="1481" spans="1:20" x14ac:dyDescent="0.35">
      <c r="A1481" s="1">
        <v>45546</v>
      </c>
      <c r="B1481" t="s">
        <v>2932</v>
      </c>
      <c r="C1481" t="s">
        <v>24</v>
      </c>
      <c r="D1481" s="9">
        <v>9</v>
      </c>
      <c r="E1481" s="7">
        <v>238.32</v>
      </c>
      <c r="F1481" t="s">
        <v>28</v>
      </c>
      <c r="G1481" t="s">
        <v>31</v>
      </c>
      <c r="H1481" s="12">
        <v>0</v>
      </c>
      <c r="I1481" t="s">
        <v>36</v>
      </c>
      <c r="J1481" s="7">
        <f>Table2[[#This Row],[UnitPrice]]*Table2[[#This Row],[Quantity]]*(1-Table2[[#This Row],[Discount]])</f>
        <v>2144.88</v>
      </c>
      <c r="K1481" t="s">
        <v>42</v>
      </c>
      <c r="L1481" t="s">
        <v>45</v>
      </c>
      <c r="M1481">
        <v>1</v>
      </c>
      <c r="N1481" t="s">
        <v>1525</v>
      </c>
      <c r="O1481" t="s">
        <v>2837</v>
      </c>
      <c r="P1481" s="7">
        <v>8.5</v>
      </c>
      <c r="Q1481" s="1">
        <v>45546</v>
      </c>
      <c r="R1481">
        <f>WEEKNUM(Table2[[#This Row],[OrderDate]])</f>
        <v>37</v>
      </c>
      <c r="S1481" s="1">
        <v>45555</v>
      </c>
      <c r="T1481" t="s">
        <v>2918</v>
      </c>
    </row>
    <row r="1482" spans="1:20" x14ac:dyDescent="0.35">
      <c r="A1482" s="1">
        <v>45520</v>
      </c>
      <c r="B1482" t="s">
        <v>2933</v>
      </c>
      <c r="C1482" t="s">
        <v>25</v>
      </c>
      <c r="D1482" s="9">
        <v>16</v>
      </c>
      <c r="E1482" s="7">
        <v>483.37</v>
      </c>
      <c r="F1482" t="s">
        <v>26</v>
      </c>
      <c r="G1482" t="s">
        <v>31</v>
      </c>
      <c r="H1482" s="12">
        <v>0.1</v>
      </c>
      <c r="I1482" t="s">
        <v>33</v>
      </c>
      <c r="J1482" s="7">
        <f>Table2[[#This Row],[UnitPrice]]*Table2[[#This Row],[Quantity]]*(1-Table2[[#This Row],[Discount]])</f>
        <v>6960.5280000000002</v>
      </c>
      <c r="K1482" t="s">
        <v>41</v>
      </c>
      <c r="L1482" t="s">
        <v>2937</v>
      </c>
      <c r="M1482">
        <v>0</v>
      </c>
      <c r="N1482" t="s">
        <v>1526</v>
      </c>
      <c r="O1482" t="s">
        <v>2898</v>
      </c>
      <c r="P1482" s="7">
        <v>42.52</v>
      </c>
      <c r="Q1482" s="1">
        <v>45520</v>
      </c>
      <c r="R1482">
        <f>WEEKNUM(Table2[[#This Row],[OrderDate]])</f>
        <v>33</v>
      </c>
      <c r="S1482" s="1">
        <v>45526</v>
      </c>
      <c r="T1482" t="s">
        <v>2921</v>
      </c>
    </row>
    <row r="1483" spans="1:20" x14ac:dyDescent="0.35">
      <c r="A1483" s="1">
        <v>45807</v>
      </c>
      <c r="B1483" t="s">
        <v>2931</v>
      </c>
      <c r="C1483" t="s">
        <v>23</v>
      </c>
      <c r="D1483" s="9">
        <v>6</v>
      </c>
      <c r="E1483" s="7">
        <v>159.53</v>
      </c>
      <c r="F1483" t="s">
        <v>27</v>
      </c>
      <c r="G1483" t="s">
        <v>31</v>
      </c>
      <c r="H1483" s="12">
        <v>0.05</v>
      </c>
      <c r="I1483" t="s">
        <v>37</v>
      </c>
      <c r="J1483" s="7">
        <f>Table2[[#This Row],[UnitPrice]]*Table2[[#This Row],[Quantity]]*(1-Table2[[#This Row],[Discount]])</f>
        <v>909.32100000000003</v>
      </c>
      <c r="K1483" t="s">
        <v>39</v>
      </c>
      <c r="L1483" t="s">
        <v>2937</v>
      </c>
      <c r="M1483">
        <v>0</v>
      </c>
      <c r="N1483" t="s">
        <v>1527</v>
      </c>
      <c r="O1483" t="s">
        <v>2899</v>
      </c>
      <c r="P1483" s="7">
        <v>48.6</v>
      </c>
      <c r="Q1483" s="1">
        <v>45807</v>
      </c>
      <c r="R1483">
        <f>WEEKNUM(Table2[[#This Row],[OrderDate]])</f>
        <v>22</v>
      </c>
      <c r="S1483" s="1">
        <v>45815</v>
      </c>
      <c r="T1483" t="s">
        <v>2919</v>
      </c>
    </row>
    <row r="1484" spans="1:20" x14ac:dyDescent="0.35">
      <c r="A1484" s="1">
        <v>45160</v>
      </c>
      <c r="B1484" t="s">
        <v>2930</v>
      </c>
      <c r="C1484" t="s">
        <v>21</v>
      </c>
      <c r="D1484" s="9">
        <v>19</v>
      </c>
      <c r="E1484" s="7">
        <v>280.60000000000002</v>
      </c>
      <c r="F1484" t="s">
        <v>27</v>
      </c>
      <c r="G1484" t="s">
        <v>30</v>
      </c>
      <c r="H1484" s="12">
        <v>0.1</v>
      </c>
      <c r="I1484" t="s">
        <v>34</v>
      </c>
      <c r="J1484" s="7">
        <f>Table2[[#This Row],[UnitPrice]]*Table2[[#This Row],[Quantity]]*(1-Table2[[#This Row],[Discount]])</f>
        <v>4798.26</v>
      </c>
      <c r="K1484" t="s">
        <v>39</v>
      </c>
      <c r="L1484" t="s">
        <v>43</v>
      </c>
      <c r="M1484">
        <v>0</v>
      </c>
      <c r="N1484" t="s">
        <v>1528</v>
      </c>
      <c r="O1484" t="s">
        <v>2900</v>
      </c>
      <c r="P1484" s="7">
        <v>35.94</v>
      </c>
      <c r="Q1484" s="1">
        <v>45160</v>
      </c>
      <c r="R1484">
        <f>WEEKNUM(Table2[[#This Row],[OrderDate]])</f>
        <v>34</v>
      </c>
      <c r="S1484" s="1">
        <v>45166</v>
      </c>
      <c r="T1484" t="s">
        <v>2917</v>
      </c>
    </row>
    <row r="1485" spans="1:20" x14ac:dyDescent="0.35">
      <c r="A1485" s="1">
        <v>45314</v>
      </c>
      <c r="B1485" t="s">
        <v>2930</v>
      </c>
      <c r="C1485" t="s">
        <v>24</v>
      </c>
      <c r="D1485" s="9">
        <v>2</v>
      </c>
      <c r="E1485" s="7">
        <v>389.98</v>
      </c>
      <c r="F1485" t="s">
        <v>29</v>
      </c>
      <c r="G1485" t="s">
        <v>30</v>
      </c>
      <c r="H1485" s="12">
        <v>0.05</v>
      </c>
      <c r="I1485" t="s">
        <v>35</v>
      </c>
      <c r="J1485" s="7">
        <f>Table2[[#This Row],[UnitPrice]]*Table2[[#This Row],[Quantity]]*(1-Table2[[#This Row],[Discount]])</f>
        <v>740.96199999999999</v>
      </c>
      <c r="K1485" t="s">
        <v>41</v>
      </c>
      <c r="L1485" t="s">
        <v>44</v>
      </c>
      <c r="M1485">
        <v>1</v>
      </c>
      <c r="N1485" t="s">
        <v>1529</v>
      </c>
      <c r="O1485" t="s">
        <v>2901</v>
      </c>
      <c r="P1485" s="7">
        <v>24.55</v>
      </c>
      <c r="Q1485" s="1">
        <v>45314</v>
      </c>
      <c r="R1485">
        <f>WEEKNUM(Table2[[#This Row],[OrderDate]])</f>
        <v>4</v>
      </c>
      <c r="S1485" s="1">
        <v>45316</v>
      </c>
      <c r="T1485" t="s">
        <v>2917</v>
      </c>
    </row>
    <row r="1486" spans="1:20" x14ac:dyDescent="0.35">
      <c r="A1486" s="1">
        <v>45001</v>
      </c>
      <c r="B1486" t="s">
        <v>2931</v>
      </c>
      <c r="C1486" t="s">
        <v>23</v>
      </c>
      <c r="D1486" s="9">
        <v>17</v>
      </c>
      <c r="E1486" s="7">
        <v>485.3</v>
      </c>
      <c r="F1486" t="s">
        <v>29</v>
      </c>
      <c r="G1486" t="s">
        <v>31</v>
      </c>
      <c r="H1486" s="12">
        <v>0.15</v>
      </c>
      <c r="I1486" t="s">
        <v>36</v>
      </c>
      <c r="J1486" s="7">
        <f>Table2[[#This Row],[UnitPrice]]*Table2[[#This Row],[Quantity]]*(1-Table2[[#This Row],[Discount]])</f>
        <v>7012.585</v>
      </c>
      <c r="K1486" t="s">
        <v>42</v>
      </c>
      <c r="L1486" t="s">
        <v>45</v>
      </c>
      <c r="M1486">
        <v>0</v>
      </c>
      <c r="N1486" t="s">
        <v>1530</v>
      </c>
      <c r="O1486" t="s">
        <v>2902</v>
      </c>
      <c r="P1486" s="7">
        <v>37.94</v>
      </c>
      <c r="Q1486" s="1">
        <v>45001</v>
      </c>
      <c r="R1486">
        <f>WEEKNUM(Table2[[#This Row],[OrderDate]])</f>
        <v>11</v>
      </c>
      <c r="S1486" s="1">
        <v>45008</v>
      </c>
      <c r="T1486" t="s">
        <v>2919</v>
      </c>
    </row>
    <row r="1487" spans="1:20" x14ac:dyDescent="0.35">
      <c r="A1487" s="1">
        <v>45793</v>
      </c>
      <c r="B1487" t="s">
        <v>2932</v>
      </c>
      <c r="C1487" t="s">
        <v>19</v>
      </c>
      <c r="D1487" s="9">
        <v>4</v>
      </c>
      <c r="E1487" s="7">
        <v>472.24</v>
      </c>
      <c r="F1487" t="s">
        <v>29</v>
      </c>
      <c r="G1487" t="s">
        <v>31</v>
      </c>
      <c r="H1487" s="12">
        <v>0</v>
      </c>
      <c r="I1487" t="s">
        <v>33</v>
      </c>
      <c r="J1487" s="7">
        <f>Table2[[#This Row],[UnitPrice]]*Table2[[#This Row],[Quantity]]*(1-Table2[[#This Row],[Discount]])</f>
        <v>1888.96</v>
      </c>
      <c r="K1487" t="s">
        <v>39</v>
      </c>
      <c r="L1487" t="s">
        <v>43</v>
      </c>
      <c r="M1487">
        <v>1</v>
      </c>
      <c r="N1487" t="s">
        <v>1531</v>
      </c>
      <c r="O1487" t="s">
        <v>2903</v>
      </c>
      <c r="P1487" s="7">
        <v>6.78</v>
      </c>
      <c r="Q1487" s="1">
        <v>45793</v>
      </c>
      <c r="R1487">
        <f>WEEKNUM(Table2[[#This Row],[OrderDate]])</f>
        <v>20</v>
      </c>
      <c r="S1487" s="1">
        <v>45798</v>
      </c>
      <c r="T1487" t="s">
        <v>2918</v>
      </c>
    </row>
    <row r="1488" spans="1:20" x14ac:dyDescent="0.35">
      <c r="A1488" s="1">
        <v>45069</v>
      </c>
      <c r="B1488" t="s">
        <v>2930</v>
      </c>
      <c r="C1488" t="s">
        <v>23</v>
      </c>
      <c r="D1488" s="9">
        <v>8</v>
      </c>
      <c r="E1488" s="7">
        <v>143.53</v>
      </c>
      <c r="F1488" t="s">
        <v>29</v>
      </c>
      <c r="G1488" t="s">
        <v>30</v>
      </c>
      <c r="H1488" s="12">
        <v>0</v>
      </c>
      <c r="I1488" t="s">
        <v>33</v>
      </c>
      <c r="J1488" s="7">
        <f>Table2[[#This Row],[UnitPrice]]*Table2[[#This Row],[Quantity]]*(1-Table2[[#This Row],[Discount]])</f>
        <v>1148.24</v>
      </c>
      <c r="K1488" t="s">
        <v>42</v>
      </c>
      <c r="L1488" t="s">
        <v>45</v>
      </c>
      <c r="M1488">
        <v>0</v>
      </c>
      <c r="N1488" t="s">
        <v>1532</v>
      </c>
      <c r="O1488" t="s">
        <v>2904</v>
      </c>
      <c r="P1488" s="7">
        <v>9.1</v>
      </c>
      <c r="Q1488" s="1">
        <v>45069</v>
      </c>
      <c r="R1488">
        <f>WEEKNUM(Table2[[#This Row],[OrderDate]])</f>
        <v>21</v>
      </c>
      <c r="S1488" s="1">
        <v>45075</v>
      </c>
      <c r="T1488" t="s">
        <v>2917</v>
      </c>
    </row>
    <row r="1489" spans="1:20" x14ac:dyDescent="0.35">
      <c r="A1489" s="1">
        <v>45459</v>
      </c>
      <c r="B1489" t="s">
        <v>2931</v>
      </c>
      <c r="C1489" t="s">
        <v>22</v>
      </c>
      <c r="D1489" s="9">
        <v>5</v>
      </c>
      <c r="E1489" s="7">
        <v>159.91999999999999</v>
      </c>
      <c r="F1489" t="s">
        <v>26</v>
      </c>
      <c r="G1489" t="s">
        <v>30</v>
      </c>
      <c r="H1489" s="12">
        <v>0</v>
      </c>
      <c r="I1489" t="s">
        <v>35</v>
      </c>
      <c r="J1489" s="7">
        <f>Table2[[#This Row],[UnitPrice]]*Table2[[#This Row],[Quantity]]*(1-Table2[[#This Row],[Discount]])</f>
        <v>799.59999999999991</v>
      </c>
      <c r="K1489" t="s">
        <v>42</v>
      </c>
      <c r="L1489" t="s">
        <v>44</v>
      </c>
      <c r="M1489">
        <v>0</v>
      </c>
      <c r="N1489" t="s">
        <v>1533</v>
      </c>
      <c r="O1489" t="s">
        <v>2905</v>
      </c>
      <c r="P1489" s="7">
        <v>10.86</v>
      </c>
      <c r="Q1489" s="1">
        <v>45459</v>
      </c>
      <c r="R1489">
        <f>WEEKNUM(Table2[[#This Row],[OrderDate]])</f>
        <v>25</v>
      </c>
      <c r="S1489" s="1">
        <v>45466</v>
      </c>
      <c r="T1489" t="s">
        <v>2919</v>
      </c>
    </row>
    <row r="1490" spans="1:20" x14ac:dyDescent="0.35">
      <c r="A1490" s="1">
        <v>45685</v>
      </c>
      <c r="B1490" t="s">
        <v>2934</v>
      </c>
      <c r="C1490" t="s">
        <v>23</v>
      </c>
      <c r="D1490" s="9">
        <v>13</v>
      </c>
      <c r="E1490" s="7">
        <v>447.34</v>
      </c>
      <c r="F1490" t="s">
        <v>27</v>
      </c>
      <c r="G1490" t="s">
        <v>30</v>
      </c>
      <c r="H1490" s="12">
        <v>0.05</v>
      </c>
      <c r="I1490" t="s">
        <v>34</v>
      </c>
      <c r="J1490" s="7">
        <f>Table2[[#This Row],[UnitPrice]]*Table2[[#This Row],[Quantity]]*(1-Table2[[#This Row],[Discount]])</f>
        <v>5524.6489999999994</v>
      </c>
      <c r="K1490" t="s">
        <v>42</v>
      </c>
      <c r="L1490" t="s">
        <v>44</v>
      </c>
      <c r="M1490">
        <v>0</v>
      </c>
      <c r="N1490" t="s">
        <v>1534</v>
      </c>
      <c r="O1490" t="s">
        <v>2906</v>
      </c>
      <c r="P1490" s="7">
        <v>38.93</v>
      </c>
      <c r="Q1490" s="1">
        <v>45685</v>
      </c>
      <c r="R1490">
        <f>WEEKNUM(Table2[[#This Row],[OrderDate]])</f>
        <v>5</v>
      </c>
      <c r="S1490" s="1">
        <v>45692</v>
      </c>
      <c r="T1490" t="s">
        <v>2920</v>
      </c>
    </row>
    <row r="1491" spans="1:20" x14ac:dyDescent="0.35">
      <c r="A1491" s="1">
        <v>45623</v>
      </c>
      <c r="B1491" t="s">
        <v>2932</v>
      </c>
      <c r="C1491" t="s">
        <v>20</v>
      </c>
      <c r="D1491" s="9">
        <v>13</v>
      </c>
      <c r="E1491" s="7">
        <v>196.8</v>
      </c>
      <c r="F1491" t="s">
        <v>26</v>
      </c>
      <c r="G1491" t="s">
        <v>31</v>
      </c>
      <c r="H1491" s="12">
        <v>0.1</v>
      </c>
      <c r="I1491" t="s">
        <v>36</v>
      </c>
      <c r="J1491" s="7">
        <f>Table2[[#This Row],[UnitPrice]]*Table2[[#This Row],[Quantity]]*(1-Table2[[#This Row],[Discount]])</f>
        <v>2302.56</v>
      </c>
      <c r="K1491" t="s">
        <v>42</v>
      </c>
      <c r="L1491" t="s">
        <v>2937</v>
      </c>
      <c r="M1491">
        <v>0</v>
      </c>
      <c r="N1491" t="s">
        <v>1535</v>
      </c>
      <c r="O1491" t="s">
        <v>2907</v>
      </c>
      <c r="P1491" s="7">
        <v>10.119999999999999</v>
      </c>
      <c r="Q1491" s="1">
        <v>45623</v>
      </c>
      <c r="R1491">
        <f>WEEKNUM(Table2[[#This Row],[OrderDate]])</f>
        <v>48</v>
      </c>
      <c r="S1491" s="1">
        <v>45633</v>
      </c>
      <c r="T1491" t="s">
        <v>2918</v>
      </c>
    </row>
    <row r="1492" spans="1:20" x14ac:dyDescent="0.35">
      <c r="A1492" s="1">
        <v>45208</v>
      </c>
      <c r="B1492" t="s">
        <v>2934</v>
      </c>
      <c r="C1492" t="s">
        <v>22</v>
      </c>
      <c r="D1492" s="9">
        <v>3</v>
      </c>
      <c r="E1492" s="7">
        <v>485.81</v>
      </c>
      <c r="F1492" t="s">
        <v>27</v>
      </c>
      <c r="G1492" t="s">
        <v>30</v>
      </c>
      <c r="H1492" s="12">
        <v>0.1</v>
      </c>
      <c r="I1492" t="s">
        <v>32</v>
      </c>
      <c r="J1492" s="7">
        <f>Table2[[#This Row],[UnitPrice]]*Table2[[#This Row],[Quantity]]*(1-Table2[[#This Row],[Discount]])</f>
        <v>1311.6870000000001</v>
      </c>
      <c r="K1492" t="s">
        <v>41</v>
      </c>
      <c r="L1492" t="s">
        <v>44</v>
      </c>
      <c r="M1492">
        <v>0</v>
      </c>
      <c r="N1492" t="s">
        <v>1536</v>
      </c>
      <c r="O1492" t="s">
        <v>2908</v>
      </c>
      <c r="P1492" s="7">
        <v>19.46</v>
      </c>
      <c r="Q1492" s="1">
        <v>45208</v>
      </c>
      <c r="R1492">
        <f>WEEKNUM(Table2[[#This Row],[OrderDate]])</f>
        <v>41</v>
      </c>
      <c r="S1492" s="1">
        <v>45210</v>
      </c>
      <c r="T1492" t="s">
        <v>2920</v>
      </c>
    </row>
    <row r="1493" spans="1:20" x14ac:dyDescent="0.35">
      <c r="A1493" s="1">
        <v>45494</v>
      </c>
      <c r="B1493" t="s">
        <v>2933</v>
      </c>
      <c r="C1493" t="s">
        <v>20</v>
      </c>
      <c r="D1493" s="9">
        <v>16</v>
      </c>
      <c r="E1493" s="7">
        <v>183.62</v>
      </c>
      <c r="F1493" t="s">
        <v>27</v>
      </c>
      <c r="G1493" t="s">
        <v>30</v>
      </c>
      <c r="H1493" s="12">
        <v>0.05</v>
      </c>
      <c r="I1493" t="s">
        <v>37</v>
      </c>
      <c r="J1493" s="7">
        <f>Table2[[#This Row],[UnitPrice]]*Table2[[#This Row],[Quantity]]*(1-Table2[[#This Row],[Discount]])</f>
        <v>2791.0239999999999</v>
      </c>
      <c r="K1493" t="s">
        <v>39</v>
      </c>
      <c r="L1493" t="s">
        <v>45</v>
      </c>
      <c r="M1493">
        <v>0</v>
      </c>
      <c r="N1493" t="s">
        <v>1537</v>
      </c>
      <c r="O1493" t="s">
        <v>2909</v>
      </c>
      <c r="P1493" s="7">
        <v>6.56</v>
      </c>
      <c r="Q1493" s="1">
        <v>45494</v>
      </c>
      <c r="R1493">
        <f>WEEKNUM(Table2[[#This Row],[OrderDate]])</f>
        <v>30</v>
      </c>
      <c r="S1493" s="1">
        <v>45504</v>
      </c>
      <c r="T1493" t="s">
        <v>2921</v>
      </c>
    </row>
    <row r="1494" spans="1:20" x14ac:dyDescent="0.35">
      <c r="A1494" s="1">
        <v>45476</v>
      </c>
      <c r="B1494" t="s">
        <v>2930</v>
      </c>
      <c r="C1494" t="s">
        <v>23</v>
      </c>
      <c r="D1494" s="9">
        <v>2</v>
      </c>
      <c r="E1494" s="7">
        <v>373.07</v>
      </c>
      <c r="F1494" t="s">
        <v>27</v>
      </c>
      <c r="G1494" t="s">
        <v>31</v>
      </c>
      <c r="H1494" s="12">
        <v>0.05</v>
      </c>
      <c r="I1494" t="s">
        <v>36</v>
      </c>
      <c r="J1494" s="7">
        <f>Table2[[#This Row],[UnitPrice]]*Table2[[#This Row],[Quantity]]*(1-Table2[[#This Row],[Discount]])</f>
        <v>708.83299999999997</v>
      </c>
      <c r="K1494" t="s">
        <v>40</v>
      </c>
      <c r="L1494" t="s">
        <v>43</v>
      </c>
      <c r="M1494">
        <v>0</v>
      </c>
      <c r="N1494" t="s">
        <v>1538</v>
      </c>
      <c r="O1494" t="s">
        <v>2910</v>
      </c>
      <c r="P1494" s="7">
        <v>26.9</v>
      </c>
      <c r="Q1494" s="1">
        <v>45476</v>
      </c>
      <c r="R1494">
        <f>WEEKNUM(Table2[[#This Row],[OrderDate]])</f>
        <v>27</v>
      </c>
      <c r="S1494" s="1">
        <v>45480</v>
      </c>
      <c r="T1494" t="s">
        <v>2917</v>
      </c>
    </row>
    <row r="1495" spans="1:20" x14ac:dyDescent="0.35">
      <c r="A1495" s="1">
        <v>45559</v>
      </c>
      <c r="B1495" t="s">
        <v>2933</v>
      </c>
      <c r="C1495" t="s">
        <v>23</v>
      </c>
      <c r="D1495" s="9">
        <v>17</v>
      </c>
      <c r="E1495" s="7">
        <v>527.67999999999995</v>
      </c>
      <c r="F1495" t="s">
        <v>26</v>
      </c>
      <c r="G1495" t="s">
        <v>30</v>
      </c>
      <c r="H1495" s="12">
        <v>0</v>
      </c>
      <c r="I1495" t="s">
        <v>36</v>
      </c>
      <c r="J1495" s="7">
        <f>Table2[[#This Row],[UnitPrice]]*Table2[[#This Row],[Quantity]]*(1-Table2[[#This Row],[Discount]])</f>
        <v>8970.56</v>
      </c>
      <c r="K1495" t="s">
        <v>39</v>
      </c>
      <c r="L1495" t="s">
        <v>43</v>
      </c>
      <c r="M1495">
        <v>0</v>
      </c>
      <c r="N1495" t="s">
        <v>1539</v>
      </c>
      <c r="O1495" t="s">
        <v>2911</v>
      </c>
      <c r="P1495" s="7">
        <v>29.19</v>
      </c>
      <c r="Q1495" s="1">
        <v>45559</v>
      </c>
      <c r="R1495">
        <f>WEEKNUM(Table2[[#This Row],[OrderDate]])</f>
        <v>39</v>
      </c>
      <c r="S1495" s="1">
        <v>45567</v>
      </c>
      <c r="T1495" t="s">
        <v>2921</v>
      </c>
    </row>
    <row r="1496" spans="1:20" x14ac:dyDescent="0.35">
      <c r="A1496" s="1">
        <v>45671</v>
      </c>
      <c r="B1496" t="s">
        <v>2930</v>
      </c>
      <c r="C1496" t="s">
        <v>24</v>
      </c>
      <c r="D1496" s="9">
        <v>5</v>
      </c>
      <c r="E1496" s="7">
        <v>201.29</v>
      </c>
      <c r="F1496" t="s">
        <v>29</v>
      </c>
      <c r="G1496" t="s">
        <v>30</v>
      </c>
      <c r="H1496" s="12">
        <v>0</v>
      </c>
      <c r="I1496" t="s">
        <v>35</v>
      </c>
      <c r="J1496" s="7">
        <f>Table2[[#This Row],[UnitPrice]]*Table2[[#This Row],[Quantity]]*(1-Table2[[#This Row],[Discount]])</f>
        <v>1006.4499999999999</v>
      </c>
      <c r="K1496" t="s">
        <v>38</v>
      </c>
      <c r="L1496" t="s">
        <v>43</v>
      </c>
      <c r="M1496">
        <v>0</v>
      </c>
      <c r="N1496" t="s">
        <v>1540</v>
      </c>
      <c r="O1496" t="s">
        <v>2912</v>
      </c>
      <c r="P1496" s="7">
        <v>49.13</v>
      </c>
      <c r="Q1496" s="1">
        <v>45671</v>
      </c>
      <c r="R1496">
        <f>WEEKNUM(Table2[[#This Row],[OrderDate]])</f>
        <v>3</v>
      </c>
      <c r="S1496" s="1">
        <v>45678</v>
      </c>
      <c r="T1496" t="s">
        <v>2917</v>
      </c>
    </row>
    <row r="1497" spans="1:20" x14ac:dyDescent="0.35">
      <c r="A1497" s="1">
        <v>45705</v>
      </c>
      <c r="B1497" t="s">
        <v>2933</v>
      </c>
      <c r="C1497" t="s">
        <v>21</v>
      </c>
      <c r="D1497" s="9">
        <v>13</v>
      </c>
      <c r="E1497" s="7">
        <v>134.56</v>
      </c>
      <c r="F1497" t="s">
        <v>29</v>
      </c>
      <c r="G1497" t="s">
        <v>31</v>
      </c>
      <c r="H1497" s="12">
        <v>0.05</v>
      </c>
      <c r="I1497" t="s">
        <v>35</v>
      </c>
      <c r="J1497" s="7">
        <f>Table2[[#This Row],[UnitPrice]]*Table2[[#This Row],[Quantity]]*(1-Table2[[#This Row],[Discount]])</f>
        <v>1661.8159999999998</v>
      </c>
      <c r="K1497" t="s">
        <v>40</v>
      </c>
      <c r="L1497" t="s">
        <v>45</v>
      </c>
      <c r="M1497">
        <v>0</v>
      </c>
      <c r="N1497" t="s">
        <v>1541</v>
      </c>
      <c r="O1497" t="s">
        <v>2913</v>
      </c>
      <c r="P1497" s="7">
        <v>35.630000000000003</v>
      </c>
      <c r="Q1497" s="1">
        <v>45705</v>
      </c>
      <c r="R1497">
        <f>WEEKNUM(Table2[[#This Row],[OrderDate]])</f>
        <v>8</v>
      </c>
      <c r="S1497" s="1">
        <v>45710</v>
      </c>
      <c r="T1497" t="s">
        <v>2921</v>
      </c>
    </row>
    <row r="1498" spans="1:20" x14ac:dyDescent="0.35">
      <c r="A1498" s="1">
        <v>45302</v>
      </c>
      <c r="B1498" t="s">
        <v>2932</v>
      </c>
      <c r="C1498" t="s">
        <v>22</v>
      </c>
      <c r="D1498" s="9">
        <v>18</v>
      </c>
      <c r="E1498" s="7">
        <v>209.75</v>
      </c>
      <c r="F1498" t="s">
        <v>28</v>
      </c>
      <c r="G1498" t="s">
        <v>30</v>
      </c>
      <c r="H1498" s="12">
        <v>0.15</v>
      </c>
      <c r="I1498" t="s">
        <v>34</v>
      </c>
      <c r="J1498" s="7">
        <f>Table2[[#This Row],[UnitPrice]]*Table2[[#This Row],[Quantity]]*(1-Table2[[#This Row],[Discount]])</f>
        <v>3209.1749999999997</v>
      </c>
      <c r="K1498" t="s">
        <v>41</v>
      </c>
      <c r="L1498" t="s">
        <v>43</v>
      </c>
      <c r="M1498">
        <v>0</v>
      </c>
      <c r="N1498" t="s">
        <v>1542</v>
      </c>
      <c r="O1498" t="s">
        <v>2914</v>
      </c>
      <c r="P1498" s="7">
        <v>45.93</v>
      </c>
      <c r="Q1498" s="1">
        <v>45302</v>
      </c>
      <c r="R1498">
        <f>WEEKNUM(Table2[[#This Row],[OrderDate]])</f>
        <v>2</v>
      </c>
      <c r="S1498" s="1">
        <v>45308</v>
      </c>
      <c r="T1498" t="s">
        <v>2918</v>
      </c>
    </row>
    <row r="1499" spans="1:20" x14ac:dyDescent="0.35">
      <c r="A1499" s="1">
        <v>45500</v>
      </c>
      <c r="B1499" t="s">
        <v>2930</v>
      </c>
      <c r="C1499" t="s">
        <v>21</v>
      </c>
      <c r="D1499" s="9">
        <v>1</v>
      </c>
      <c r="E1499" s="7">
        <v>272.5</v>
      </c>
      <c r="F1499" t="s">
        <v>27</v>
      </c>
      <c r="G1499" t="s">
        <v>30</v>
      </c>
      <c r="H1499" s="12">
        <v>0</v>
      </c>
      <c r="I1499" t="s">
        <v>32</v>
      </c>
      <c r="J1499" s="7">
        <f>Table2[[#This Row],[UnitPrice]]*Table2[[#This Row],[Quantity]]*(1-Table2[[#This Row],[Discount]])</f>
        <v>272.5</v>
      </c>
      <c r="K1499" t="s">
        <v>39</v>
      </c>
      <c r="L1499" t="s">
        <v>45</v>
      </c>
      <c r="M1499">
        <v>0</v>
      </c>
      <c r="N1499" t="s">
        <v>1543</v>
      </c>
      <c r="O1499" t="s">
        <v>2915</v>
      </c>
      <c r="P1499" s="7">
        <v>35.56</v>
      </c>
      <c r="Q1499" s="1">
        <v>45500</v>
      </c>
      <c r="R1499">
        <f>WEEKNUM(Table2[[#This Row],[OrderDate]])</f>
        <v>30</v>
      </c>
      <c r="S1499" s="1">
        <v>45507</v>
      </c>
      <c r="T1499" t="s">
        <v>2917</v>
      </c>
    </row>
    <row r="1500" spans="1:20" x14ac:dyDescent="0.35">
      <c r="A1500" s="1">
        <v>45629</v>
      </c>
      <c r="B1500" t="s">
        <v>2934</v>
      </c>
      <c r="C1500" t="s">
        <v>23</v>
      </c>
      <c r="D1500" s="9">
        <v>14</v>
      </c>
      <c r="E1500" s="7">
        <v>262.67</v>
      </c>
      <c r="F1500" t="s">
        <v>27</v>
      </c>
      <c r="G1500" t="s">
        <v>31</v>
      </c>
      <c r="H1500" s="12">
        <v>0.05</v>
      </c>
      <c r="I1500" t="s">
        <v>35</v>
      </c>
      <c r="J1500" s="7">
        <f>Table2[[#This Row],[UnitPrice]]*Table2[[#This Row],[Quantity]]*(1-Table2[[#This Row],[Discount]])</f>
        <v>3493.511</v>
      </c>
      <c r="K1500" t="s">
        <v>39</v>
      </c>
      <c r="L1500" t="s">
        <v>44</v>
      </c>
      <c r="M1500">
        <v>0</v>
      </c>
      <c r="N1500" t="s">
        <v>1544</v>
      </c>
      <c r="O1500" t="s">
        <v>2916</v>
      </c>
      <c r="P1500" s="7">
        <v>24.53</v>
      </c>
      <c r="Q1500" s="1">
        <v>45629</v>
      </c>
      <c r="R1500">
        <f>WEEKNUM(Table2[[#This Row],[OrderDate]])</f>
        <v>49</v>
      </c>
      <c r="S1500" s="1">
        <v>45636</v>
      </c>
      <c r="T1500" t="s">
        <v>2920</v>
      </c>
    </row>
    <row r="1501" spans="1:20" x14ac:dyDescent="0.35">
      <c r="A1501" s="1">
        <v>45786</v>
      </c>
      <c r="B1501" t="s">
        <v>2933</v>
      </c>
      <c r="C1501" t="s">
        <v>22</v>
      </c>
      <c r="D1501" s="9">
        <v>13</v>
      </c>
      <c r="E1501" s="7">
        <v>221.39</v>
      </c>
      <c r="F1501" t="s">
        <v>29</v>
      </c>
      <c r="G1501" t="s">
        <v>30</v>
      </c>
      <c r="H1501" s="12">
        <v>0</v>
      </c>
      <c r="I1501" t="s">
        <v>34</v>
      </c>
      <c r="J1501" s="7">
        <f>Table2[[#This Row],[UnitPrice]]*Table2[[#This Row],[Quantity]]*(1-Table2[[#This Row],[Discount]])</f>
        <v>2878.0699999999997</v>
      </c>
      <c r="K1501" t="s">
        <v>41</v>
      </c>
      <c r="L1501" t="s">
        <v>43</v>
      </c>
      <c r="M1501">
        <v>1</v>
      </c>
      <c r="N1501" t="s">
        <v>1545</v>
      </c>
      <c r="O1501" t="s">
        <v>2202</v>
      </c>
      <c r="P1501" s="7">
        <v>21.05</v>
      </c>
      <c r="Q1501" s="1">
        <v>45786</v>
      </c>
      <c r="R1501">
        <f>WEEKNUM(Table2[[#This Row],[OrderDate]])</f>
        <v>19</v>
      </c>
      <c r="S1501" s="1">
        <v>45790</v>
      </c>
      <c r="T1501" t="s">
        <v>2921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CD048-7368-4798-A5D7-92B8E155BA66}">
  <dimension ref="A1:I56"/>
  <sheetViews>
    <sheetView zoomScale="76" zoomScaleNormal="76" workbookViewId="0">
      <selection activeCell="L14" sqref="L14"/>
    </sheetView>
  </sheetViews>
  <sheetFormatPr defaultRowHeight="14.5" x14ac:dyDescent="0.35"/>
  <cols>
    <col min="1" max="1" width="13.26953125" bestFit="1" customWidth="1"/>
    <col min="2" max="2" width="15.90625" bestFit="1" customWidth="1"/>
    <col min="3" max="3" width="13.08984375" bestFit="1" customWidth="1"/>
    <col min="4" max="4" width="10.453125" bestFit="1" customWidth="1"/>
    <col min="5" max="5" width="10.08984375" bestFit="1" customWidth="1"/>
    <col min="6" max="6" width="13" bestFit="1" customWidth="1"/>
    <col min="7" max="7" width="13.7265625" bestFit="1" customWidth="1"/>
    <col min="8" max="8" width="10.453125" bestFit="1" customWidth="1"/>
    <col min="9" max="9" width="9.54296875" bestFit="1" customWidth="1"/>
    <col min="10" max="10" width="15.26953125" bestFit="1" customWidth="1"/>
    <col min="11" max="11" width="15.90625" bestFit="1" customWidth="1"/>
    <col min="12" max="14" width="10.453125" bestFit="1" customWidth="1"/>
    <col min="15" max="15" width="11.54296875" bestFit="1" customWidth="1"/>
    <col min="16" max="23" width="10.453125" bestFit="1" customWidth="1"/>
    <col min="24" max="24" width="9.36328125" bestFit="1" customWidth="1"/>
    <col min="25" max="29" width="10.453125" bestFit="1" customWidth="1"/>
    <col min="30" max="30" width="9.36328125" bestFit="1" customWidth="1"/>
    <col min="31" max="34" width="10.453125" bestFit="1" customWidth="1"/>
    <col min="35" max="36" width="9.36328125" bestFit="1" customWidth="1"/>
    <col min="37" max="37" width="10.453125" bestFit="1" customWidth="1"/>
    <col min="38" max="38" width="7.81640625" bestFit="1" customWidth="1"/>
    <col min="39" max="39" width="10.453125" bestFit="1" customWidth="1"/>
    <col min="40" max="40" width="9.36328125" bestFit="1" customWidth="1"/>
    <col min="41" max="41" width="10.453125" bestFit="1" customWidth="1"/>
    <col min="42" max="42" width="9.36328125" bestFit="1" customWidth="1"/>
    <col min="43" max="44" width="10.453125" bestFit="1" customWidth="1"/>
    <col min="45" max="46" width="9.36328125" bestFit="1" customWidth="1"/>
    <col min="47" max="47" width="10.453125" bestFit="1" customWidth="1"/>
    <col min="48" max="48" width="9.36328125" bestFit="1" customWidth="1"/>
    <col min="49" max="49" width="10.453125" bestFit="1" customWidth="1"/>
    <col min="50" max="50" width="7.81640625" bestFit="1" customWidth="1"/>
    <col min="51" max="51" width="9.36328125" bestFit="1" customWidth="1"/>
    <col min="52" max="53" width="10.453125" bestFit="1" customWidth="1"/>
    <col min="54" max="54" width="9.36328125" bestFit="1" customWidth="1"/>
    <col min="55" max="56" width="13.08984375" bestFit="1" customWidth="1"/>
    <col min="57" max="58" width="9.36328125" bestFit="1" customWidth="1"/>
    <col min="59" max="59" width="6.7265625" bestFit="1" customWidth="1"/>
    <col min="60" max="60" width="12" bestFit="1" customWidth="1"/>
    <col min="61" max="62" width="10.453125" bestFit="1" customWidth="1"/>
    <col min="63" max="64" width="11.54296875" bestFit="1" customWidth="1"/>
    <col min="65" max="65" width="8.36328125" bestFit="1" customWidth="1"/>
    <col min="66" max="66" width="11.54296875" bestFit="1" customWidth="1"/>
    <col min="67" max="67" width="12.54296875" bestFit="1" customWidth="1"/>
    <col min="68" max="69" width="10.453125" bestFit="1" customWidth="1"/>
    <col min="70" max="71" width="11.54296875" bestFit="1" customWidth="1"/>
    <col min="72" max="72" width="9.36328125" bestFit="1" customWidth="1"/>
    <col min="73" max="73" width="10.453125" bestFit="1" customWidth="1"/>
    <col min="74" max="74" width="11.54296875" bestFit="1" customWidth="1"/>
    <col min="75" max="75" width="9.36328125" bestFit="1" customWidth="1"/>
    <col min="76" max="76" width="11.54296875" bestFit="1" customWidth="1"/>
    <col min="77" max="77" width="9.36328125" bestFit="1" customWidth="1"/>
    <col min="78" max="79" width="10.453125" bestFit="1" customWidth="1"/>
    <col min="80" max="81" width="11.54296875" bestFit="1" customWidth="1"/>
    <col min="82" max="83" width="10.453125" bestFit="1" customWidth="1"/>
    <col min="84" max="85" width="9.36328125" bestFit="1" customWidth="1"/>
    <col min="86" max="86" width="11.54296875" bestFit="1" customWidth="1"/>
    <col min="87" max="87" width="10.453125" bestFit="1" customWidth="1"/>
    <col min="88" max="88" width="12.54296875" bestFit="1" customWidth="1"/>
    <col min="89" max="91" width="10.453125" bestFit="1" customWidth="1"/>
    <col min="92" max="92" width="9.36328125" bestFit="1" customWidth="1"/>
    <col min="93" max="94" width="10.453125" bestFit="1" customWidth="1"/>
    <col min="95" max="96" width="11.54296875" bestFit="1" customWidth="1"/>
    <col min="97" max="97" width="9.36328125" bestFit="1" customWidth="1"/>
    <col min="98" max="98" width="10.453125" bestFit="1" customWidth="1"/>
    <col min="99" max="99" width="9.36328125" bestFit="1" customWidth="1"/>
    <col min="100" max="100" width="10.453125" bestFit="1" customWidth="1"/>
    <col min="101" max="101" width="9.36328125" bestFit="1" customWidth="1"/>
    <col min="102" max="102" width="10.453125" bestFit="1" customWidth="1"/>
    <col min="103" max="103" width="11.54296875" bestFit="1" customWidth="1"/>
    <col min="104" max="105" width="9.36328125" bestFit="1" customWidth="1"/>
    <col min="106" max="106" width="11.54296875" bestFit="1" customWidth="1"/>
    <col min="107" max="107" width="10.453125" bestFit="1" customWidth="1"/>
    <col min="108" max="108" width="11.54296875" bestFit="1" customWidth="1"/>
    <col min="109" max="109" width="12.54296875" bestFit="1" customWidth="1"/>
    <col min="110" max="110" width="9.36328125" bestFit="1" customWidth="1"/>
    <col min="111" max="111" width="10.453125" bestFit="1" customWidth="1"/>
    <col min="112" max="112" width="11.54296875" bestFit="1" customWidth="1"/>
    <col min="113" max="115" width="10.453125" bestFit="1" customWidth="1"/>
    <col min="116" max="116" width="12.54296875" bestFit="1" customWidth="1"/>
    <col min="117" max="118" width="10.453125" bestFit="1" customWidth="1"/>
    <col min="119" max="119" width="11.54296875" bestFit="1" customWidth="1"/>
    <col min="120" max="122" width="10.453125" bestFit="1" customWidth="1"/>
    <col min="123" max="123" width="11.54296875" bestFit="1" customWidth="1"/>
    <col min="124" max="124" width="10.453125" bestFit="1" customWidth="1"/>
    <col min="125" max="125" width="11.54296875" bestFit="1" customWidth="1"/>
    <col min="126" max="127" width="9.36328125" bestFit="1" customWidth="1"/>
    <col min="128" max="131" width="10.453125" bestFit="1" customWidth="1"/>
    <col min="132" max="132" width="11.54296875" bestFit="1" customWidth="1"/>
    <col min="133" max="134" width="10.453125" bestFit="1" customWidth="1"/>
    <col min="135" max="137" width="11.54296875" bestFit="1" customWidth="1"/>
    <col min="138" max="141" width="10.453125" bestFit="1" customWidth="1"/>
    <col min="142" max="142" width="11.54296875" bestFit="1" customWidth="1"/>
    <col min="143" max="143" width="9.36328125" bestFit="1" customWidth="1"/>
    <col min="144" max="144" width="11.54296875" bestFit="1" customWidth="1"/>
    <col min="145" max="145" width="10.453125" bestFit="1" customWidth="1"/>
    <col min="146" max="146" width="11.54296875" bestFit="1" customWidth="1"/>
    <col min="147" max="149" width="10.453125" bestFit="1" customWidth="1"/>
    <col min="150" max="150" width="11.54296875" bestFit="1" customWidth="1"/>
    <col min="151" max="151" width="12.54296875" bestFit="1" customWidth="1"/>
    <col min="152" max="152" width="8.36328125" bestFit="1" customWidth="1"/>
    <col min="153" max="153" width="9.36328125" bestFit="1" customWidth="1"/>
    <col min="154" max="154" width="6.08984375" bestFit="1" customWidth="1"/>
    <col min="155" max="155" width="10.453125" bestFit="1" customWidth="1"/>
    <col min="156" max="156" width="8.36328125" bestFit="1" customWidth="1"/>
    <col min="157" max="157" width="9.36328125" bestFit="1" customWidth="1"/>
    <col min="158" max="158" width="10.453125" bestFit="1" customWidth="1"/>
    <col min="159" max="160" width="9.36328125" bestFit="1" customWidth="1"/>
    <col min="161" max="162" width="10.453125" bestFit="1" customWidth="1"/>
    <col min="163" max="163" width="11.54296875" bestFit="1" customWidth="1"/>
    <col min="164" max="164" width="10.453125" bestFit="1" customWidth="1"/>
    <col min="165" max="165" width="11.54296875" bestFit="1" customWidth="1"/>
    <col min="166" max="166" width="8.36328125" bestFit="1" customWidth="1"/>
    <col min="167" max="168" width="10.453125" bestFit="1" customWidth="1"/>
    <col min="169" max="169" width="11.54296875" bestFit="1" customWidth="1"/>
    <col min="170" max="170" width="10.453125" bestFit="1" customWidth="1"/>
    <col min="171" max="171" width="9.36328125" bestFit="1" customWidth="1"/>
    <col min="172" max="172" width="11.54296875" bestFit="1" customWidth="1"/>
    <col min="173" max="173" width="9.36328125" bestFit="1" customWidth="1"/>
    <col min="174" max="175" width="11.54296875" bestFit="1" customWidth="1"/>
    <col min="176" max="176" width="10.453125" bestFit="1" customWidth="1"/>
    <col min="177" max="177" width="11.54296875" bestFit="1" customWidth="1"/>
    <col min="178" max="178" width="9.36328125" bestFit="1" customWidth="1"/>
    <col min="179" max="179" width="12.54296875" bestFit="1" customWidth="1"/>
    <col min="180" max="181" width="10.453125" bestFit="1" customWidth="1"/>
    <col min="182" max="182" width="11.54296875" bestFit="1" customWidth="1"/>
    <col min="183" max="185" width="10.453125" bestFit="1" customWidth="1"/>
    <col min="186" max="186" width="11.54296875" bestFit="1" customWidth="1"/>
    <col min="187" max="187" width="10.453125" bestFit="1" customWidth="1"/>
    <col min="188" max="189" width="9.36328125" bestFit="1" customWidth="1"/>
    <col min="190" max="193" width="11.54296875" bestFit="1" customWidth="1"/>
    <col min="194" max="195" width="10.453125" bestFit="1" customWidth="1"/>
    <col min="196" max="196" width="8.36328125" bestFit="1" customWidth="1"/>
    <col min="197" max="198" width="10.453125" bestFit="1" customWidth="1"/>
    <col min="199" max="199" width="11.54296875" bestFit="1" customWidth="1"/>
    <col min="200" max="201" width="10.453125" bestFit="1" customWidth="1"/>
    <col min="202" max="202" width="11.54296875" bestFit="1" customWidth="1"/>
    <col min="203" max="205" width="10.453125" bestFit="1" customWidth="1"/>
    <col min="206" max="206" width="9.36328125" bestFit="1" customWidth="1"/>
    <col min="207" max="207" width="10.453125" bestFit="1" customWidth="1"/>
    <col min="208" max="208" width="9.36328125" bestFit="1" customWidth="1"/>
    <col min="209" max="209" width="10.453125" bestFit="1" customWidth="1"/>
    <col min="210" max="210" width="8.36328125" bestFit="1" customWidth="1"/>
    <col min="211" max="211" width="10.453125" bestFit="1" customWidth="1"/>
    <col min="212" max="213" width="9.36328125" bestFit="1" customWidth="1"/>
    <col min="214" max="216" width="10.453125" bestFit="1" customWidth="1"/>
    <col min="217" max="217" width="8.36328125" bestFit="1" customWidth="1"/>
    <col min="218" max="218" width="9.36328125" bestFit="1" customWidth="1"/>
    <col min="219" max="219" width="8.36328125" bestFit="1" customWidth="1"/>
    <col min="220" max="221" width="11.54296875" bestFit="1" customWidth="1"/>
    <col min="222" max="226" width="10.453125" bestFit="1" customWidth="1"/>
    <col min="227" max="227" width="9.36328125" bestFit="1" customWidth="1"/>
    <col min="228" max="230" width="10.453125" bestFit="1" customWidth="1"/>
    <col min="231" max="231" width="8.36328125" bestFit="1" customWidth="1"/>
    <col min="232" max="232" width="9.36328125" bestFit="1" customWidth="1"/>
    <col min="233" max="234" width="10.453125" bestFit="1" customWidth="1"/>
    <col min="235" max="235" width="11.54296875" bestFit="1" customWidth="1"/>
    <col min="236" max="236" width="8.36328125" bestFit="1" customWidth="1"/>
    <col min="237" max="240" width="10.453125" bestFit="1" customWidth="1"/>
    <col min="241" max="241" width="11.54296875" bestFit="1" customWidth="1"/>
    <col min="242" max="242" width="10.453125" bestFit="1" customWidth="1"/>
    <col min="243" max="243" width="9.36328125" bestFit="1" customWidth="1"/>
    <col min="244" max="244" width="8.36328125" bestFit="1" customWidth="1"/>
    <col min="245" max="245" width="11.54296875" bestFit="1" customWidth="1"/>
    <col min="246" max="246" width="8.36328125" bestFit="1" customWidth="1"/>
    <col min="247" max="247" width="11.54296875" bestFit="1" customWidth="1"/>
    <col min="248" max="248" width="10.453125" bestFit="1" customWidth="1"/>
    <col min="249" max="249" width="11.54296875" bestFit="1" customWidth="1"/>
    <col min="250" max="250" width="9.36328125" bestFit="1" customWidth="1"/>
    <col min="251" max="252" width="10.453125" bestFit="1" customWidth="1"/>
    <col min="253" max="253" width="11.54296875" bestFit="1" customWidth="1"/>
    <col min="254" max="254" width="10.453125" bestFit="1" customWidth="1"/>
    <col min="255" max="255" width="11.54296875" bestFit="1" customWidth="1"/>
    <col min="256" max="256" width="10.453125" bestFit="1" customWidth="1"/>
    <col min="257" max="258" width="9.36328125" bestFit="1" customWidth="1"/>
    <col min="259" max="260" width="11.54296875" bestFit="1" customWidth="1"/>
    <col min="261" max="261" width="10.453125" bestFit="1" customWidth="1"/>
    <col min="262" max="263" width="11.54296875" bestFit="1" customWidth="1"/>
    <col min="264" max="264" width="10.453125" bestFit="1" customWidth="1"/>
    <col min="265" max="265" width="9.36328125" bestFit="1" customWidth="1"/>
    <col min="266" max="266" width="11.54296875" bestFit="1" customWidth="1"/>
    <col min="267" max="267" width="10.453125" bestFit="1" customWidth="1"/>
    <col min="268" max="269" width="11.54296875" bestFit="1" customWidth="1"/>
    <col min="270" max="270" width="9.36328125" bestFit="1" customWidth="1"/>
    <col min="271" max="271" width="11.54296875" bestFit="1" customWidth="1"/>
    <col min="272" max="272" width="10.453125" bestFit="1" customWidth="1"/>
    <col min="273" max="273" width="11.54296875" bestFit="1" customWidth="1"/>
    <col min="274" max="274" width="9.36328125" bestFit="1" customWidth="1"/>
    <col min="275" max="276" width="11.54296875" bestFit="1" customWidth="1"/>
    <col min="277" max="280" width="10.453125" bestFit="1" customWidth="1"/>
    <col min="281" max="281" width="9.36328125" bestFit="1" customWidth="1"/>
    <col min="282" max="282" width="10.453125" bestFit="1" customWidth="1"/>
    <col min="283" max="283" width="11.54296875" bestFit="1" customWidth="1"/>
    <col min="284" max="284" width="9.36328125" bestFit="1" customWidth="1"/>
    <col min="285" max="285" width="10.453125" bestFit="1" customWidth="1"/>
    <col min="286" max="286" width="9.36328125" bestFit="1" customWidth="1"/>
    <col min="287" max="288" width="10.453125" bestFit="1" customWidth="1"/>
    <col min="289" max="289" width="9.36328125" bestFit="1" customWidth="1"/>
    <col min="290" max="290" width="11.54296875" bestFit="1" customWidth="1"/>
    <col min="291" max="291" width="9.36328125" bestFit="1" customWidth="1"/>
    <col min="292" max="293" width="10.453125" bestFit="1" customWidth="1"/>
    <col min="294" max="294" width="9.36328125" bestFit="1" customWidth="1"/>
    <col min="295" max="297" width="11.54296875" bestFit="1" customWidth="1"/>
    <col min="298" max="298" width="10.453125" bestFit="1" customWidth="1"/>
    <col min="299" max="299" width="11.54296875" bestFit="1" customWidth="1"/>
    <col min="300" max="300" width="8.36328125" bestFit="1" customWidth="1"/>
    <col min="301" max="301" width="9.36328125" bestFit="1" customWidth="1"/>
    <col min="302" max="302" width="11.54296875" bestFit="1" customWidth="1"/>
    <col min="303" max="303" width="10.453125" bestFit="1" customWidth="1"/>
    <col min="304" max="305" width="9.36328125" bestFit="1" customWidth="1"/>
    <col min="306" max="306" width="10.453125" bestFit="1" customWidth="1"/>
    <col min="307" max="307" width="9.36328125" bestFit="1" customWidth="1"/>
    <col min="308" max="308" width="11.54296875" bestFit="1" customWidth="1"/>
    <col min="309" max="309" width="8.36328125" bestFit="1" customWidth="1"/>
    <col min="310" max="311" width="10.453125" bestFit="1" customWidth="1"/>
    <col min="312" max="312" width="11.54296875" bestFit="1" customWidth="1"/>
    <col min="313" max="313" width="8.36328125" bestFit="1" customWidth="1"/>
    <col min="314" max="314" width="10.453125" bestFit="1" customWidth="1"/>
    <col min="315" max="315" width="11.54296875" bestFit="1" customWidth="1"/>
    <col min="316" max="316" width="9.36328125" bestFit="1" customWidth="1"/>
    <col min="317" max="317" width="11.54296875" bestFit="1" customWidth="1"/>
    <col min="318" max="318" width="8.36328125" bestFit="1" customWidth="1"/>
    <col min="319" max="320" width="10.453125" bestFit="1" customWidth="1"/>
    <col min="321" max="321" width="11.54296875" bestFit="1" customWidth="1"/>
    <col min="322" max="322" width="10.453125" bestFit="1" customWidth="1"/>
    <col min="323" max="323" width="11.54296875" bestFit="1" customWidth="1"/>
    <col min="324" max="324" width="8.36328125" bestFit="1" customWidth="1"/>
    <col min="325" max="325" width="7.26953125" bestFit="1" customWidth="1"/>
    <col min="326" max="326" width="10.453125" bestFit="1" customWidth="1"/>
    <col min="327" max="327" width="11.54296875" bestFit="1" customWidth="1"/>
    <col min="328" max="328" width="10.453125" bestFit="1" customWidth="1"/>
    <col min="329" max="330" width="11.54296875" bestFit="1" customWidth="1"/>
    <col min="331" max="333" width="10.453125" bestFit="1" customWidth="1"/>
    <col min="334" max="334" width="11.54296875" bestFit="1" customWidth="1"/>
    <col min="335" max="335" width="9.36328125" bestFit="1" customWidth="1"/>
    <col min="336" max="336" width="10.453125" bestFit="1" customWidth="1"/>
    <col min="337" max="337" width="9.36328125" bestFit="1" customWidth="1"/>
    <col min="338" max="338" width="10.453125" bestFit="1" customWidth="1"/>
    <col min="339" max="340" width="11.54296875" bestFit="1" customWidth="1"/>
    <col min="341" max="341" width="10.453125" bestFit="1" customWidth="1"/>
    <col min="342" max="342" width="7.26953125" bestFit="1" customWidth="1"/>
    <col min="343" max="345" width="9.36328125" bestFit="1" customWidth="1"/>
    <col min="346" max="348" width="10.453125" bestFit="1" customWidth="1"/>
    <col min="349" max="349" width="9.36328125" bestFit="1" customWidth="1"/>
    <col min="350" max="350" width="8.36328125" bestFit="1" customWidth="1"/>
    <col min="351" max="351" width="9.36328125" bestFit="1" customWidth="1"/>
    <col min="352" max="352" width="10.453125" bestFit="1" customWidth="1"/>
    <col min="353" max="353" width="11.54296875" bestFit="1" customWidth="1"/>
    <col min="354" max="354" width="7.26953125" bestFit="1" customWidth="1"/>
    <col min="355" max="355" width="9.36328125" bestFit="1" customWidth="1"/>
    <col min="356" max="358" width="10.453125" bestFit="1" customWidth="1"/>
    <col min="359" max="359" width="9.36328125" bestFit="1" customWidth="1"/>
    <col min="360" max="361" width="10.453125" bestFit="1" customWidth="1"/>
    <col min="362" max="362" width="8.36328125" bestFit="1" customWidth="1"/>
    <col min="363" max="363" width="10.453125" bestFit="1" customWidth="1"/>
    <col min="364" max="364" width="8.54296875" bestFit="1" customWidth="1"/>
    <col min="365" max="365" width="11.453125" bestFit="1" customWidth="1"/>
    <col min="366" max="366" width="12.54296875" bestFit="1" customWidth="1"/>
  </cols>
  <sheetData>
    <row r="1" spans="1:9" x14ac:dyDescent="0.35">
      <c r="A1" s="2" t="s">
        <v>1</v>
      </c>
      <c r="B1" t="s">
        <v>2923</v>
      </c>
    </row>
    <row r="2" spans="1:9" x14ac:dyDescent="0.35">
      <c r="A2" s="3" t="s">
        <v>2934</v>
      </c>
      <c r="B2" s="7">
        <v>847153.68450000032</v>
      </c>
      <c r="F2" s="2" t="s">
        <v>2942</v>
      </c>
      <c r="G2" t="s">
        <v>2927</v>
      </c>
      <c r="I2" t="s">
        <v>2941</v>
      </c>
    </row>
    <row r="3" spans="1:9" x14ac:dyDescent="0.35">
      <c r="A3" s="3" t="s">
        <v>2931</v>
      </c>
      <c r="B3" s="7">
        <v>967957.98000000068</v>
      </c>
      <c r="F3" s="3">
        <v>1</v>
      </c>
      <c r="G3" s="7">
        <v>85538.832500000004</v>
      </c>
      <c r="I3" s="14">
        <v>372</v>
      </c>
    </row>
    <row r="4" spans="1:9" x14ac:dyDescent="0.35">
      <c r="A4" s="3" t="s">
        <v>2930</v>
      </c>
      <c r="B4" s="7">
        <v>883633.71800000104</v>
      </c>
      <c r="F4" s="3">
        <v>2</v>
      </c>
      <c r="G4" s="7">
        <v>140066.24950000001</v>
      </c>
    </row>
    <row r="5" spans="1:9" x14ac:dyDescent="0.35">
      <c r="A5" s="3" t="s">
        <v>2933</v>
      </c>
      <c r="B5" s="7">
        <v>853478.85900000017</v>
      </c>
      <c r="F5" s="3">
        <v>3</v>
      </c>
      <c r="G5" s="7">
        <v>93115.521500000003</v>
      </c>
    </row>
    <row r="6" spans="1:9" x14ac:dyDescent="0.35">
      <c r="A6" s="3" t="s">
        <v>2932</v>
      </c>
      <c r="B6" s="7">
        <v>827768.18699999992</v>
      </c>
      <c r="F6" s="3">
        <v>4</v>
      </c>
      <c r="G6" s="7">
        <v>92710.31299999998</v>
      </c>
    </row>
    <row r="7" spans="1:9" x14ac:dyDescent="0.35">
      <c r="A7" s="3" t="s">
        <v>2922</v>
      </c>
      <c r="B7" s="7">
        <v>4379992.4285000023</v>
      </c>
      <c r="F7" s="3">
        <v>5</v>
      </c>
      <c r="G7" s="7">
        <v>130308.44899999999</v>
      </c>
    </row>
    <row r="8" spans="1:9" x14ac:dyDescent="0.35">
      <c r="F8" s="3">
        <v>6</v>
      </c>
      <c r="G8" s="7">
        <v>129109.13049999998</v>
      </c>
    </row>
    <row r="9" spans="1:9" x14ac:dyDescent="0.35">
      <c r="A9" s="2" t="s">
        <v>2</v>
      </c>
      <c r="B9" t="s">
        <v>2939</v>
      </c>
      <c r="F9" s="3">
        <v>7</v>
      </c>
      <c r="G9" s="7">
        <v>76601.32650000001</v>
      </c>
    </row>
    <row r="10" spans="1:9" x14ac:dyDescent="0.35">
      <c r="A10" s="3" t="s">
        <v>24</v>
      </c>
      <c r="B10" s="11">
        <v>684539.38550000067</v>
      </c>
      <c r="F10" s="3">
        <v>8</v>
      </c>
      <c r="G10" s="7">
        <v>94493.061500000025</v>
      </c>
    </row>
    <row r="11" spans="1:9" x14ac:dyDescent="0.35">
      <c r="A11" s="3" t="s">
        <v>19</v>
      </c>
      <c r="B11" s="11">
        <v>684417.24150000012</v>
      </c>
      <c r="F11" s="3">
        <v>9</v>
      </c>
      <c r="G11" s="7">
        <v>119265.55250000002</v>
      </c>
    </row>
    <row r="12" spans="1:9" x14ac:dyDescent="0.35">
      <c r="A12" s="3" t="s">
        <v>25</v>
      </c>
      <c r="B12" s="11">
        <v>684387.4155000007</v>
      </c>
      <c r="F12" s="3">
        <v>10</v>
      </c>
      <c r="G12" s="7">
        <v>89059.482499999998</v>
      </c>
    </row>
    <row r="13" spans="1:9" x14ac:dyDescent="0.35">
      <c r="F13" s="3">
        <v>11</v>
      </c>
      <c r="G13" s="7">
        <v>111093.348</v>
      </c>
    </row>
    <row r="14" spans="1:9" x14ac:dyDescent="0.35">
      <c r="A14" s="2" t="s">
        <v>2936</v>
      </c>
      <c r="B14" s="7" t="s">
        <v>2923</v>
      </c>
      <c r="F14" s="3">
        <v>12</v>
      </c>
      <c r="G14" s="7">
        <v>154325.90050000005</v>
      </c>
    </row>
    <row r="15" spans="1:9" x14ac:dyDescent="0.35">
      <c r="A15" s="3" t="s">
        <v>42</v>
      </c>
      <c r="B15" s="7">
        <v>950387.84900000016</v>
      </c>
      <c r="F15" s="3">
        <v>13</v>
      </c>
      <c r="G15" s="7">
        <v>109333.33299999997</v>
      </c>
    </row>
    <row r="16" spans="1:9" x14ac:dyDescent="0.35">
      <c r="A16" s="3" t="s">
        <v>40</v>
      </c>
      <c r="B16" s="7">
        <v>866483.3745000005</v>
      </c>
      <c r="F16" s="3">
        <v>14</v>
      </c>
      <c r="G16" s="7">
        <v>97061.928</v>
      </c>
    </row>
    <row r="17" spans="1:7" x14ac:dyDescent="0.35">
      <c r="A17" s="3" t="s">
        <v>41</v>
      </c>
      <c r="B17" s="7">
        <v>770420.66400000046</v>
      </c>
      <c r="F17" s="3">
        <v>15</v>
      </c>
      <c r="G17" s="7">
        <v>106002.01149999999</v>
      </c>
    </row>
    <row r="18" spans="1:7" x14ac:dyDescent="0.35">
      <c r="A18" s="3" t="s">
        <v>39</v>
      </c>
      <c r="B18" s="7">
        <v>821585.39100000053</v>
      </c>
      <c r="F18" s="3">
        <v>16</v>
      </c>
      <c r="G18" s="7">
        <v>103202.73750000002</v>
      </c>
    </row>
    <row r="19" spans="1:7" x14ac:dyDescent="0.35">
      <c r="A19" s="3" t="s">
        <v>38</v>
      </c>
      <c r="B19" s="7">
        <v>971115.15000000049</v>
      </c>
      <c r="F19" s="3">
        <v>17</v>
      </c>
      <c r="G19" s="7">
        <v>120385.02299999997</v>
      </c>
    </row>
    <row r="20" spans="1:7" x14ac:dyDescent="0.35">
      <c r="A20" s="3" t="s">
        <v>2922</v>
      </c>
      <c r="B20" s="7">
        <v>4379992.4285000023</v>
      </c>
      <c r="F20" s="3">
        <v>18</v>
      </c>
      <c r="G20" s="7">
        <v>80711.680999999982</v>
      </c>
    </row>
    <row r="21" spans="1:7" x14ac:dyDescent="0.35">
      <c r="F21" s="3">
        <v>19</v>
      </c>
      <c r="G21" s="7">
        <v>116136.64700000003</v>
      </c>
    </row>
    <row r="22" spans="1:7" x14ac:dyDescent="0.35">
      <c r="A22" s="6" t="s">
        <v>2929</v>
      </c>
      <c r="B22" s="6" t="s">
        <v>2935</v>
      </c>
      <c r="C22" s="6" t="s">
        <v>2925</v>
      </c>
      <c r="F22" s="3">
        <v>20</v>
      </c>
      <c r="G22" s="7">
        <v>85026.945500000016</v>
      </c>
    </row>
    <row r="23" spans="1:7" x14ac:dyDescent="0.35">
      <c r="A23" s="3" t="s">
        <v>2928</v>
      </c>
      <c r="B23" s="3" t="s">
        <v>2934</v>
      </c>
      <c r="C23" s="7">
        <f>GETPIVOTDATA("TotalPrice",$A$1,"Region","DRC")</f>
        <v>847153.68450000032</v>
      </c>
      <c r="F23" s="3">
        <v>21</v>
      </c>
      <c r="G23" s="7">
        <v>103878.0955</v>
      </c>
    </row>
    <row r="24" spans="1:7" x14ac:dyDescent="0.35">
      <c r="A24" s="3" t="s">
        <v>2928</v>
      </c>
      <c r="B24" s="3" t="s">
        <v>2930</v>
      </c>
      <c r="C24" s="7">
        <f>GETPIVOTDATA("TotalPrice",$A$1,"Region","Kenya")</f>
        <v>883633.71800000104</v>
      </c>
      <c r="F24" s="3">
        <v>22</v>
      </c>
      <c r="G24" s="7">
        <v>55904.442999999992</v>
      </c>
    </row>
    <row r="25" spans="1:7" x14ac:dyDescent="0.35">
      <c r="A25" s="3" t="s">
        <v>2928</v>
      </c>
      <c r="B25" s="3" t="s">
        <v>2931</v>
      </c>
      <c r="C25" s="7">
        <f>GETPIVOTDATA("TotalPrice",$A$1,"Region","Egypt")</f>
        <v>967957.98000000068</v>
      </c>
      <c r="F25" s="3">
        <v>23</v>
      </c>
      <c r="G25" s="7">
        <v>77069.67349999999</v>
      </c>
    </row>
    <row r="26" spans="1:7" x14ac:dyDescent="0.35">
      <c r="A26" s="3" t="s">
        <v>2928</v>
      </c>
      <c r="B26" s="3" t="s">
        <v>2932</v>
      </c>
      <c r="C26" s="7">
        <f>GETPIVOTDATA("TotalPrice",$A$1,"Region","South Africa")</f>
        <v>827768.18699999992</v>
      </c>
      <c r="F26" s="3">
        <v>24</v>
      </c>
      <c r="G26" s="7">
        <v>88586.963499999998</v>
      </c>
    </row>
    <row r="27" spans="1:7" x14ac:dyDescent="0.35">
      <c r="A27" s="3" t="s">
        <v>2928</v>
      </c>
      <c r="B27" s="3" t="s">
        <v>2933</v>
      </c>
      <c r="C27" s="7">
        <f>GETPIVOTDATA("TotalPrice",$A$1,"Region","Nigeria")</f>
        <v>853478.85900000017</v>
      </c>
      <c r="F27" s="3">
        <v>25</v>
      </c>
      <c r="G27" s="7">
        <v>120919.03350000001</v>
      </c>
    </row>
    <row r="28" spans="1:7" x14ac:dyDescent="0.35">
      <c r="F28" s="3">
        <v>26</v>
      </c>
      <c r="G28" s="7">
        <v>99160.472499999974</v>
      </c>
    </row>
    <row r="29" spans="1:7" x14ac:dyDescent="0.35">
      <c r="F29" s="3">
        <v>27</v>
      </c>
      <c r="G29" s="7">
        <v>89988.922500000001</v>
      </c>
    </row>
    <row r="30" spans="1:7" x14ac:dyDescent="0.35">
      <c r="A30" t="s">
        <v>2939</v>
      </c>
      <c r="F30" s="3">
        <v>28</v>
      </c>
      <c r="G30" s="7">
        <v>89291.204999999973</v>
      </c>
    </row>
    <row r="31" spans="1:7" x14ac:dyDescent="0.35">
      <c r="A31" s="7">
        <v>4379992.4284999985</v>
      </c>
      <c r="F31" s="3">
        <v>29</v>
      </c>
      <c r="G31" s="7">
        <v>72286.453999999983</v>
      </c>
    </row>
    <row r="32" spans="1:7" x14ac:dyDescent="0.35">
      <c r="F32" s="3">
        <v>30</v>
      </c>
      <c r="G32" s="7">
        <v>55685.514999999999</v>
      </c>
    </row>
    <row r="33" spans="1:7" x14ac:dyDescent="0.35">
      <c r="A33" t="s">
        <v>2940</v>
      </c>
      <c r="F33" s="3">
        <v>31</v>
      </c>
      <c r="G33" s="7">
        <v>40963.930500000002</v>
      </c>
    </row>
    <row r="34" spans="1:7" x14ac:dyDescent="0.35">
      <c r="A34" s="7">
        <v>41260.940000000111</v>
      </c>
      <c r="F34" s="3">
        <v>32</v>
      </c>
      <c r="G34" s="7">
        <v>74433.627000000008</v>
      </c>
    </row>
    <row r="35" spans="1:7" x14ac:dyDescent="0.35">
      <c r="F35" s="3">
        <v>33</v>
      </c>
      <c r="G35" s="7">
        <v>70673.086500000005</v>
      </c>
    </row>
    <row r="36" spans="1:7" x14ac:dyDescent="0.35">
      <c r="A36" s="2" t="s">
        <v>2938</v>
      </c>
      <c r="B36" t="s">
        <v>2927</v>
      </c>
      <c r="F36" s="3">
        <v>34</v>
      </c>
      <c r="G36" s="7">
        <v>51922.984499999991</v>
      </c>
    </row>
    <row r="37" spans="1:7" x14ac:dyDescent="0.35">
      <c r="A37" s="3" t="s">
        <v>43</v>
      </c>
      <c r="B37" s="11">
        <v>1238076.9235000007</v>
      </c>
      <c r="F37" s="3">
        <v>35</v>
      </c>
      <c r="G37" s="7">
        <v>77194.222000000009</v>
      </c>
    </row>
    <row r="38" spans="1:7" x14ac:dyDescent="0.35">
      <c r="A38" s="3" t="s">
        <v>2937</v>
      </c>
      <c r="B38" s="11">
        <v>1074246.7715000003</v>
      </c>
      <c r="F38" s="3">
        <v>36</v>
      </c>
      <c r="G38" s="7">
        <v>82561.117500000008</v>
      </c>
    </row>
    <row r="39" spans="1:7" x14ac:dyDescent="0.35">
      <c r="A39" s="3" t="s">
        <v>44</v>
      </c>
      <c r="B39" s="11">
        <v>989656.80550000037</v>
      </c>
      <c r="F39" s="3">
        <v>37</v>
      </c>
      <c r="G39" s="7">
        <v>46540.618499999982</v>
      </c>
    </row>
    <row r="40" spans="1:7" x14ac:dyDescent="0.35">
      <c r="A40" s="3" t="s">
        <v>45</v>
      </c>
      <c r="B40" s="11">
        <v>1078011.9280000005</v>
      </c>
      <c r="F40" s="3">
        <v>38</v>
      </c>
      <c r="G40" s="7">
        <v>86857.674499999979</v>
      </c>
    </row>
    <row r="41" spans="1:7" x14ac:dyDescent="0.35">
      <c r="A41" s="3" t="s">
        <v>2922</v>
      </c>
      <c r="B41" s="11">
        <v>4379992.4285000023</v>
      </c>
      <c r="F41" s="3">
        <v>39</v>
      </c>
      <c r="G41" s="7">
        <v>44414.065500000004</v>
      </c>
    </row>
    <row r="42" spans="1:7" x14ac:dyDescent="0.35">
      <c r="F42" s="3">
        <v>40</v>
      </c>
      <c r="G42" s="7">
        <v>65301.236999999994</v>
      </c>
    </row>
    <row r="43" spans="1:7" x14ac:dyDescent="0.35">
      <c r="A43" s="2" t="s">
        <v>2926</v>
      </c>
      <c r="B43" t="s">
        <v>2923</v>
      </c>
      <c r="F43" s="3">
        <v>41</v>
      </c>
      <c r="G43" s="7">
        <v>39274.083999999995</v>
      </c>
    </row>
    <row r="44" spans="1:7" x14ac:dyDescent="0.35">
      <c r="A44" s="3" t="s">
        <v>33</v>
      </c>
      <c r="B44" s="11">
        <v>786165.8400000002</v>
      </c>
      <c r="F44" s="3">
        <v>42</v>
      </c>
      <c r="G44" s="7">
        <v>66935.134500000015</v>
      </c>
    </row>
    <row r="45" spans="1:7" x14ac:dyDescent="0.35">
      <c r="A45" s="3" t="s">
        <v>37</v>
      </c>
      <c r="B45" s="11">
        <v>796780.52149999957</v>
      </c>
      <c r="F45" s="3">
        <v>43</v>
      </c>
      <c r="G45" s="7">
        <v>81557.958499999993</v>
      </c>
    </row>
    <row r="46" spans="1:7" x14ac:dyDescent="0.35">
      <c r="A46" s="3" t="s">
        <v>35</v>
      </c>
      <c r="B46" s="11">
        <v>707166.7160000006</v>
      </c>
      <c r="F46" s="3">
        <v>44</v>
      </c>
      <c r="G46" s="7">
        <v>38680.817500000005</v>
      </c>
    </row>
    <row r="47" spans="1:7" x14ac:dyDescent="0.35">
      <c r="A47" s="3" t="s">
        <v>36</v>
      </c>
      <c r="B47" s="11">
        <v>676568.2495000005</v>
      </c>
      <c r="F47" s="3">
        <v>45</v>
      </c>
      <c r="G47" s="7">
        <v>50214.544500000004</v>
      </c>
    </row>
    <row r="48" spans="1:7" x14ac:dyDescent="0.35">
      <c r="A48" s="3" t="s">
        <v>32</v>
      </c>
      <c r="B48" s="11">
        <v>698669.57950000011</v>
      </c>
      <c r="F48" s="3">
        <v>46</v>
      </c>
      <c r="G48" s="7">
        <v>65975.037499999991</v>
      </c>
    </row>
    <row r="49" spans="1:7" x14ac:dyDescent="0.35">
      <c r="A49" s="3" t="s">
        <v>34</v>
      </c>
      <c r="B49" s="11">
        <v>714641.52200000035</v>
      </c>
      <c r="F49" s="3">
        <v>47</v>
      </c>
      <c r="G49" s="7">
        <v>45556.716499999995</v>
      </c>
    </row>
    <row r="50" spans="1:7" x14ac:dyDescent="0.35">
      <c r="A50" s="3" t="s">
        <v>2922</v>
      </c>
      <c r="B50" s="11">
        <v>4379992.4285000004</v>
      </c>
      <c r="F50" s="3">
        <v>48</v>
      </c>
      <c r="G50" s="7">
        <v>107482.56899999999</v>
      </c>
    </row>
    <row r="51" spans="1:7" x14ac:dyDescent="0.35">
      <c r="F51" s="3">
        <v>49</v>
      </c>
      <c r="G51" s="7">
        <v>67398.5285</v>
      </c>
    </row>
    <row r="52" spans="1:7" x14ac:dyDescent="0.35">
      <c r="F52" s="3">
        <v>50</v>
      </c>
      <c r="G52" s="7">
        <v>43563.680999999997</v>
      </c>
    </row>
    <row r="53" spans="1:7" x14ac:dyDescent="0.35">
      <c r="F53" s="3">
        <v>51</v>
      </c>
      <c r="G53" s="7">
        <v>54273.528499999993</v>
      </c>
    </row>
    <row r="54" spans="1:7" x14ac:dyDescent="0.35">
      <c r="F54" s="3">
        <v>52</v>
      </c>
      <c r="G54" s="7">
        <v>65468.641999999993</v>
      </c>
    </row>
    <row r="55" spans="1:7" x14ac:dyDescent="0.35">
      <c r="F55" s="3">
        <v>53</v>
      </c>
      <c r="G55" s="7">
        <v>26430.370999999999</v>
      </c>
    </row>
    <row r="56" spans="1:7" x14ac:dyDescent="0.35">
      <c r="F56" s="3" t="s">
        <v>2922</v>
      </c>
      <c r="G56" s="7">
        <v>4379992.4285000013</v>
      </c>
    </row>
  </sheetData>
  <pageMargins left="0.7" right="0.7" top="0.75" bottom="0.75" header="0.3" footer="0.3"/>
  <tableParts count="1">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7C458-6651-454A-B17F-0C012CCCE532}">
  <dimension ref="A1"/>
  <sheetViews>
    <sheetView showGridLines="0" showRowColHeaders="0" tabSelected="1" zoomScale="63" zoomScaleNormal="63" workbookViewId="0">
      <selection activeCell="AE15" sqref="AE15"/>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HomePC</cp:lastModifiedBy>
  <dcterms:created xsi:type="dcterms:W3CDTF">2025-06-21T13:19:11Z</dcterms:created>
  <dcterms:modified xsi:type="dcterms:W3CDTF">2026-10-19T08:48:44Z</dcterms:modified>
</cp:coreProperties>
</file>